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Item No</t>
        </is>
      </c>
      <c r="C1" t="inlineStr">
        <is>
          <t>Quantity</t>
        </is>
      </c>
      <c r="D1" t="inlineStr">
        <is>
          <t>Pack Size</t>
        </is>
      </c>
      <c r="E1" t="inlineStr">
        <is>
          <t>Unit</t>
        </is>
      </c>
      <c r="F1" t="inlineStr">
        <is>
          <t>Restaurant Depot Unit Price</t>
        </is>
      </c>
      <c r="G1" t="inlineStr">
        <is>
          <t>Restaurant Depot Extended Price</t>
        </is>
      </c>
      <c r="H1" t="inlineStr">
        <is>
          <t>Sysco Unit Price</t>
        </is>
      </c>
      <c r="I1" t="inlineStr">
        <is>
          <t>Sysco Extended Price</t>
        </is>
      </c>
      <c r="J1" t="inlineStr">
        <is>
          <t>Price Basis (LB / Case / Each)</t>
        </is>
      </c>
      <c r="K1" t="inlineStr">
        <is>
          <t>Price Difference (Sysco - RD)</t>
        </is>
      </c>
    </row>
    <row r="2">
      <c r="A2" t="inlineStr">
        <is>
          <t>Kiko Bread Crumb Japn</t>
        </is>
      </c>
      <c r="B2" t="inlineStr">
        <is>
          <t>041390050008</t>
        </is>
      </c>
      <c r="C2" t="n">
        <v>1</v>
      </c>
      <c r="D2" t="inlineStr">
        <is>
          <t>Each</t>
        </is>
      </c>
      <c r="E2" t="inlineStr">
        <is>
          <t>EA</t>
        </is>
      </c>
      <c r="F2" t="n">
        <v>5.16</v>
      </c>
      <c r="G2" t="n">
        <v>5.16</v>
      </c>
      <c r="H2" t="inlineStr"/>
      <c r="I2" t="inlineStr"/>
      <c r="J2" t="inlineStr">
        <is>
          <t>Each</t>
        </is>
      </c>
      <c r="K2">
        <f>IF(AND(G2&lt;&gt;"",H2&lt;&gt;""),H2-G2,"")</f>
        <v/>
      </c>
    </row>
    <row r="3">
      <c r="A3" t="inlineStr">
        <is>
          <t>Mushroom Pieces &amp; Stems #10</t>
        </is>
      </c>
      <c r="B3" t="inlineStr">
        <is>
          <t>760695000265</t>
        </is>
      </c>
      <c r="C3" t="n">
        <v>1</v>
      </c>
      <c r="D3" t="inlineStr">
        <is>
          <t>#10 Can</t>
        </is>
      </c>
      <c r="E3" t="inlineStr">
        <is>
          <t>EA</t>
        </is>
      </c>
      <c r="F3" t="n">
        <v>8.869999999999999</v>
      </c>
      <c r="G3" t="n">
        <v>8.869999999999999</v>
      </c>
      <c r="H3" t="inlineStr"/>
      <c r="I3" t="inlineStr"/>
      <c r="J3" t="inlineStr">
        <is>
          <t>Each</t>
        </is>
      </c>
      <c r="K3">
        <f>IF(AND(G3&lt;&gt;"",H3&lt;&gt;""),H3-G3,"")</f>
        <v/>
      </c>
    </row>
    <row r="4">
      <c r="A4" t="inlineStr">
        <is>
          <t>Coconut Cream</t>
        </is>
      </c>
      <c r="B4" t="inlineStr">
        <is>
          <t>044738018531</t>
        </is>
      </c>
      <c r="C4" t="n">
        <v>1</v>
      </c>
      <c r="D4" t="inlineStr">
        <is>
          <t>Can</t>
        </is>
      </c>
      <c r="E4" t="inlineStr">
        <is>
          <t>EA</t>
        </is>
      </c>
      <c r="F4" t="n">
        <v>3.67</v>
      </c>
      <c r="G4" t="n">
        <v>3.67</v>
      </c>
      <c r="H4" t="inlineStr"/>
      <c r="I4" t="inlineStr"/>
      <c r="J4" t="inlineStr">
        <is>
          <t>Each</t>
        </is>
      </c>
      <c r="K4">
        <f>IF(AND(G4&lt;&gt;"",H4&lt;&gt;""),H4-G4,"")</f>
        <v/>
      </c>
    </row>
    <row r="5">
      <c r="A5" t="inlineStr">
        <is>
          <t>Coconut Milk Chaokoh</t>
        </is>
      </c>
      <c r="B5" t="inlineStr">
        <is>
          <t>044738075145</t>
        </is>
      </c>
      <c r="C5" t="n">
        <v>1</v>
      </c>
      <c r="D5" t="inlineStr">
        <is>
          <t>6/#10</t>
        </is>
      </c>
      <c r="E5" t="inlineStr">
        <is>
          <t>EA</t>
        </is>
      </c>
      <c r="F5" t="n">
        <v>17.38</v>
      </c>
      <c r="G5" t="n">
        <v>17.38</v>
      </c>
      <c r="H5" t="inlineStr"/>
      <c r="I5" t="inlineStr"/>
      <c r="J5" t="inlineStr">
        <is>
          <t>Case</t>
        </is>
      </c>
      <c r="K5">
        <f>IF(AND(G5&lt;&gt;"",H5&lt;&gt;""),H5-G5,"")</f>
        <v/>
      </c>
    </row>
    <row r="6">
      <c r="A6" t="inlineStr">
        <is>
          <t>Sambal Oelek Paste</t>
        </is>
      </c>
      <c r="B6" t="inlineStr">
        <is>
          <t>024463061248</t>
        </is>
      </c>
      <c r="C6" t="n">
        <v>1</v>
      </c>
      <c r="D6" t="inlineStr">
        <is>
          <t>Jar</t>
        </is>
      </c>
      <c r="E6" t="inlineStr">
        <is>
          <t>EA</t>
        </is>
      </c>
      <c r="F6" t="n">
        <v>17.15</v>
      </c>
      <c r="G6" t="n">
        <v>17.15</v>
      </c>
      <c r="H6" t="inlineStr"/>
      <c r="I6" t="inlineStr"/>
      <c r="J6" t="inlineStr">
        <is>
          <t>Each</t>
        </is>
      </c>
      <c r="K6">
        <f>IF(AND(G6&lt;&gt;"",H6&lt;&gt;""),H6-G6,"")</f>
        <v/>
      </c>
    </row>
    <row r="7">
      <c r="A7" t="inlineStr">
        <is>
          <t>Dried Red Chili</t>
        </is>
      </c>
      <c r="B7" t="inlineStr">
        <is>
          <t>046872031018</t>
        </is>
      </c>
      <c r="C7" t="n">
        <v>1</v>
      </c>
      <c r="D7" t="inlineStr">
        <is>
          <t>6/5 LB</t>
        </is>
      </c>
      <c r="E7" t="inlineStr">
        <is>
          <t>EA</t>
        </is>
      </c>
      <c r="F7" t="n">
        <v>15.72</v>
      </c>
      <c r="G7" t="n">
        <v>15.72</v>
      </c>
      <c r="H7" t="inlineStr"/>
      <c r="I7" t="inlineStr"/>
      <c r="J7" t="inlineStr">
        <is>
          <t>Case</t>
        </is>
      </c>
      <c r="K7">
        <f>IF(AND(G7&lt;&gt;"",H7&lt;&gt;""),H7-G7,"")</f>
        <v/>
      </c>
    </row>
    <row r="8">
      <c r="A8" t="inlineStr">
        <is>
          <t>Fry Pan 14in</t>
        </is>
      </c>
      <c r="B8" t="inlineStr">
        <is>
          <t>811642003775</t>
        </is>
      </c>
      <c r="C8" t="n">
        <v>1</v>
      </c>
      <c r="D8" t="inlineStr">
        <is>
          <t>Each</t>
        </is>
      </c>
      <c r="E8" t="inlineStr">
        <is>
          <t>EA</t>
        </is>
      </c>
      <c r="F8" t="n">
        <v>28.16</v>
      </c>
      <c r="G8" t="n">
        <v>28.16</v>
      </c>
      <c r="H8" t="inlineStr"/>
      <c r="I8" t="inlineStr"/>
      <c r="J8" t="inlineStr">
        <is>
          <t>Each</t>
        </is>
      </c>
      <c r="K8">
        <f>IF(AND(G8&lt;&gt;"",H8&lt;&gt;""),H8-G8,"")</f>
        <v/>
      </c>
    </row>
    <row r="9">
      <c r="A9" t="inlineStr">
        <is>
          <t>Roma Tomato XL</t>
        </is>
      </c>
      <c r="B9" t="inlineStr">
        <is>
          <t>891824002598</t>
        </is>
      </c>
      <c r="C9" t="n">
        <v>1</v>
      </c>
      <c r="D9" t="inlineStr">
        <is>
          <t>Case</t>
        </is>
      </c>
      <c r="E9" t="inlineStr">
        <is>
          <t>EA</t>
        </is>
      </c>
      <c r="F9" t="n">
        <v>22.18</v>
      </c>
      <c r="G9" t="n">
        <v>22.18</v>
      </c>
      <c r="H9" t="inlineStr"/>
      <c r="I9" t="inlineStr"/>
      <c r="J9" t="inlineStr">
        <is>
          <t>Case</t>
        </is>
      </c>
      <c r="K9">
        <f>IF(AND(G9&lt;&gt;"",H9&lt;&gt;""),H9-G9,"")</f>
        <v/>
      </c>
    </row>
    <row r="10">
      <c r="A10" t="inlineStr">
        <is>
          <t>Garlic Peeled</t>
        </is>
      </c>
      <c r="B10" t="inlineStr">
        <is>
          <t>8437004591498</t>
        </is>
      </c>
      <c r="C10" t="n">
        <v>4</v>
      </c>
      <c r="D10" t="inlineStr">
        <is>
          <t>Case</t>
        </is>
      </c>
      <c r="E10" t="inlineStr">
        <is>
          <t>EA</t>
        </is>
      </c>
      <c r="F10" t="n">
        <v>20.12</v>
      </c>
      <c r="G10" t="n">
        <v>80.45999999999999</v>
      </c>
      <c r="H10" t="inlineStr"/>
      <c r="I10" t="inlineStr"/>
      <c r="J10" t="inlineStr">
        <is>
          <t>Case</t>
        </is>
      </c>
      <c r="K10">
        <f>IF(AND(G10&lt;&gt;"",H10&lt;&gt;""),H10-G10,"")</f>
        <v/>
      </c>
    </row>
    <row r="11">
      <c r="A11" t="inlineStr">
        <is>
          <t>Paper Towels 2 Ply</t>
        </is>
      </c>
      <c r="B11" t="inlineStr">
        <is>
          <t>881137007755</t>
        </is>
      </c>
      <c r="C11" t="n">
        <v>1</v>
      </c>
      <c r="D11" t="inlineStr">
        <is>
          <t>Case</t>
        </is>
      </c>
      <c r="E11" t="inlineStr">
        <is>
          <t>EA</t>
        </is>
      </c>
      <c r="F11" t="n">
        <v>33.47</v>
      </c>
      <c r="G11" t="n">
        <v>33.47</v>
      </c>
      <c r="H11" t="inlineStr"/>
      <c r="I11" t="inlineStr"/>
      <c r="J11" t="inlineStr">
        <is>
          <t>Case</t>
        </is>
      </c>
      <c r="K11">
        <f>IF(AND(G11&lt;&gt;"",H11&lt;&gt;""),H11-G11,"")</f>
        <v/>
      </c>
    </row>
    <row r="12">
      <c r="A12" t="inlineStr">
        <is>
          <t>Paneer Loaf 5lb</t>
        </is>
      </c>
      <c r="B12" t="inlineStr">
        <is>
          <t>071270358177</t>
        </is>
      </c>
      <c r="C12" t="n">
        <v>4</v>
      </c>
      <c r="D12" t="inlineStr">
        <is>
          <t>Case</t>
        </is>
      </c>
      <c r="E12" t="inlineStr">
        <is>
          <t>EA</t>
        </is>
      </c>
      <c r="F12" t="n">
        <v>21.01</v>
      </c>
      <c r="G12" t="n">
        <v>84.05</v>
      </c>
      <c r="H12" t="inlineStr"/>
      <c r="I12" t="inlineStr"/>
      <c r="J12" t="inlineStr">
        <is>
          <t>Case</t>
        </is>
      </c>
      <c r="K12">
        <f>IF(AND(G12&lt;&gt;"",H12&lt;&gt;""),H12-G12,"")</f>
        <v/>
      </c>
    </row>
    <row r="13">
      <c r="A13" t="inlineStr">
        <is>
          <t>Shallot Peeled</t>
        </is>
      </c>
      <c r="B13" t="inlineStr">
        <is>
          <t>646127688280</t>
        </is>
      </c>
      <c r="C13" t="n">
        <v>1</v>
      </c>
      <c r="D13" t="inlineStr">
        <is>
          <t>Each</t>
        </is>
      </c>
      <c r="E13" t="inlineStr">
        <is>
          <t>EA</t>
        </is>
      </c>
      <c r="F13" t="n">
        <v>17.13</v>
      </c>
      <c r="G13" t="n">
        <v>17.13</v>
      </c>
      <c r="H13" t="inlineStr"/>
      <c r="I13" t="inlineStr"/>
      <c r="J13" t="inlineStr">
        <is>
          <t>Each</t>
        </is>
      </c>
      <c r="K13">
        <f>IF(AND(G13&lt;&gt;"",H13&lt;&gt;""),H13-G13,"")</f>
        <v/>
      </c>
    </row>
    <row r="14">
      <c r="A14" t="inlineStr">
        <is>
          <t>Flour Tortilla 10in</t>
        </is>
      </c>
      <c r="B14" t="inlineStr">
        <is>
          <t>850052169015</t>
        </is>
      </c>
      <c r="C14" t="n">
        <v>1</v>
      </c>
      <c r="D14" t="inlineStr">
        <is>
          <t>12ct</t>
        </is>
      </c>
      <c r="E14" t="inlineStr">
        <is>
          <t>EA</t>
        </is>
      </c>
      <c r="F14" t="n">
        <v>3.6</v>
      </c>
      <c r="G14" t="n">
        <v>3.6</v>
      </c>
      <c r="H14" t="inlineStr"/>
      <c r="I14" t="inlineStr"/>
      <c r="J14" t="inlineStr">
        <is>
          <t>Each</t>
        </is>
      </c>
      <c r="K14">
        <f>IF(AND(G14&lt;&gt;"",H14&lt;&gt;""),H14-G14,"")</f>
        <v/>
      </c>
    </row>
    <row r="15">
      <c r="A15" t="inlineStr">
        <is>
          <t>Rosemary Herb</t>
        </is>
      </c>
      <c r="B15" t="inlineStr">
        <is>
          <t>610708097945</t>
        </is>
      </c>
      <c r="C15" t="n">
        <v>1</v>
      </c>
      <c r="D15" t="inlineStr">
        <is>
          <t>Each</t>
        </is>
      </c>
      <c r="E15" t="inlineStr">
        <is>
          <t>EA</t>
        </is>
      </c>
      <c r="F15" t="n">
        <v>6.59</v>
      </c>
      <c r="G15" t="n">
        <v>6.59</v>
      </c>
      <c r="H15" t="inlineStr"/>
      <c r="I15" t="inlineStr"/>
      <c r="J15" t="inlineStr">
        <is>
          <t>Each</t>
        </is>
      </c>
      <c r="K15">
        <f>IF(AND(G15&lt;&gt;"",H15&lt;&gt;""),H15-G15,"")</f>
        <v/>
      </c>
    </row>
    <row r="16">
      <c r="A16" t="inlineStr">
        <is>
          <t>Tomato Puree #10</t>
        </is>
      </c>
      <c r="B16" t="inlineStr">
        <is>
          <t>071933011319</t>
        </is>
      </c>
      <c r="C16" t="n">
        <v>1</v>
      </c>
      <c r="D16" t="inlineStr">
        <is>
          <t>#10 Can</t>
        </is>
      </c>
      <c r="E16" t="inlineStr">
        <is>
          <t>EA</t>
        </is>
      </c>
      <c r="F16" t="n">
        <v>9.720000000000001</v>
      </c>
      <c r="G16" t="n">
        <v>9.720000000000001</v>
      </c>
      <c r="H16" t="inlineStr"/>
      <c r="I16" t="inlineStr"/>
      <c r="J16" t="inlineStr">
        <is>
          <t>Each</t>
        </is>
      </c>
      <c r="K16">
        <f>IF(AND(G16&lt;&gt;"",H16&lt;&gt;""),H16-G16,"")</f>
        <v/>
      </c>
    </row>
    <row r="17">
      <c r="A17" t="inlineStr">
        <is>
          <t>Whole Milk Gallon</t>
        </is>
      </c>
      <c r="B17" t="inlineStr">
        <is>
          <t>041271003598</t>
        </is>
      </c>
      <c r="C17" t="n">
        <v>2</v>
      </c>
      <c r="D17" t="inlineStr">
        <is>
          <t>Gallon</t>
        </is>
      </c>
      <c r="E17" t="inlineStr">
        <is>
          <t>EA</t>
        </is>
      </c>
      <c r="F17" t="n">
        <v>4.36</v>
      </c>
      <c r="G17" t="n">
        <v>8.720000000000001</v>
      </c>
      <c r="H17" t="inlineStr"/>
      <c r="I17" t="inlineStr"/>
      <c r="J17" t="inlineStr">
        <is>
          <t>Each</t>
        </is>
      </c>
      <c r="K17">
        <f>IF(AND(G17&lt;&gt;"",H17&lt;&gt;""),H17-G17,"")</f>
        <v/>
      </c>
    </row>
    <row r="18">
      <c r="A18" t="inlineStr">
        <is>
          <t>Butter Ghee RM 562</t>
        </is>
      </c>
      <c r="B18" t="inlineStr">
        <is>
          <t>071270396056</t>
        </is>
      </c>
      <c r="C18" t="n">
        <v>1</v>
      </c>
      <c r="D18" t="inlineStr">
        <is>
          <t>Each</t>
        </is>
      </c>
      <c r="E18" t="inlineStr">
        <is>
          <t>EA</t>
        </is>
      </c>
      <c r="F18" t="n">
        <v>32.24</v>
      </c>
      <c r="G18" t="n">
        <v>32.24</v>
      </c>
      <c r="H18" t="inlineStr"/>
      <c r="I18" t="inlineStr"/>
      <c r="J18" t="inlineStr">
        <is>
          <t>Each</t>
        </is>
      </c>
      <c r="K18">
        <f>IF(AND(G18&lt;&gt;"",H18&lt;&gt;""),H18-G18,"")</f>
        <v/>
      </c>
    </row>
    <row r="19">
      <c r="A19" t="inlineStr">
        <is>
          <t>Mozzarella Shredded 5lb</t>
        </is>
      </c>
      <c r="B19" t="inlineStr">
        <is>
          <t>760695004508</t>
        </is>
      </c>
      <c r="C19" t="n">
        <v>1</v>
      </c>
      <c r="D19" t="inlineStr">
        <is>
          <t>5lb</t>
        </is>
      </c>
      <c r="E19" t="inlineStr">
        <is>
          <t>EA</t>
        </is>
      </c>
      <c r="F19" t="n">
        <v>12.43</v>
      </c>
      <c r="G19" t="n">
        <v>12.43</v>
      </c>
      <c r="H19" t="inlineStr"/>
      <c r="I19" t="inlineStr"/>
      <c r="J19" t="inlineStr">
        <is>
          <t>LB</t>
        </is>
      </c>
      <c r="K19">
        <f>IF(AND(G19&lt;&gt;"",H19&lt;&gt;""),H19-G19,"")</f>
        <v/>
      </c>
    </row>
    <row r="20">
      <c r="A20" t="inlineStr">
        <is>
          <t>Green Cabbage 3ct</t>
        </is>
      </c>
      <c r="B20" t="inlineStr">
        <is>
          <t>857155006919</t>
        </is>
      </c>
      <c r="C20" t="n">
        <v>1</v>
      </c>
      <c r="D20" t="inlineStr">
        <is>
          <t>3ct</t>
        </is>
      </c>
      <c r="E20" t="inlineStr">
        <is>
          <t>EA</t>
        </is>
      </c>
      <c r="F20" t="n">
        <v>5.96</v>
      </c>
      <c r="G20" t="n">
        <v>5.96</v>
      </c>
      <c r="H20" t="inlineStr"/>
      <c r="I20" t="inlineStr"/>
      <c r="J20" t="inlineStr">
        <is>
          <t>Each</t>
        </is>
      </c>
      <c r="K20">
        <f>IF(AND(G20&lt;&gt;"",H20&lt;&gt;""),H20-G20,"")</f>
        <v/>
      </c>
    </row>
    <row r="21">
      <c r="A21" t="inlineStr">
        <is>
          <t>Rolling Pin 13in</t>
        </is>
      </c>
      <c r="B21" t="inlineStr">
        <is>
          <t>811642002075</t>
        </is>
      </c>
      <c r="C21" t="n">
        <v>1</v>
      </c>
      <c r="D21" t="inlineStr">
        <is>
          <t>Each</t>
        </is>
      </c>
      <c r="E21" t="inlineStr">
        <is>
          <t>EA</t>
        </is>
      </c>
      <c r="F21" t="n">
        <v>10.67</v>
      </c>
      <c r="G21" t="n">
        <v>10.67</v>
      </c>
      <c r="H21" t="inlineStr"/>
      <c r="I21" t="inlineStr"/>
      <c r="J21" t="inlineStr">
        <is>
          <t>Each</t>
        </is>
      </c>
      <c r="K21">
        <f>IF(AND(G21&lt;&gt;"",H21&lt;&gt;""),H21-G21,"")</f>
        <v/>
      </c>
    </row>
    <row r="22">
      <c r="A22" t="inlineStr">
        <is>
          <t>Chicken Thigh Meat Halal</t>
        </is>
      </c>
      <c r="B22" t="inlineStr">
        <is>
          <t>207950240009</t>
        </is>
      </c>
      <c r="C22" t="n">
        <v>40</v>
      </c>
      <c r="D22" t="inlineStr">
        <is>
          <t>LB</t>
        </is>
      </c>
      <c r="E22" t="inlineStr">
        <is>
          <t>LB</t>
        </is>
      </c>
      <c r="F22" t="n">
        <v>1.46</v>
      </c>
      <c r="G22" t="n">
        <v>58.4</v>
      </c>
      <c r="H22" t="inlineStr"/>
      <c r="I22" t="inlineStr"/>
      <c r="J22" t="inlineStr">
        <is>
          <t>LB</t>
        </is>
      </c>
      <c r="K22">
        <f>IF(AND(G22&lt;&gt;"",H22&lt;&gt;""),H22-G22,"")</f>
        <v/>
      </c>
    </row>
    <row r="23">
      <c r="A23" t="inlineStr">
        <is>
          <t>Chicken Leg Quarter Halal</t>
        </is>
      </c>
      <c r="B23" t="inlineStr">
        <is>
          <t>207950340006</t>
        </is>
      </c>
      <c r="C23" t="n">
        <v>40</v>
      </c>
      <c r="D23" t="inlineStr">
        <is>
          <t>LB</t>
        </is>
      </c>
      <c r="E23" t="inlineStr">
        <is>
          <t>LB</t>
        </is>
      </c>
      <c r="F23" t="n">
        <v>0.75</v>
      </c>
      <c r="G23" t="n">
        <v>30</v>
      </c>
      <c r="H23" t="inlineStr"/>
      <c r="I23" t="inlineStr"/>
      <c r="J23" t="inlineStr">
        <is>
          <t>LB</t>
        </is>
      </c>
      <c r="K23">
        <f>IF(AND(G23&lt;&gt;"",H23&lt;&gt;""),H23-G23,"")</f>
        <v/>
      </c>
    </row>
    <row r="24">
      <c r="A24" t="inlineStr">
        <is>
          <t>Chicken Tender Halal</t>
        </is>
      </c>
      <c r="B24" t="inlineStr">
        <is>
          <t>207999440002</t>
        </is>
      </c>
      <c r="C24" t="n">
        <v>40</v>
      </c>
      <c r="D24" t="inlineStr">
        <is>
          <t>LB</t>
        </is>
      </c>
      <c r="E24" t="inlineStr">
        <is>
          <t>LB</t>
        </is>
      </c>
      <c r="F24" t="n">
        <v>1.86</v>
      </c>
      <c r="G24" t="n">
        <v>74.40000000000001</v>
      </c>
      <c r="H24" t="inlineStr"/>
      <c r="I24" t="inlineStr"/>
      <c r="J24" t="inlineStr">
        <is>
          <t>LB</t>
        </is>
      </c>
      <c r="K24">
        <f>IF(AND(G24&lt;&gt;"",H24&lt;&gt;""),H24-G24,"")</f>
        <v/>
      </c>
    </row>
    <row r="25">
      <c r="A25" t="inlineStr">
        <is>
          <t>Chicken Wings Halal</t>
        </is>
      </c>
      <c r="B25" t="inlineStr">
        <is>
          <t>208032240009</t>
        </is>
      </c>
      <c r="C25" t="n">
        <v>40</v>
      </c>
      <c r="D25" t="inlineStr">
        <is>
          <t>LB</t>
        </is>
      </c>
      <c r="E25" t="inlineStr">
        <is>
          <t>LB</t>
        </is>
      </c>
      <c r="F25" t="n">
        <v>1.54</v>
      </c>
      <c r="G25" t="n">
        <v>61.6</v>
      </c>
      <c r="H25" t="inlineStr"/>
      <c r="I25" t="inlineStr"/>
      <c r="J25" t="inlineStr">
        <is>
          <t>LB</t>
        </is>
      </c>
      <c r="K25">
        <f>IF(AND(G25&lt;&gt;"",H25&lt;&gt;""),H25-G25,"")</f>
        <v/>
      </c>
    </row>
    <row r="26">
      <c r="A26" t="inlineStr">
        <is>
          <t>Beef Knuckle Halal</t>
        </is>
      </c>
      <c r="B26" t="inlineStr">
        <is>
          <t>207985610945</t>
        </is>
      </c>
      <c r="C26" t="n">
        <v>10.94</v>
      </c>
      <c r="D26" t="inlineStr">
        <is>
          <t>LB</t>
        </is>
      </c>
      <c r="E26" t="inlineStr">
        <is>
          <t>LB</t>
        </is>
      </c>
      <c r="F26" t="n">
        <v>5.23</v>
      </c>
      <c r="G26" t="n">
        <v>57.22</v>
      </c>
      <c r="H26" t="inlineStr"/>
      <c r="I26" t="inlineStr"/>
      <c r="J26" t="inlineStr">
        <is>
          <t>LB</t>
        </is>
      </c>
      <c r="K26">
        <f>IF(AND(G26&lt;&gt;"",H26&lt;&gt;""),H26-G26,"")</f>
        <v/>
      </c>
    </row>
    <row r="27">
      <c r="A27" t="inlineStr">
        <is>
          <t>Cilantro</t>
        </is>
      </c>
      <c r="B27" t="inlineStr">
        <is>
          <t>811936020198</t>
        </is>
      </c>
      <c r="C27" t="n">
        <v>1</v>
      </c>
      <c r="D27" t="inlineStr">
        <is>
          <t>60ct</t>
        </is>
      </c>
      <c r="E27" t="inlineStr">
        <is>
          <t>EA</t>
        </is>
      </c>
      <c r="F27" t="n">
        <v>18</v>
      </c>
      <c r="G27" t="n">
        <v>18</v>
      </c>
      <c r="H27" t="inlineStr"/>
      <c r="I27" t="inlineStr"/>
      <c r="J27" t="inlineStr">
        <is>
          <t>Each</t>
        </is>
      </c>
      <c r="K27">
        <f>IF(AND(G27&lt;&gt;"",H27&lt;&gt;""),H27-G27,"")</f>
        <v/>
      </c>
    </row>
    <row r="28">
      <c r="A28" t="inlineStr">
        <is>
          <t>Crimini Mushroom 5lb</t>
        </is>
      </c>
      <c r="B28" t="inlineStr">
        <is>
          <t>020600441980</t>
        </is>
      </c>
      <c r="C28" t="n">
        <v>1</v>
      </c>
      <c r="D28" t="inlineStr">
        <is>
          <t>5lb</t>
        </is>
      </c>
      <c r="E28" t="inlineStr">
        <is>
          <t>EA</t>
        </is>
      </c>
      <c r="F28" t="n">
        <v>16.13</v>
      </c>
      <c r="G28" t="n">
        <v>16.13</v>
      </c>
      <c r="H28" t="inlineStr"/>
      <c r="I28" t="inlineStr"/>
      <c r="J28" t="inlineStr">
        <is>
          <t>LB</t>
        </is>
      </c>
      <c r="K28">
        <f>IF(AND(G28&lt;&gt;"",H28&lt;&gt;""),H28-G28,"")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2026-01-21T21:32:14Z</dcterms:created>
  <dcterms:modified xmlns:dcterms="http://purl.org/dc/terms/" xmlns:xsi="http://www.w3.org/2001/XMLSchema-instance" xsi:type="dcterms:W3CDTF">2026-01-21T21:32:14Z</dcterms:modified>
</cp:coreProperties>
</file>