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Items" sheetId="1" r:id="rId4"/>
    <sheet state="visible" name="Vendors_Pricing" sheetId="2" r:id="rId5"/>
    <sheet state="visible" name="Inventory_Tracking" sheetId="3" r:id="rId6"/>
    <sheet state="visible" name="Purchases_Log" sheetId="4" r:id="rId7"/>
    <sheet state="visible" name="Vendors" sheetId="5" r:id="rId8"/>
  </sheets>
  <definedNames/>
  <calcPr/>
  <extLst>
    <ext uri="GoogleSheetsCustomDataVersion2">
      <go:sheetsCustomData xmlns:go="http://customooxmlschemas.google.com/" r:id="rId9" roundtripDataChecksum="0q93ZP8CGbjPc7E8Lrp1ooQNAkJhqwErR3hnsUYwsew="/>
    </ext>
  </extLst>
</workbook>
</file>

<file path=xl/sharedStrings.xml><?xml version="1.0" encoding="utf-8"?>
<sst xmlns="http://schemas.openxmlformats.org/spreadsheetml/2006/main" count="1107" uniqueCount="285">
  <si>
    <t>Category</t>
  </si>
  <si>
    <t>Sub-Category</t>
  </si>
  <si>
    <t>Item Name</t>
  </si>
  <si>
    <t>Brand</t>
  </si>
  <si>
    <t>Size</t>
  </si>
  <si>
    <t>Unit</t>
  </si>
  <si>
    <t>Par Level</t>
  </si>
  <si>
    <t>Reorder Qty</t>
  </si>
  <si>
    <t>Active</t>
  </si>
  <si>
    <t>Pour Size (oz)</t>
  </si>
  <si>
    <t>Notes</t>
  </si>
  <si>
    <t>Liquor</t>
  </si>
  <si>
    <t>Whiskey</t>
  </si>
  <si>
    <t>Jameson Irish</t>
  </si>
  <si>
    <t>Jameson</t>
  </si>
  <si>
    <t>1L</t>
  </si>
  <si>
    <t>Bottle</t>
  </si>
  <si>
    <t>Four Walls</t>
  </si>
  <si>
    <t>Four</t>
  </si>
  <si>
    <t>Crown Royal Apple</t>
  </si>
  <si>
    <t>Crown Royal</t>
  </si>
  <si>
    <t>750ml</t>
  </si>
  <si>
    <t>Crown Royal Peach</t>
  </si>
  <si>
    <t>Crown Royal Vanilla</t>
  </si>
  <si>
    <t>Crown Royal Canadian Whisky</t>
  </si>
  <si>
    <t>Texas Ranger Peach</t>
  </si>
  <si>
    <t>Texas Ranger</t>
  </si>
  <si>
    <t>Texas Ranger Coconut</t>
  </si>
  <si>
    <t>Texas Ranger Peanut Butter</t>
  </si>
  <si>
    <t>SagaMore Rye</t>
  </si>
  <si>
    <t>SagaMore</t>
  </si>
  <si>
    <t>Bulleit Rye Whiskey</t>
  </si>
  <si>
    <t>Bulleit</t>
  </si>
  <si>
    <t>Dewar’s White Label</t>
  </si>
  <si>
    <t>Dewar’s</t>
  </si>
  <si>
    <t>Buchanan’s 12</t>
  </si>
  <si>
    <t>Buchanan’s</t>
  </si>
  <si>
    <t>Wild Turkey 101</t>
  </si>
  <si>
    <t>Wild Turkey</t>
  </si>
  <si>
    <t>Jack Daniel’s Tennessee Apple</t>
  </si>
  <si>
    <t>Jack Daniel’s</t>
  </si>
  <si>
    <t>Jack Daniel’s Tennessee</t>
  </si>
  <si>
    <t>Jack Daniel’s Tennessee Fire</t>
  </si>
  <si>
    <t>Jack Daniel’s Tennessee Black Berry</t>
  </si>
  <si>
    <t>Fireball Cinnamon</t>
  </si>
  <si>
    <t>Fireball</t>
  </si>
  <si>
    <t>Traveller Blend N9 40</t>
  </si>
  <si>
    <t>Traveller</t>
  </si>
  <si>
    <t>Skrewball Peanut Butter Whiskey</t>
  </si>
  <si>
    <t>Skrewball</t>
  </si>
  <si>
    <t>Bourbon</t>
  </si>
  <si>
    <t>Rebecca Creek</t>
  </si>
  <si>
    <t>Jim Bim</t>
  </si>
  <si>
    <t>Russell</t>
  </si>
  <si>
    <t>Maker’s Mark Bourbon</t>
  </si>
  <si>
    <t>Maker’s Mark</t>
  </si>
  <si>
    <t>Michter’s Bourbon</t>
  </si>
  <si>
    <t>Michter’s</t>
  </si>
  <si>
    <t>Buffalo Trace Bourbon</t>
  </si>
  <si>
    <t>Buffalo Trace</t>
  </si>
  <si>
    <t>Woodford Reserve Bourbon</t>
  </si>
  <si>
    <t>Woodford Reserve</t>
  </si>
  <si>
    <t>Bulleit Bourbon</t>
  </si>
  <si>
    <t>Scotch</t>
  </si>
  <si>
    <t>Chivas Regal 12</t>
  </si>
  <si>
    <t>Chivas Regal</t>
  </si>
  <si>
    <t>Glenfiddich 12</t>
  </si>
  <si>
    <t>Glenfiddich</t>
  </si>
  <si>
    <t>Glenfiddich 15</t>
  </si>
  <si>
    <t>Glenfiddich 18</t>
  </si>
  <si>
    <t>Glenlivet Reserve</t>
  </si>
  <si>
    <t>Glenlivet</t>
  </si>
  <si>
    <t>Glenlivet 12</t>
  </si>
  <si>
    <t>Macallan 12</t>
  </si>
  <si>
    <t>Macallan</t>
  </si>
  <si>
    <t>Macallan 15</t>
  </si>
  <si>
    <t>Johnnie Walker Black</t>
  </si>
  <si>
    <t>Johnnie Walker</t>
  </si>
  <si>
    <t>Johnnie Walker Blue</t>
  </si>
  <si>
    <t>Royal Salute 21</t>
  </si>
  <si>
    <t>Royal Salute</t>
  </si>
  <si>
    <t>Vodka</t>
  </si>
  <si>
    <t>Tito’s Handmade Vodka</t>
  </si>
  <si>
    <t>Tito’s</t>
  </si>
  <si>
    <t>Grey Goose</t>
  </si>
  <si>
    <t>Cîroc Watermelon</t>
  </si>
  <si>
    <t>Cîroc</t>
  </si>
  <si>
    <t>Deep Eddy Lemon</t>
  </si>
  <si>
    <t>Deep Eddy</t>
  </si>
  <si>
    <t>Deep Eddy Ruby Red</t>
  </si>
  <si>
    <t>Deep Eddy Lime</t>
  </si>
  <si>
    <t>Deep Eddy Peach</t>
  </si>
  <si>
    <t>Absolut Espresso</t>
  </si>
  <si>
    <t>Absolut</t>
  </si>
  <si>
    <t>Smirnoff</t>
  </si>
  <si>
    <t>Smirnoff Vanilla</t>
  </si>
  <si>
    <t>Smirnoff Pink Lemonade</t>
  </si>
  <si>
    <t>Smirnoff Raspberry</t>
  </si>
  <si>
    <t>Smirnoff Peach</t>
  </si>
  <si>
    <t>Smirnoff Red,White&amp;Merry</t>
  </si>
  <si>
    <t>Dry Well Mountain</t>
  </si>
  <si>
    <t>DryWell</t>
  </si>
  <si>
    <t>Ketel One</t>
  </si>
  <si>
    <t>Wheatley Vodka</t>
  </si>
  <si>
    <t>Wheatley</t>
  </si>
  <si>
    <t>Gin</t>
  </si>
  <si>
    <t>Taaka</t>
  </si>
  <si>
    <t>Hendrick’s</t>
  </si>
  <si>
    <t>Tanqueray</t>
  </si>
  <si>
    <t>Bombay Sapphire</t>
  </si>
  <si>
    <t>Rum</t>
  </si>
  <si>
    <t>Bacardi Light</t>
  </si>
  <si>
    <t>Bacardi</t>
  </si>
  <si>
    <t>Castillo Light</t>
  </si>
  <si>
    <t>Castillo</t>
  </si>
  <si>
    <t>Ron Corina Coconut</t>
  </si>
  <si>
    <t>Ron Corina</t>
  </si>
  <si>
    <t>Captain Morgan Spiced</t>
  </si>
  <si>
    <t>Captain Morgan</t>
  </si>
  <si>
    <t>Captain Morgan Original</t>
  </si>
  <si>
    <t>Malibu Coconut</t>
  </si>
  <si>
    <t>Malibu</t>
  </si>
  <si>
    <t>RumChata</t>
  </si>
  <si>
    <t>Diplomático Reserva</t>
  </si>
  <si>
    <t>Diplomático</t>
  </si>
  <si>
    <t>Kraken Black Spiced Rum</t>
  </si>
  <si>
    <t>Kraken</t>
  </si>
  <si>
    <t>Ron Corina Silver</t>
  </si>
  <si>
    <t>Rumple Minze</t>
  </si>
  <si>
    <t>DIageo</t>
  </si>
  <si>
    <t>Parrot Bay</t>
  </si>
  <si>
    <t>Tequila</t>
  </si>
  <si>
    <t>Lalo</t>
  </si>
  <si>
    <t>1800 Blanco</t>
  </si>
  <si>
    <t>Torada Silver</t>
  </si>
  <si>
    <t>Torada</t>
  </si>
  <si>
    <t>JaJa Reposado</t>
  </si>
  <si>
    <t>Jaja</t>
  </si>
  <si>
    <t>JaJa Blanco</t>
  </si>
  <si>
    <t>Casamigos Blanco</t>
  </si>
  <si>
    <t>Casamigos</t>
  </si>
  <si>
    <t>Maestro Dobel Diamante</t>
  </si>
  <si>
    <t>Maestro</t>
  </si>
  <si>
    <t>Casamigos Reposado</t>
  </si>
  <si>
    <t>Espolòn Reposado</t>
  </si>
  <si>
    <t>Espolòn</t>
  </si>
  <si>
    <t>Espolòn Blanco</t>
  </si>
  <si>
    <t>Herradura</t>
  </si>
  <si>
    <t>Lunazul</t>
  </si>
  <si>
    <t>Jalisco</t>
  </si>
  <si>
    <t>Don Julio Silver</t>
  </si>
  <si>
    <t>Don Julio</t>
  </si>
  <si>
    <t>Don Julio Reposado</t>
  </si>
  <si>
    <t>Don Julio 70th</t>
  </si>
  <si>
    <t>Patrón Silver</t>
  </si>
  <si>
    <t>Patrón</t>
  </si>
  <si>
    <t>Patrón Reposado</t>
  </si>
  <si>
    <t>Clase Azul</t>
  </si>
  <si>
    <t>Casa Alta Gold</t>
  </si>
  <si>
    <t>Casa Alta</t>
  </si>
  <si>
    <t>Casa Alta Silver</t>
  </si>
  <si>
    <t>Corazón Tequila Blanco</t>
  </si>
  <si>
    <t>Corazón</t>
  </si>
  <si>
    <t>El Tequileño Blanco</t>
  </si>
  <si>
    <t>El Tequileño</t>
  </si>
  <si>
    <t>El Tequileño Reposado</t>
  </si>
  <si>
    <t>Mezcal</t>
  </si>
  <si>
    <t>Dos Hombres Mezcal</t>
  </si>
  <si>
    <t>Dos Hombres</t>
  </si>
  <si>
    <t>Jose Cuervo Traditional Blanco</t>
  </si>
  <si>
    <t>Jose Cuervo</t>
  </si>
  <si>
    <t>Jose Cuervo Devil’s Reserve</t>
  </si>
  <si>
    <t>Beer</t>
  </si>
  <si>
    <t>Draft Beer</t>
  </si>
  <si>
    <t>Bud Light</t>
  </si>
  <si>
    <t>Keg</t>
  </si>
  <si>
    <t>Michelob Ultra</t>
  </si>
  <si>
    <t>ZiegenBock</t>
  </si>
  <si>
    <t>Corona Premier</t>
  </si>
  <si>
    <t>Corona</t>
  </si>
  <si>
    <t>Modelo</t>
  </si>
  <si>
    <t>Karbach Hopadillo IPA</t>
  </si>
  <si>
    <t>Karbach</t>
  </si>
  <si>
    <t>Karbach Love Street</t>
  </si>
  <si>
    <t>Stella Artois</t>
  </si>
  <si>
    <t>Can Beer</t>
  </si>
  <si>
    <t>White Claw Mango</t>
  </si>
  <si>
    <t>White Claw</t>
  </si>
  <si>
    <t>Can</t>
  </si>
  <si>
    <t>Each</t>
  </si>
  <si>
    <t>White Claw Blackberry</t>
  </si>
  <si>
    <t>White Claw Lime</t>
  </si>
  <si>
    <t>White Claw Green Apple</t>
  </si>
  <si>
    <t>White Claw Strawberry</t>
  </si>
  <si>
    <t>2 Hoots Hard Iced Tea</t>
  </si>
  <si>
    <t>2 Hoots</t>
  </si>
  <si>
    <t>Budweiser</t>
  </si>
  <si>
    <t>Pinhouse Electric Jellyfish IPA</t>
  </si>
  <si>
    <t>Pinhouse</t>
  </si>
  <si>
    <t>Sierra Nevada Big Little Thing</t>
  </si>
  <si>
    <t>Sierra Nevada</t>
  </si>
  <si>
    <t>Voodoo Ranger IPA</t>
  </si>
  <si>
    <t>Voodoo Ranger</t>
  </si>
  <si>
    <t>Voodoo Ranger Juicy Haze</t>
  </si>
  <si>
    <t>Kona Big Wave Golden Ale</t>
  </si>
  <si>
    <t>Kona</t>
  </si>
  <si>
    <t>Cayman Jack Margarita</t>
  </si>
  <si>
    <t>Cayman Jack</t>
  </si>
  <si>
    <t>Firestone Walker 805</t>
  </si>
  <si>
    <t>Firestone</t>
  </si>
  <si>
    <t>High Brew Double Espresso</t>
  </si>
  <si>
    <t>High Brew</t>
  </si>
  <si>
    <t>High Brew Mexican Vanilla</t>
  </si>
  <si>
    <t>Topo Chico Hard Seltzer</t>
  </si>
  <si>
    <t>Topo Chico</t>
  </si>
  <si>
    <t>Austin Eastciders Pineapple</t>
  </si>
  <si>
    <t>Austin Eastciders</t>
  </si>
  <si>
    <t>Nutrl</t>
  </si>
  <si>
    <t>Bottle Beer</t>
  </si>
  <si>
    <t>Blue Moon</t>
  </si>
  <si>
    <t>12oz</t>
  </si>
  <si>
    <t>Guinness</t>
  </si>
  <si>
    <t>Miller Light</t>
  </si>
  <si>
    <t>Miller</t>
  </si>
  <si>
    <t>Yuengling</t>
  </si>
  <si>
    <t>Shiner Bock</t>
  </si>
  <si>
    <t>Shiner</t>
  </si>
  <si>
    <t>Dos Equis</t>
  </si>
  <si>
    <t>Kona Big Wave</t>
  </si>
  <si>
    <t>Heineken</t>
  </si>
  <si>
    <t>Coors</t>
  </si>
  <si>
    <t>Corona Extra</t>
  </si>
  <si>
    <t>Disaronno</t>
  </si>
  <si>
    <t>ILLVA</t>
  </si>
  <si>
    <t>Lost Explorer</t>
  </si>
  <si>
    <t>Esoadin</t>
  </si>
  <si>
    <t>Naranja</t>
  </si>
  <si>
    <t>Orange Liqueur</t>
  </si>
  <si>
    <t>Jagermeister</t>
  </si>
  <si>
    <t>Baileys</t>
  </si>
  <si>
    <t>Pineapple Cider</t>
  </si>
  <si>
    <t>Sun Cruiser</t>
  </si>
  <si>
    <t>Big IPA</t>
  </si>
  <si>
    <t>Seagram’s</t>
  </si>
  <si>
    <t>Prosecco</t>
  </si>
  <si>
    <t>Extras</t>
  </si>
  <si>
    <t>Syrups / Garnish</t>
  </si>
  <si>
    <t>Rose’s Grenadine</t>
  </si>
  <si>
    <t>Rose’s Lime Juice</t>
  </si>
  <si>
    <t>Monin Cucumber</t>
  </si>
  <si>
    <t>Finest Call / Mixers</t>
  </si>
  <si>
    <t>Pineapple Juice</t>
  </si>
  <si>
    <t>Bar Syrup</t>
  </si>
  <si>
    <t>Pina Colada Mix</t>
  </si>
  <si>
    <t>Strawberry Puree</t>
  </si>
  <si>
    <t>Passion Fruit Puree</t>
  </si>
  <si>
    <t>Agave Syrup</t>
  </si>
  <si>
    <t>Lemon Juice</t>
  </si>
  <si>
    <t>Lime Juice</t>
  </si>
  <si>
    <t>Vendor</t>
  </si>
  <si>
    <t>Vendor SKU</t>
  </si>
  <si>
    <t>Pack Size</t>
  </si>
  <si>
    <t>Unit Cost</t>
  </si>
  <si>
    <t>Last Cost</t>
  </si>
  <si>
    <t>Last Updated</t>
  </si>
  <si>
    <t>Preferred Vendor</t>
  </si>
  <si>
    <t>Date</t>
  </si>
  <si>
    <t>Opening Qty</t>
  </si>
  <si>
    <t>Purchased</t>
  </si>
  <si>
    <t>Used</t>
  </si>
  <si>
    <t>Closing Qty</t>
  </si>
  <si>
    <t>Inventory Value</t>
  </si>
  <si>
    <t>Below Par</t>
  </si>
  <si>
    <t>01/19/2026</t>
  </si>
  <si>
    <t>Qty Purchased</t>
  </si>
  <si>
    <t>Total Cost</t>
  </si>
  <si>
    <t>Invoice #</t>
  </si>
  <si>
    <t>Paid?</t>
  </si>
  <si>
    <t>Vendor Name</t>
  </si>
  <si>
    <t>Specs</t>
  </si>
  <si>
    <t>Total Wine</t>
  </si>
  <si>
    <t>Restaurant Depot</t>
  </si>
  <si>
    <t>Costco</t>
  </si>
  <si>
    <t xml:space="preserve">HEB </t>
  </si>
  <si>
    <t>Twin Liquors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</si>
</sst>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2" numFmtId="0" xfId="0" applyFill="1" applyFont="1"/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4.13"/>
    <col customWidth="1" min="3" max="3" width="25.63"/>
    <col customWidth="1" min="4" max="4" width="14.88"/>
    <col customWidth="1" min="5" max="5" width="5.5"/>
    <col customWidth="1" min="6" max="6" width="5.25"/>
    <col customWidth="1" min="7" max="7" width="8.0"/>
    <col customWidth="1" min="8" max="8" width="10.13"/>
    <col customWidth="1" min="9" max="9" width="5.5"/>
    <col customWidth="1" min="10" max="10" width="11.5"/>
    <col customWidth="1" min="11" max="11" width="5.38"/>
    <col customWidth="1" min="12" max="12" width="13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8.0</v>
      </c>
      <c r="H2" s="2">
        <v>4.0</v>
      </c>
      <c r="I2" s="2" t="str">
        <f>IF(ISNUMBER(MATCH(B2,Inventory_Tracking!$B$2:$B$1000,0)),"No","Yes")
</f>
        <v>Yes</v>
      </c>
      <c r="J2" s="2">
        <v>2.0</v>
      </c>
      <c r="L2" s="2"/>
    </row>
    <row r="3" ht="15.75" customHeight="1">
      <c r="A3" s="2" t="s">
        <v>11</v>
      </c>
      <c r="B3" s="2" t="s">
        <v>12</v>
      </c>
      <c r="C3" s="2" t="s">
        <v>17</v>
      </c>
      <c r="D3" s="2" t="s">
        <v>18</v>
      </c>
      <c r="E3" s="2">
        <v>750.0</v>
      </c>
      <c r="F3" s="2" t="s">
        <v>16</v>
      </c>
      <c r="G3" s="2">
        <v>8.0</v>
      </c>
      <c r="H3" s="2">
        <v>4.0</v>
      </c>
      <c r="I3" s="2" t="str">
        <f>IF(ISNUMBER(MATCH(B3,Inventory_Tracking!$B$2:$B$1000,0)),"No","Yes")
</f>
        <v>Yes</v>
      </c>
      <c r="J3" s="2">
        <v>2.0</v>
      </c>
      <c r="L3" s="2"/>
    </row>
    <row r="4" ht="15.75" customHeight="1">
      <c r="A4" s="2" t="s">
        <v>11</v>
      </c>
      <c r="B4" s="2" t="s">
        <v>12</v>
      </c>
      <c r="C4" s="2" t="s">
        <v>19</v>
      </c>
      <c r="D4" s="2" t="s">
        <v>20</v>
      </c>
      <c r="E4" s="2" t="s">
        <v>21</v>
      </c>
      <c r="F4" s="2" t="s">
        <v>16</v>
      </c>
      <c r="G4" s="2">
        <v>6.0</v>
      </c>
      <c r="H4" s="2">
        <v>3.0</v>
      </c>
      <c r="I4" s="2" t="str">
        <f>IF(ISNUMBER(MATCH(B4,Inventory_Tracking!$B$2:$B$1000,0)),"No","Yes")
</f>
        <v>Yes</v>
      </c>
      <c r="J4" s="2">
        <v>2.0</v>
      </c>
      <c r="L4" s="2"/>
    </row>
    <row r="5" ht="15.75" customHeight="1">
      <c r="A5" s="2" t="s">
        <v>11</v>
      </c>
      <c r="B5" s="2" t="s">
        <v>12</v>
      </c>
      <c r="C5" s="2" t="s">
        <v>22</v>
      </c>
      <c r="D5" s="2" t="s">
        <v>20</v>
      </c>
      <c r="E5" s="2" t="s">
        <v>21</v>
      </c>
      <c r="F5" s="2" t="s">
        <v>16</v>
      </c>
      <c r="G5" s="2">
        <v>6.0</v>
      </c>
      <c r="H5" s="2">
        <v>3.0</v>
      </c>
      <c r="I5" s="2" t="str">
        <f>IF(ISNUMBER(MATCH(B5,Inventory_Tracking!$B$2:$B$1000,0)),"No","Yes")
</f>
        <v>Yes</v>
      </c>
      <c r="J5" s="2">
        <v>2.0</v>
      </c>
      <c r="L5" s="2"/>
    </row>
    <row r="6" ht="15.75" customHeight="1">
      <c r="A6" s="2" t="s">
        <v>11</v>
      </c>
      <c r="B6" s="2" t="s">
        <v>12</v>
      </c>
      <c r="C6" s="2" t="s">
        <v>23</v>
      </c>
      <c r="D6" s="2" t="s">
        <v>20</v>
      </c>
      <c r="E6" s="2" t="s">
        <v>21</v>
      </c>
      <c r="F6" s="2" t="s">
        <v>16</v>
      </c>
      <c r="G6" s="2">
        <v>4.0</v>
      </c>
      <c r="H6" s="2">
        <v>2.0</v>
      </c>
      <c r="I6" s="2" t="str">
        <f>IF(ISNUMBER(MATCH(B6,Inventory_Tracking!$B$2:$B$1000,0)),"No","Yes")
</f>
        <v>Yes</v>
      </c>
      <c r="J6" s="2">
        <v>2.0</v>
      </c>
      <c r="L6" s="2"/>
    </row>
    <row r="7" ht="15.75" customHeight="1">
      <c r="A7" s="2" t="s">
        <v>11</v>
      </c>
      <c r="B7" s="2" t="s">
        <v>12</v>
      </c>
      <c r="C7" s="2" t="s">
        <v>24</v>
      </c>
      <c r="D7" s="2" t="s">
        <v>20</v>
      </c>
      <c r="E7" s="2" t="s">
        <v>21</v>
      </c>
      <c r="F7" s="2" t="s">
        <v>16</v>
      </c>
      <c r="G7" s="2">
        <v>6.0</v>
      </c>
      <c r="H7" s="2">
        <v>3.0</v>
      </c>
      <c r="I7" s="2" t="str">
        <f>IF(ISNUMBER(MATCH(B7,Inventory_Tracking!$B$2:$B$1000,0)),"No","Yes")
</f>
        <v>Yes</v>
      </c>
      <c r="J7" s="2">
        <v>2.0</v>
      </c>
      <c r="L7" s="2"/>
    </row>
    <row r="8" ht="15.75" customHeight="1">
      <c r="A8" s="2" t="s">
        <v>11</v>
      </c>
      <c r="B8" s="2" t="s">
        <v>12</v>
      </c>
      <c r="C8" s="2" t="s">
        <v>25</v>
      </c>
      <c r="D8" s="2" t="s">
        <v>26</v>
      </c>
      <c r="E8" s="2" t="s">
        <v>21</v>
      </c>
      <c r="F8" s="2" t="s">
        <v>16</v>
      </c>
      <c r="G8" s="2">
        <v>4.0</v>
      </c>
      <c r="H8" s="2">
        <v>2.0</v>
      </c>
      <c r="I8" s="2" t="str">
        <f>IF(ISNUMBER(MATCH(B8,Inventory_Tracking!$B$2:$B$1000,0)),"No","Yes")
</f>
        <v>Yes</v>
      </c>
      <c r="J8" s="2">
        <v>2.0</v>
      </c>
      <c r="L8" s="2"/>
    </row>
    <row r="9" ht="15.75" customHeight="1">
      <c r="A9" s="2" t="s">
        <v>11</v>
      </c>
      <c r="B9" s="2" t="s">
        <v>12</v>
      </c>
      <c r="C9" s="2" t="s">
        <v>27</v>
      </c>
      <c r="D9" s="2" t="s">
        <v>26</v>
      </c>
      <c r="E9" s="2" t="s">
        <v>21</v>
      </c>
      <c r="F9" s="2" t="s">
        <v>16</v>
      </c>
      <c r="G9" s="2">
        <v>4.0</v>
      </c>
      <c r="H9" s="2">
        <v>2.0</v>
      </c>
      <c r="I9" s="2" t="str">
        <f>IF(ISNUMBER(MATCH(B9,Inventory_Tracking!$B$2:$B$1000,0)),"No","Yes")
</f>
        <v>Yes</v>
      </c>
      <c r="J9" s="2">
        <v>2.0</v>
      </c>
      <c r="L9" s="2"/>
    </row>
    <row r="10" ht="15.75" customHeight="1">
      <c r="A10" s="2" t="s">
        <v>11</v>
      </c>
      <c r="B10" s="2" t="s">
        <v>12</v>
      </c>
      <c r="C10" s="2" t="s">
        <v>28</v>
      </c>
      <c r="D10" s="2" t="s">
        <v>26</v>
      </c>
      <c r="E10" s="2" t="s">
        <v>21</v>
      </c>
      <c r="F10" s="2" t="s">
        <v>16</v>
      </c>
      <c r="G10" s="2">
        <v>4.0</v>
      </c>
      <c r="H10" s="2">
        <v>2.0</v>
      </c>
      <c r="I10" s="2" t="str">
        <f>IF(ISNUMBER(MATCH(B10,Inventory_Tracking!$B$2:$B$1000,0)),"No","Yes")
</f>
        <v>Yes</v>
      </c>
      <c r="J10" s="2">
        <v>2.0</v>
      </c>
      <c r="L10" s="2"/>
    </row>
    <row r="11" ht="15.75" customHeight="1">
      <c r="A11" s="3" t="s">
        <v>11</v>
      </c>
      <c r="B11" s="3" t="s">
        <v>12</v>
      </c>
      <c r="C11" s="3" t="s">
        <v>29</v>
      </c>
      <c r="D11" s="3" t="s">
        <v>30</v>
      </c>
      <c r="E11" s="3" t="s">
        <v>21</v>
      </c>
      <c r="F11" s="3" t="s">
        <v>16</v>
      </c>
      <c r="G11" s="4">
        <v>5.0</v>
      </c>
      <c r="H11" s="4">
        <v>2.0</v>
      </c>
      <c r="I11" s="2" t="str">
        <f>IF(ISNUMBER(MATCH(B11,Inventory_Tracking!$B$2:$B$1000,0)),"No","Yes")
</f>
        <v>Yes</v>
      </c>
      <c r="J11" s="4">
        <v>2.0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" t="s">
        <v>11</v>
      </c>
      <c r="B12" s="2" t="s">
        <v>12</v>
      </c>
      <c r="C12" s="2" t="s">
        <v>31</v>
      </c>
      <c r="D12" s="2" t="s">
        <v>32</v>
      </c>
      <c r="E12" s="2" t="s">
        <v>21</v>
      </c>
      <c r="F12" s="2" t="s">
        <v>16</v>
      </c>
      <c r="G12" s="2">
        <v>5.0</v>
      </c>
      <c r="H12" s="2">
        <v>2.0</v>
      </c>
      <c r="I12" s="2" t="str">
        <f>IF(ISNUMBER(MATCH(B12,Inventory_Tracking!$B$2:$B$1000,0)),"No","Yes")
</f>
        <v>Yes</v>
      </c>
      <c r="J12" s="2">
        <v>2.0</v>
      </c>
      <c r="L12" s="2"/>
    </row>
    <row r="13" ht="15.75" customHeight="1">
      <c r="A13" s="2" t="s">
        <v>11</v>
      </c>
      <c r="B13" s="2" t="s">
        <v>12</v>
      </c>
      <c r="C13" s="2" t="s">
        <v>33</v>
      </c>
      <c r="D13" s="2" t="s">
        <v>34</v>
      </c>
      <c r="E13" s="2" t="s">
        <v>15</v>
      </c>
      <c r="F13" s="2" t="s">
        <v>16</v>
      </c>
      <c r="G13" s="2">
        <v>4.0</v>
      </c>
      <c r="H13" s="2">
        <v>2.0</v>
      </c>
      <c r="I13" s="2" t="str">
        <f>IF(ISNUMBER(MATCH(B13,Inventory_Tracking!$B$2:$B$1000,0)),"No","Yes")
</f>
        <v>Yes</v>
      </c>
      <c r="J13" s="2">
        <v>2.0</v>
      </c>
      <c r="L13" s="2"/>
    </row>
    <row r="14" ht="15.75" customHeight="1">
      <c r="A14" s="2" t="s">
        <v>11</v>
      </c>
      <c r="B14" s="2" t="s">
        <v>12</v>
      </c>
      <c r="C14" s="2" t="s">
        <v>35</v>
      </c>
      <c r="D14" s="2" t="s">
        <v>36</v>
      </c>
      <c r="E14" s="2" t="s">
        <v>15</v>
      </c>
      <c r="F14" s="2" t="s">
        <v>16</v>
      </c>
      <c r="G14" s="2">
        <v>4.0</v>
      </c>
      <c r="H14" s="2">
        <v>2.0</v>
      </c>
      <c r="I14" s="2" t="str">
        <f>IF(ISNUMBER(MATCH(B14,Inventory_Tracking!$B$2:$B$1000,0)),"No","Yes")
</f>
        <v>Yes</v>
      </c>
      <c r="J14" s="2">
        <v>2.0</v>
      </c>
      <c r="L14" s="2"/>
    </row>
    <row r="15" ht="15.75" customHeight="1">
      <c r="A15" s="2" t="s">
        <v>11</v>
      </c>
      <c r="B15" s="2" t="s">
        <v>12</v>
      </c>
      <c r="C15" s="2" t="s">
        <v>37</v>
      </c>
      <c r="D15" s="2" t="s">
        <v>38</v>
      </c>
      <c r="E15" s="2" t="s">
        <v>21</v>
      </c>
      <c r="F15" s="2" t="s">
        <v>16</v>
      </c>
      <c r="G15" s="2">
        <v>4.0</v>
      </c>
      <c r="H15" s="2">
        <v>2.0</v>
      </c>
      <c r="I15" s="2" t="str">
        <f>IF(ISNUMBER(MATCH(B15,Inventory_Tracking!$B$2:$B$1000,0)),"No","Yes")
</f>
        <v>Yes</v>
      </c>
      <c r="J15" s="2">
        <v>2.0</v>
      </c>
      <c r="L15" s="2"/>
    </row>
    <row r="16" ht="15.75" customHeight="1">
      <c r="A16" s="2" t="s">
        <v>11</v>
      </c>
      <c r="B16" s="2" t="s">
        <v>12</v>
      </c>
      <c r="C16" s="2" t="s">
        <v>39</v>
      </c>
      <c r="D16" s="2" t="s">
        <v>40</v>
      </c>
      <c r="E16" s="2" t="s">
        <v>21</v>
      </c>
      <c r="F16" s="2" t="s">
        <v>16</v>
      </c>
      <c r="G16" s="2">
        <v>5.0</v>
      </c>
      <c r="H16" s="2">
        <v>2.0</v>
      </c>
      <c r="I16" s="2" t="str">
        <f>IF(ISNUMBER(MATCH(B16,Inventory_Tracking!$B$2:$B$1000,0)),"No","Yes")
</f>
        <v>Yes</v>
      </c>
      <c r="J16" s="2">
        <v>2.0</v>
      </c>
      <c r="L16" s="2"/>
    </row>
    <row r="17" ht="15.75" customHeight="1">
      <c r="A17" s="2" t="s">
        <v>11</v>
      </c>
      <c r="B17" s="2" t="s">
        <v>12</v>
      </c>
      <c r="C17" s="2" t="s">
        <v>41</v>
      </c>
      <c r="D17" s="2" t="s">
        <v>40</v>
      </c>
      <c r="E17" s="2" t="s">
        <v>15</v>
      </c>
      <c r="F17" s="2" t="s">
        <v>16</v>
      </c>
      <c r="G17" s="2">
        <v>5.0</v>
      </c>
      <c r="H17" s="2">
        <v>2.0</v>
      </c>
      <c r="I17" s="2" t="str">
        <f>IF(ISNUMBER(MATCH(B17,Inventory_Tracking!$B$2:$B$1000,0)),"No","Yes")
</f>
        <v>Yes</v>
      </c>
      <c r="J17" s="2">
        <v>2.0</v>
      </c>
      <c r="L17" s="2"/>
    </row>
    <row r="18" ht="15.75" customHeight="1">
      <c r="A18" s="2" t="s">
        <v>11</v>
      </c>
      <c r="B18" s="2" t="s">
        <v>12</v>
      </c>
      <c r="C18" s="2" t="s">
        <v>42</v>
      </c>
      <c r="D18" s="2" t="s">
        <v>40</v>
      </c>
      <c r="E18" s="2" t="s">
        <v>21</v>
      </c>
      <c r="F18" s="2" t="s">
        <v>16</v>
      </c>
      <c r="G18" s="2">
        <v>5.0</v>
      </c>
      <c r="H18" s="2">
        <v>2.0</v>
      </c>
      <c r="I18" s="2" t="str">
        <f>IF(ISNUMBER(MATCH(B18,Inventory_Tracking!$B$2:$B$1000,0)),"No","Yes")
</f>
        <v>Yes</v>
      </c>
      <c r="J18" s="2">
        <v>2.0</v>
      </c>
      <c r="L18" s="2"/>
    </row>
    <row r="19" ht="15.75" customHeight="1">
      <c r="A19" s="2" t="s">
        <v>11</v>
      </c>
      <c r="B19" s="2" t="s">
        <v>12</v>
      </c>
      <c r="C19" s="2" t="s">
        <v>43</v>
      </c>
      <c r="D19" s="2" t="s">
        <v>40</v>
      </c>
      <c r="E19" s="2" t="s">
        <v>15</v>
      </c>
      <c r="F19" s="2" t="s">
        <v>16</v>
      </c>
      <c r="G19" s="2">
        <v>5.0</v>
      </c>
      <c r="H19" s="2">
        <v>2.0</v>
      </c>
      <c r="I19" s="2" t="str">
        <f>IF(ISNUMBER(MATCH(B19,Inventory_Tracking!$B$2:$B$1000,0)),"No","Yes")
</f>
        <v>Yes</v>
      </c>
      <c r="J19" s="2">
        <v>2.0</v>
      </c>
      <c r="L19" s="2"/>
    </row>
    <row r="20" ht="15.75" customHeight="1">
      <c r="A20" s="2" t="s">
        <v>11</v>
      </c>
      <c r="B20" s="2" t="s">
        <v>12</v>
      </c>
      <c r="C20" s="2" t="s">
        <v>44</v>
      </c>
      <c r="D20" s="2" t="s">
        <v>45</v>
      </c>
      <c r="E20" s="2" t="s">
        <v>15</v>
      </c>
      <c r="F20" s="2" t="s">
        <v>16</v>
      </c>
      <c r="G20" s="2">
        <v>6.0</v>
      </c>
      <c r="H20" s="2">
        <v>3.0</v>
      </c>
      <c r="I20" s="2" t="str">
        <f>IF(ISNUMBER(MATCH(B20,Inventory_Tracking!$B$2:$B$1000,0)),"No","Yes")
</f>
        <v>Yes</v>
      </c>
      <c r="J20" s="2">
        <v>2.0</v>
      </c>
      <c r="L20" s="2"/>
    </row>
    <row r="21" ht="15.75" customHeight="1">
      <c r="A21" s="2" t="s">
        <v>11</v>
      </c>
      <c r="B21" s="2" t="s">
        <v>12</v>
      </c>
      <c r="C21" s="2" t="s">
        <v>46</v>
      </c>
      <c r="D21" s="2" t="s">
        <v>47</v>
      </c>
      <c r="E21" s="2" t="s">
        <v>15</v>
      </c>
      <c r="F21" s="2" t="s">
        <v>16</v>
      </c>
      <c r="G21" s="2">
        <v>8.0</v>
      </c>
      <c r="H21" s="2">
        <v>2.0</v>
      </c>
      <c r="I21" s="2" t="str">
        <f>IF(ISNUMBER(MATCH(B21,Inventory_Tracking!$B$2:$B$1000,0)),"No","Yes")
</f>
        <v>Yes</v>
      </c>
      <c r="J21" s="2">
        <v>2.0</v>
      </c>
      <c r="L21" s="2"/>
    </row>
    <row r="22" ht="15.75" customHeight="1">
      <c r="A22" s="2" t="s">
        <v>11</v>
      </c>
      <c r="B22" s="2" t="s">
        <v>12</v>
      </c>
      <c r="C22" s="2" t="s">
        <v>48</v>
      </c>
      <c r="D22" s="2" t="s">
        <v>49</v>
      </c>
      <c r="E22" s="2" t="s">
        <v>21</v>
      </c>
      <c r="F22" s="2" t="s">
        <v>16</v>
      </c>
      <c r="G22" s="2">
        <v>4.0</v>
      </c>
      <c r="H22" s="2">
        <v>2.0</v>
      </c>
      <c r="I22" s="2" t="str">
        <f>IF(ISNUMBER(MATCH(B22,Inventory_Tracking!$B$2:$B$1000,0)),"No","Yes")
</f>
        <v>Yes</v>
      </c>
      <c r="J22" s="2">
        <v>2.0</v>
      </c>
      <c r="L22" s="2"/>
    </row>
    <row r="23" ht="15.75" customHeight="1">
      <c r="A23" s="2" t="s">
        <v>11</v>
      </c>
      <c r="B23" s="2" t="s">
        <v>50</v>
      </c>
      <c r="C23" s="2" t="s">
        <v>51</v>
      </c>
      <c r="D23" s="2" t="s">
        <v>51</v>
      </c>
      <c r="E23" s="2" t="s">
        <v>21</v>
      </c>
      <c r="F23" s="2" t="s">
        <v>16</v>
      </c>
      <c r="G23" s="2">
        <v>4.0</v>
      </c>
      <c r="H23" s="2">
        <v>2.0</v>
      </c>
      <c r="I23" s="2" t="str">
        <f>IF(ISNUMBER(MATCH(B23,Inventory_Tracking!$B$2:$B$1000,0)),"No","Yes")
</f>
        <v>Yes</v>
      </c>
      <c r="J23" s="2">
        <v>2.0</v>
      </c>
      <c r="L23" s="2"/>
    </row>
    <row r="24" ht="15.75" customHeight="1">
      <c r="A24" s="3" t="s">
        <v>11</v>
      </c>
      <c r="B24" s="3" t="s">
        <v>50</v>
      </c>
      <c r="C24" s="3" t="s">
        <v>52</v>
      </c>
      <c r="D24" s="3" t="s">
        <v>52</v>
      </c>
      <c r="E24" s="3" t="s">
        <v>15</v>
      </c>
      <c r="F24" s="3" t="s">
        <v>16</v>
      </c>
      <c r="G24" s="4">
        <v>4.0</v>
      </c>
      <c r="H24" s="4">
        <v>2.0</v>
      </c>
      <c r="I24" s="2" t="str">
        <f>IF(ISNUMBER(MATCH(B24,Inventory_Tracking!$B$2:$B$1000,0)),"No","Yes")
</f>
        <v>Yes</v>
      </c>
      <c r="J24" s="4">
        <v>2.0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 t="s">
        <v>11</v>
      </c>
      <c r="B25" s="2" t="s">
        <v>50</v>
      </c>
      <c r="C25" s="2" t="s">
        <v>53</v>
      </c>
      <c r="D25" s="2" t="s">
        <v>53</v>
      </c>
      <c r="E25" s="2" t="s">
        <v>21</v>
      </c>
      <c r="F25" s="2" t="s">
        <v>16</v>
      </c>
      <c r="G25" s="2">
        <v>4.0</v>
      </c>
      <c r="H25" s="2">
        <v>2.0</v>
      </c>
      <c r="I25" s="2" t="str">
        <f>IF(ISNUMBER(MATCH(B25,Inventory_Tracking!$B$2:$B$1000,0)),"No","Yes")
</f>
        <v>Yes</v>
      </c>
      <c r="J25" s="2">
        <v>2.0</v>
      </c>
      <c r="L25" s="2"/>
    </row>
    <row r="26" ht="15.75" customHeight="1">
      <c r="A26" s="2" t="s">
        <v>11</v>
      </c>
      <c r="B26" s="2" t="s">
        <v>50</v>
      </c>
      <c r="C26" s="2" t="s">
        <v>54</v>
      </c>
      <c r="D26" s="2" t="s">
        <v>55</v>
      </c>
      <c r="E26" s="2" t="s">
        <v>21</v>
      </c>
      <c r="F26" s="2" t="s">
        <v>16</v>
      </c>
      <c r="G26" s="2">
        <v>6.0</v>
      </c>
      <c r="H26" s="2">
        <v>3.0</v>
      </c>
      <c r="I26" s="2" t="str">
        <f>IF(ISNUMBER(MATCH(B26,Inventory_Tracking!$B$2:$B$1000,0)),"No","Yes")
</f>
        <v>Yes</v>
      </c>
      <c r="J26" s="2">
        <v>2.0</v>
      </c>
      <c r="L26" s="2"/>
    </row>
    <row r="27" ht="15.75" customHeight="1">
      <c r="A27" s="2" t="s">
        <v>11</v>
      </c>
      <c r="B27" s="2" t="s">
        <v>50</v>
      </c>
      <c r="C27" s="2" t="s">
        <v>56</v>
      </c>
      <c r="D27" s="2" t="s">
        <v>57</v>
      </c>
      <c r="E27" s="2" t="s">
        <v>21</v>
      </c>
      <c r="F27" s="2" t="s">
        <v>16</v>
      </c>
      <c r="G27" s="2">
        <v>3.0</v>
      </c>
      <c r="H27" s="2">
        <v>1.0</v>
      </c>
      <c r="I27" s="2" t="str">
        <f>IF(ISNUMBER(MATCH(B27,Inventory_Tracking!$B$2:$B$1000,0)),"No","Yes")
</f>
        <v>Yes</v>
      </c>
      <c r="J27" s="2">
        <v>2.0</v>
      </c>
      <c r="L27" s="2"/>
    </row>
    <row r="28" ht="15.75" customHeight="1">
      <c r="A28" s="2" t="s">
        <v>11</v>
      </c>
      <c r="B28" s="2" t="s">
        <v>50</v>
      </c>
      <c r="C28" s="2" t="s">
        <v>58</v>
      </c>
      <c r="D28" s="2" t="s">
        <v>59</v>
      </c>
      <c r="E28" s="2" t="s">
        <v>21</v>
      </c>
      <c r="F28" s="2" t="s">
        <v>16</v>
      </c>
      <c r="G28" s="2">
        <v>6.0</v>
      </c>
      <c r="H28" s="2">
        <v>3.0</v>
      </c>
      <c r="I28" s="2" t="str">
        <f>IF(ISNUMBER(MATCH(B28,Inventory_Tracking!$B$2:$B$1000,0)),"No","Yes")
</f>
        <v>Yes</v>
      </c>
      <c r="J28" s="2">
        <v>2.0</v>
      </c>
      <c r="L28" s="2"/>
    </row>
    <row r="29" ht="15.75" customHeight="1">
      <c r="A29" s="2" t="s">
        <v>11</v>
      </c>
      <c r="B29" s="2" t="s">
        <v>50</v>
      </c>
      <c r="C29" s="2" t="s">
        <v>60</v>
      </c>
      <c r="D29" s="2" t="s">
        <v>61</v>
      </c>
      <c r="E29" s="2" t="s">
        <v>21</v>
      </c>
      <c r="F29" s="2" t="s">
        <v>16</v>
      </c>
      <c r="G29" s="2">
        <v>5.0</v>
      </c>
      <c r="H29" s="2">
        <v>2.0</v>
      </c>
      <c r="I29" s="2" t="str">
        <f>IF(ISNUMBER(MATCH(B29,Inventory_Tracking!$B$2:$B$1000,0)),"No","Yes")
</f>
        <v>Yes</v>
      </c>
      <c r="J29" s="2">
        <v>2.0</v>
      </c>
      <c r="L29" s="2"/>
    </row>
    <row r="30" ht="15.75" customHeight="1">
      <c r="A30" s="2" t="s">
        <v>11</v>
      </c>
      <c r="B30" s="2" t="s">
        <v>50</v>
      </c>
      <c r="C30" s="2" t="s">
        <v>62</v>
      </c>
      <c r="D30" s="2" t="s">
        <v>32</v>
      </c>
      <c r="E30" s="2" t="s">
        <v>21</v>
      </c>
      <c r="F30" s="2" t="s">
        <v>16</v>
      </c>
      <c r="G30" s="2">
        <v>5.0</v>
      </c>
      <c r="H30" s="2">
        <v>2.0</v>
      </c>
      <c r="I30" s="2" t="str">
        <f>IF(ISNUMBER(MATCH(B30,Inventory_Tracking!$B$2:$B$1000,0)),"No","Yes")
</f>
        <v>Yes</v>
      </c>
      <c r="J30" s="2">
        <v>2.0</v>
      </c>
      <c r="L30" s="2"/>
    </row>
    <row r="31" ht="15.75" customHeight="1">
      <c r="A31" s="2" t="s">
        <v>11</v>
      </c>
      <c r="B31" s="2" t="s">
        <v>63</v>
      </c>
      <c r="C31" s="2" t="s">
        <v>64</v>
      </c>
      <c r="D31" s="2" t="s">
        <v>65</v>
      </c>
      <c r="E31" s="2" t="s">
        <v>21</v>
      </c>
      <c r="F31" s="2" t="s">
        <v>16</v>
      </c>
      <c r="G31" s="2">
        <v>4.0</v>
      </c>
      <c r="H31" s="2">
        <v>2.0</v>
      </c>
      <c r="I31" s="2" t="str">
        <f>IF(ISNUMBER(MATCH(B31,Inventory_Tracking!$B$2:$B$1000,0)),"No","Yes")
</f>
        <v>Yes</v>
      </c>
      <c r="J31" s="2">
        <v>2.0</v>
      </c>
      <c r="L31" s="2"/>
    </row>
    <row r="32" ht="15.75" customHeight="1">
      <c r="A32" s="2" t="s">
        <v>11</v>
      </c>
      <c r="B32" s="2" t="s">
        <v>63</v>
      </c>
      <c r="C32" s="2" t="s">
        <v>66</v>
      </c>
      <c r="D32" s="2" t="s">
        <v>67</v>
      </c>
      <c r="E32" s="2" t="s">
        <v>15</v>
      </c>
      <c r="F32" s="2" t="s">
        <v>16</v>
      </c>
      <c r="G32" s="2">
        <v>3.0</v>
      </c>
      <c r="H32" s="2">
        <v>1.0</v>
      </c>
      <c r="I32" s="2" t="str">
        <f>IF(ISNUMBER(MATCH(B32,Inventory_Tracking!$B$2:$B$1000,0)),"No","Yes")
</f>
        <v>Yes</v>
      </c>
      <c r="J32" s="2">
        <v>2.0</v>
      </c>
      <c r="L32" s="2"/>
    </row>
    <row r="33" ht="15.75" customHeight="1">
      <c r="A33" s="2" t="s">
        <v>11</v>
      </c>
      <c r="B33" s="2" t="s">
        <v>63</v>
      </c>
      <c r="C33" s="2" t="s">
        <v>68</v>
      </c>
      <c r="D33" s="2" t="s">
        <v>67</v>
      </c>
      <c r="E33" s="2" t="s">
        <v>15</v>
      </c>
      <c r="F33" s="2" t="s">
        <v>16</v>
      </c>
      <c r="G33" s="2">
        <v>2.0</v>
      </c>
      <c r="H33" s="2">
        <v>1.0</v>
      </c>
      <c r="I33" s="2" t="str">
        <f>IF(ISNUMBER(MATCH(B33,Inventory_Tracking!$B$2:$B$1000,0)),"No","Yes")
</f>
        <v>Yes</v>
      </c>
      <c r="J33" s="2">
        <v>2.0</v>
      </c>
      <c r="L33" s="2"/>
    </row>
    <row r="34" ht="15.75" customHeight="1">
      <c r="A34" s="2" t="s">
        <v>11</v>
      </c>
      <c r="B34" s="2" t="s">
        <v>63</v>
      </c>
      <c r="C34" s="2" t="s">
        <v>69</v>
      </c>
      <c r="D34" s="2" t="s">
        <v>67</v>
      </c>
      <c r="E34" s="2" t="s">
        <v>21</v>
      </c>
      <c r="F34" s="2" t="s">
        <v>16</v>
      </c>
      <c r="G34" s="2">
        <v>2.0</v>
      </c>
      <c r="H34" s="2">
        <v>1.0</v>
      </c>
      <c r="I34" s="2" t="str">
        <f>IF(ISNUMBER(MATCH(B34,Inventory_Tracking!$B$2:$B$1000,0)),"No","Yes")
</f>
        <v>Yes</v>
      </c>
      <c r="J34" s="2">
        <v>2.0</v>
      </c>
      <c r="L34" s="2"/>
    </row>
    <row r="35" ht="15.75" customHeight="1">
      <c r="A35" s="2" t="s">
        <v>11</v>
      </c>
      <c r="B35" s="2" t="s">
        <v>63</v>
      </c>
      <c r="C35" s="2" t="s">
        <v>70</v>
      </c>
      <c r="D35" s="2" t="s">
        <v>71</v>
      </c>
      <c r="E35" s="2" t="s">
        <v>21</v>
      </c>
      <c r="F35" s="2" t="s">
        <v>16</v>
      </c>
      <c r="G35" s="2">
        <v>3.0</v>
      </c>
      <c r="H35" s="2">
        <v>1.0</v>
      </c>
      <c r="I35" s="2" t="str">
        <f>IF(ISNUMBER(MATCH(B35,Inventory_Tracking!$B$2:$B$1000,0)),"No","Yes")
</f>
        <v>Yes</v>
      </c>
      <c r="J35" s="2">
        <v>2.0</v>
      </c>
      <c r="L35" s="2"/>
    </row>
    <row r="36" ht="15.75" customHeight="1">
      <c r="A36" s="2" t="s">
        <v>11</v>
      </c>
      <c r="B36" s="2" t="s">
        <v>63</v>
      </c>
      <c r="C36" s="2" t="s">
        <v>72</v>
      </c>
      <c r="D36" s="2" t="s">
        <v>71</v>
      </c>
      <c r="E36" s="2" t="s">
        <v>15</v>
      </c>
      <c r="F36" s="2" t="s">
        <v>16</v>
      </c>
      <c r="G36" s="2">
        <v>3.0</v>
      </c>
      <c r="H36" s="2">
        <v>1.0</v>
      </c>
      <c r="I36" s="2" t="str">
        <f>IF(ISNUMBER(MATCH(B36,Inventory_Tracking!$B$2:$B$1000,0)),"No","Yes")
</f>
        <v>Yes</v>
      </c>
      <c r="J36" s="2">
        <v>2.0</v>
      </c>
      <c r="L36" s="2"/>
    </row>
    <row r="37" ht="15.75" customHeight="1">
      <c r="A37" s="2" t="s">
        <v>11</v>
      </c>
      <c r="B37" s="2" t="s">
        <v>63</v>
      </c>
      <c r="C37" s="2" t="s">
        <v>73</v>
      </c>
      <c r="D37" s="2" t="s">
        <v>74</v>
      </c>
      <c r="E37" s="2" t="s">
        <v>21</v>
      </c>
      <c r="F37" s="2" t="s">
        <v>16</v>
      </c>
      <c r="G37" s="2">
        <v>3.0</v>
      </c>
      <c r="H37" s="2">
        <v>1.0</v>
      </c>
      <c r="I37" s="2" t="str">
        <f>IF(ISNUMBER(MATCH(B37,Inventory_Tracking!$B$2:$B$1000,0)),"No","Yes")
</f>
        <v>Yes</v>
      </c>
      <c r="J37" s="2">
        <v>2.0</v>
      </c>
      <c r="L37" s="2"/>
    </row>
    <row r="38" ht="15.75" customHeight="1">
      <c r="A38" s="2" t="s">
        <v>11</v>
      </c>
      <c r="B38" s="2" t="s">
        <v>63</v>
      </c>
      <c r="C38" s="2" t="s">
        <v>75</v>
      </c>
      <c r="D38" s="2" t="s">
        <v>74</v>
      </c>
      <c r="E38" s="2" t="s">
        <v>21</v>
      </c>
      <c r="F38" s="2" t="s">
        <v>16</v>
      </c>
      <c r="G38" s="2">
        <v>2.0</v>
      </c>
      <c r="H38" s="2">
        <v>1.0</v>
      </c>
      <c r="I38" s="2" t="str">
        <f>IF(ISNUMBER(MATCH(B38,Inventory_Tracking!$B$2:$B$1000,0)),"No","Yes")
</f>
        <v>Yes</v>
      </c>
      <c r="J38" s="2">
        <v>2.0</v>
      </c>
      <c r="L38" s="2"/>
    </row>
    <row r="39" ht="15.75" customHeight="1">
      <c r="A39" s="2" t="s">
        <v>11</v>
      </c>
      <c r="B39" s="2" t="s">
        <v>63</v>
      </c>
      <c r="C39" s="2" t="s">
        <v>76</v>
      </c>
      <c r="D39" s="2" t="s">
        <v>77</v>
      </c>
      <c r="E39" s="2" t="s">
        <v>21</v>
      </c>
      <c r="F39" s="2" t="s">
        <v>16</v>
      </c>
      <c r="G39" s="2">
        <v>4.0</v>
      </c>
      <c r="H39" s="2">
        <v>2.0</v>
      </c>
      <c r="I39" s="2" t="str">
        <f>IF(ISNUMBER(MATCH(B39,Inventory_Tracking!$B$2:$B$1000,0)),"No","Yes")
</f>
        <v>Yes</v>
      </c>
      <c r="J39" s="2">
        <v>2.0</v>
      </c>
      <c r="L39" s="2"/>
    </row>
    <row r="40" ht="15.75" customHeight="1">
      <c r="A40" s="2" t="s">
        <v>11</v>
      </c>
      <c r="B40" s="2" t="s">
        <v>63</v>
      </c>
      <c r="C40" s="2" t="s">
        <v>78</v>
      </c>
      <c r="D40" s="2" t="s">
        <v>77</v>
      </c>
      <c r="E40" s="2" t="s">
        <v>21</v>
      </c>
      <c r="F40" s="2" t="s">
        <v>16</v>
      </c>
      <c r="G40" s="2">
        <v>1.0</v>
      </c>
      <c r="H40" s="2">
        <v>1.0</v>
      </c>
      <c r="I40" s="2" t="str">
        <f>IF(ISNUMBER(MATCH(B40,Inventory_Tracking!$B$2:$B$1000,0)),"No","Yes")
</f>
        <v>Yes</v>
      </c>
      <c r="J40" s="2">
        <v>2.0</v>
      </c>
      <c r="L40" s="2"/>
    </row>
    <row r="41" ht="15.75" customHeight="1">
      <c r="A41" s="2" t="s">
        <v>11</v>
      </c>
      <c r="B41" s="2" t="s">
        <v>63</v>
      </c>
      <c r="C41" s="2" t="s">
        <v>79</v>
      </c>
      <c r="D41" s="2" t="s">
        <v>80</v>
      </c>
      <c r="E41" s="2" t="s">
        <v>21</v>
      </c>
      <c r="F41" s="2" t="s">
        <v>16</v>
      </c>
      <c r="G41" s="2">
        <v>1.0</v>
      </c>
      <c r="H41" s="2">
        <v>1.0</v>
      </c>
      <c r="I41" s="2" t="str">
        <f>IF(ISNUMBER(MATCH(B41,Inventory_Tracking!$B$2:$B$1000,0)),"No","Yes")
</f>
        <v>Yes</v>
      </c>
      <c r="J41" s="2">
        <v>2.0</v>
      </c>
      <c r="L41" s="2"/>
    </row>
    <row r="42" ht="15.75" customHeight="1">
      <c r="A42" s="2" t="s">
        <v>11</v>
      </c>
      <c r="B42" s="2" t="s">
        <v>81</v>
      </c>
      <c r="C42" s="2" t="s">
        <v>82</v>
      </c>
      <c r="D42" s="2" t="s">
        <v>83</v>
      </c>
      <c r="E42" s="2" t="s">
        <v>15</v>
      </c>
      <c r="F42" s="2" t="s">
        <v>16</v>
      </c>
      <c r="G42" s="2">
        <v>8.0</v>
      </c>
      <c r="H42" s="2">
        <v>4.0</v>
      </c>
      <c r="I42" s="2" t="str">
        <f>IF(ISNUMBER(MATCH(B42,Inventory_Tracking!$B$2:$B$1000,0)),"No","Yes")
</f>
        <v>Yes</v>
      </c>
      <c r="J42" s="2">
        <v>2.0</v>
      </c>
      <c r="L42" s="2"/>
    </row>
    <row r="43" ht="15.75" customHeight="1">
      <c r="A43" s="2" t="s">
        <v>11</v>
      </c>
      <c r="B43" s="2" t="s">
        <v>81</v>
      </c>
      <c r="C43" s="2" t="s">
        <v>84</v>
      </c>
      <c r="D43" s="2" t="s">
        <v>84</v>
      </c>
      <c r="E43" s="2" t="s">
        <v>21</v>
      </c>
      <c r="F43" s="2" t="s">
        <v>16</v>
      </c>
      <c r="G43" s="2">
        <v>5.0</v>
      </c>
      <c r="H43" s="2">
        <v>2.0</v>
      </c>
      <c r="I43" s="2" t="str">
        <f>IF(ISNUMBER(MATCH(B43,Inventory_Tracking!$B$2:$B$1000,0)),"No","Yes")
</f>
        <v>Yes</v>
      </c>
      <c r="J43" s="2">
        <v>2.0</v>
      </c>
      <c r="L43" s="2"/>
    </row>
    <row r="44" ht="15.75" customHeight="1">
      <c r="A44" s="2" t="s">
        <v>11</v>
      </c>
      <c r="B44" s="2" t="s">
        <v>81</v>
      </c>
      <c r="C44" s="2" t="s">
        <v>85</v>
      </c>
      <c r="D44" s="2" t="s">
        <v>86</v>
      </c>
      <c r="E44" s="2" t="s">
        <v>21</v>
      </c>
      <c r="F44" s="2" t="s">
        <v>16</v>
      </c>
      <c r="G44" s="2">
        <v>4.0</v>
      </c>
      <c r="H44" s="2">
        <v>2.0</v>
      </c>
      <c r="I44" s="2" t="str">
        <f>IF(ISNUMBER(MATCH(B44,Inventory_Tracking!$B$2:$B$1000,0)),"No","Yes")
</f>
        <v>Yes</v>
      </c>
      <c r="J44" s="2">
        <v>2.0</v>
      </c>
      <c r="L44" s="2"/>
    </row>
    <row r="45" ht="15.75" customHeight="1">
      <c r="A45" s="2" t="s">
        <v>11</v>
      </c>
      <c r="B45" s="2" t="s">
        <v>81</v>
      </c>
      <c r="C45" s="2" t="s">
        <v>87</v>
      </c>
      <c r="D45" s="2" t="s">
        <v>88</v>
      </c>
      <c r="E45" s="2" t="s">
        <v>15</v>
      </c>
      <c r="F45" s="2" t="s">
        <v>16</v>
      </c>
      <c r="G45" s="2">
        <v>4.0</v>
      </c>
      <c r="H45" s="2">
        <v>2.0</v>
      </c>
      <c r="I45" s="2" t="str">
        <f>IF(ISNUMBER(MATCH(B45,Inventory_Tracking!$B$2:$B$1000,0)),"No","Yes")
</f>
        <v>Yes</v>
      </c>
      <c r="J45" s="2">
        <v>2.0</v>
      </c>
      <c r="L45" s="2"/>
    </row>
    <row r="46" ht="15.75" customHeight="1">
      <c r="A46" s="2" t="s">
        <v>11</v>
      </c>
      <c r="B46" s="2" t="s">
        <v>81</v>
      </c>
      <c r="C46" s="2" t="s">
        <v>89</v>
      </c>
      <c r="D46" s="2" t="s">
        <v>88</v>
      </c>
      <c r="E46" s="2" t="s">
        <v>15</v>
      </c>
      <c r="F46" s="2" t="s">
        <v>16</v>
      </c>
      <c r="G46" s="2">
        <v>4.0</v>
      </c>
      <c r="H46" s="2">
        <v>2.0</v>
      </c>
      <c r="I46" s="2" t="str">
        <f>IF(ISNUMBER(MATCH(B46,Inventory_Tracking!$B$2:$B$1000,0)),"No","Yes")
</f>
        <v>Yes</v>
      </c>
      <c r="J46" s="2">
        <v>2.0</v>
      </c>
      <c r="L46" s="2"/>
    </row>
    <row r="47" ht="15.75" customHeight="1">
      <c r="A47" s="2" t="s">
        <v>11</v>
      </c>
      <c r="B47" s="2" t="s">
        <v>81</v>
      </c>
      <c r="C47" s="2" t="s">
        <v>90</v>
      </c>
      <c r="D47" s="2" t="s">
        <v>88</v>
      </c>
      <c r="E47" s="2" t="s">
        <v>15</v>
      </c>
      <c r="F47" s="2" t="s">
        <v>16</v>
      </c>
      <c r="G47" s="2">
        <v>4.0</v>
      </c>
      <c r="H47" s="2">
        <v>2.0</v>
      </c>
      <c r="I47" s="2" t="str">
        <f>IF(ISNUMBER(MATCH(B47,Inventory_Tracking!$B$2:$B$1000,0)),"No","Yes")
</f>
        <v>Yes</v>
      </c>
      <c r="J47" s="2">
        <v>2.0</v>
      </c>
      <c r="L47" s="2"/>
    </row>
    <row r="48" ht="15.75" customHeight="1">
      <c r="A48" s="2" t="s">
        <v>11</v>
      </c>
      <c r="B48" s="2" t="s">
        <v>81</v>
      </c>
      <c r="C48" s="2" t="s">
        <v>91</v>
      </c>
      <c r="D48" s="2" t="s">
        <v>88</v>
      </c>
      <c r="E48" s="2" t="s">
        <v>15</v>
      </c>
      <c r="F48" s="2" t="s">
        <v>16</v>
      </c>
      <c r="G48" s="2">
        <v>4.0</v>
      </c>
      <c r="H48" s="2">
        <v>2.0</v>
      </c>
      <c r="I48" s="2" t="str">
        <f>IF(ISNUMBER(MATCH(B48,Inventory_Tracking!$B$2:$B$1000,0)),"No","Yes")
</f>
        <v>Yes</v>
      </c>
      <c r="J48" s="2">
        <v>2.0</v>
      </c>
      <c r="L48" s="2"/>
    </row>
    <row r="49" ht="15.75" customHeight="1">
      <c r="A49" s="2" t="s">
        <v>11</v>
      </c>
      <c r="B49" s="2" t="s">
        <v>81</v>
      </c>
      <c r="C49" s="2" t="s">
        <v>92</v>
      </c>
      <c r="D49" s="2" t="s">
        <v>93</v>
      </c>
      <c r="E49" s="2" t="s">
        <v>21</v>
      </c>
      <c r="F49" s="2" t="s">
        <v>16</v>
      </c>
      <c r="G49" s="2">
        <v>3.0</v>
      </c>
      <c r="H49" s="2">
        <v>1.0</v>
      </c>
      <c r="I49" s="2" t="str">
        <f>IF(ISNUMBER(MATCH(B49,Inventory_Tracking!$B$2:$B$1000,0)),"No","Yes")
</f>
        <v>Yes</v>
      </c>
      <c r="J49" s="2">
        <v>2.0</v>
      </c>
      <c r="L49" s="2"/>
    </row>
    <row r="50" ht="15.75" customHeight="1">
      <c r="A50" s="2" t="s">
        <v>11</v>
      </c>
      <c r="B50" s="2" t="s">
        <v>81</v>
      </c>
      <c r="C50" s="2" t="s">
        <v>94</v>
      </c>
      <c r="D50" s="2" t="s">
        <v>94</v>
      </c>
      <c r="E50" s="2" t="s">
        <v>15</v>
      </c>
      <c r="F50" s="2" t="s">
        <v>16</v>
      </c>
      <c r="G50" s="2">
        <v>6.0</v>
      </c>
      <c r="H50" s="2">
        <v>3.0</v>
      </c>
      <c r="I50" s="2" t="str">
        <f>IF(ISNUMBER(MATCH(B50,Inventory_Tracking!$B$2:$B$1000,0)),"No","Yes")
</f>
        <v>Yes</v>
      </c>
      <c r="J50" s="2">
        <v>2.0</v>
      </c>
      <c r="L50" s="2"/>
    </row>
    <row r="51" ht="15.75" customHeight="1">
      <c r="A51" s="3" t="s">
        <v>11</v>
      </c>
      <c r="B51" s="3" t="s">
        <v>81</v>
      </c>
      <c r="C51" s="3" t="s">
        <v>95</v>
      </c>
      <c r="D51" s="3" t="s">
        <v>94</v>
      </c>
      <c r="E51" s="3" t="s">
        <v>15</v>
      </c>
      <c r="F51" s="3" t="s">
        <v>16</v>
      </c>
      <c r="G51" s="4">
        <v>4.0</v>
      </c>
      <c r="H51" s="4">
        <v>2.0</v>
      </c>
      <c r="I51" s="2" t="str">
        <f>IF(ISNUMBER(MATCH(B51,Inventory_Tracking!$B$2:$B$1000,0)),"No","Yes")
</f>
        <v>Yes</v>
      </c>
      <c r="J51" s="4">
        <v>2.0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11</v>
      </c>
      <c r="B52" s="3" t="s">
        <v>81</v>
      </c>
      <c r="C52" s="3" t="s">
        <v>96</v>
      </c>
      <c r="D52" s="3" t="s">
        <v>94</v>
      </c>
      <c r="E52" s="3" t="s">
        <v>21</v>
      </c>
      <c r="F52" s="3" t="s">
        <v>16</v>
      </c>
      <c r="G52" s="4">
        <v>4.0</v>
      </c>
      <c r="H52" s="4">
        <v>2.0</v>
      </c>
      <c r="I52" s="2" t="str">
        <f>IF(ISNUMBER(MATCH(B52,Inventory_Tracking!$B$2:$B$1000,0)),"No","Yes")
</f>
        <v>Yes</v>
      </c>
      <c r="J52" s="4">
        <v>2.0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 t="s">
        <v>11</v>
      </c>
      <c r="B53" s="2" t="s">
        <v>81</v>
      </c>
      <c r="C53" s="2" t="s">
        <v>97</v>
      </c>
      <c r="D53" s="2" t="s">
        <v>94</v>
      </c>
      <c r="E53" s="2" t="s">
        <v>15</v>
      </c>
      <c r="F53" s="2" t="s">
        <v>16</v>
      </c>
      <c r="G53" s="2">
        <v>4.0</v>
      </c>
      <c r="H53" s="2">
        <v>2.0</v>
      </c>
      <c r="I53" s="2" t="str">
        <f>IF(ISNUMBER(MATCH(B53,Inventory_Tracking!$B$2:$B$1000,0)),"No","Yes")
</f>
        <v>Yes</v>
      </c>
      <c r="J53" s="2">
        <v>2.0</v>
      </c>
      <c r="L53" s="2"/>
    </row>
    <row r="54" ht="15.75" customHeight="1">
      <c r="A54" s="2" t="s">
        <v>11</v>
      </c>
      <c r="B54" s="2" t="s">
        <v>81</v>
      </c>
      <c r="C54" s="2" t="s">
        <v>98</v>
      </c>
      <c r="D54" s="2" t="s">
        <v>94</v>
      </c>
      <c r="E54" s="2" t="s">
        <v>15</v>
      </c>
      <c r="F54" s="2" t="s">
        <v>16</v>
      </c>
      <c r="G54" s="2">
        <v>4.0</v>
      </c>
      <c r="H54" s="2">
        <v>2.0</v>
      </c>
      <c r="I54" s="2" t="str">
        <f>IF(ISNUMBER(MATCH(B54,Inventory_Tracking!$B$2:$B$1000,0)),"No","Yes")
</f>
        <v>Yes</v>
      </c>
      <c r="J54" s="2">
        <v>2.0</v>
      </c>
      <c r="L54" s="2"/>
    </row>
    <row r="55" ht="15.75" customHeight="1">
      <c r="A55" s="2" t="s">
        <v>11</v>
      </c>
      <c r="B55" s="2" t="s">
        <v>81</v>
      </c>
      <c r="C55" s="2" t="s">
        <v>99</v>
      </c>
      <c r="D55" s="2" t="s">
        <v>94</v>
      </c>
      <c r="E55" s="2" t="s">
        <v>21</v>
      </c>
      <c r="F55" s="2" t="s">
        <v>16</v>
      </c>
      <c r="G55" s="2">
        <v>4.0</v>
      </c>
      <c r="H55" s="2">
        <v>2.0</v>
      </c>
      <c r="I55" s="2" t="str">
        <f>IF(ISNUMBER(MATCH(B55,Inventory_Tracking!$B$2:$B$1000,0)),"No","Yes")
</f>
        <v>Yes</v>
      </c>
      <c r="J55" s="2">
        <v>2.0</v>
      </c>
      <c r="L55" s="2"/>
    </row>
    <row r="56" ht="15.75" customHeight="1">
      <c r="A56" s="2" t="s">
        <v>11</v>
      </c>
      <c r="B56" s="2" t="s">
        <v>81</v>
      </c>
      <c r="C56" s="2" t="s">
        <v>100</v>
      </c>
      <c r="D56" s="2" t="s">
        <v>101</v>
      </c>
      <c r="E56" s="2" t="s">
        <v>15</v>
      </c>
      <c r="F56" s="2" t="s">
        <v>16</v>
      </c>
      <c r="G56" s="2"/>
      <c r="H56" s="2"/>
      <c r="I56" s="2" t="str">
        <f>IF(ISNUMBER(MATCH(B56,Inventory_Tracking!$B$2:$B$1000,0)),"No","Yes")
</f>
        <v>Yes</v>
      </c>
      <c r="J56" s="2"/>
      <c r="L56" s="2"/>
    </row>
    <row r="57" ht="15.75" customHeight="1">
      <c r="A57" s="2" t="s">
        <v>11</v>
      </c>
      <c r="B57" s="2" t="s">
        <v>81</v>
      </c>
      <c r="C57" s="2" t="s">
        <v>102</v>
      </c>
      <c r="D57" s="2" t="s">
        <v>102</v>
      </c>
      <c r="E57" s="2" t="s">
        <v>15</v>
      </c>
      <c r="F57" s="2" t="s">
        <v>16</v>
      </c>
      <c r="G57" s="2">
        <v>4.0</v>
      </c>
      <c r="H57" s="2">
        <v>2.0</v>
      </c>
      <c r="I57" s="2" t="str">
        <f>IF(ISNUMBER(MATCH(B57,Inventory_Tracking!$B$2:$B$1000,0)),"No","Yes")
</f>
        <v>Yes</v>
      </c>
      <c r="J57" s="2">
        <v>2.0</v>
      </c>
      <c r="L57" s="2"/>
    </row>
    <row r="58" ht="15.75" customHeight="1">
      <c r="A58" s="2" t="s">
        <v>11</v>
      </c>
      <c r="B58" s="2" t="s">
        <v>81</v>
      </c>
      <c r="C58" s="2" t="s">
        <v>103</v>
      </c>
      <c r="D58" s="2" t="s">
        <v>104</v>
      </c>
      <c r="E58" s="2" t="s">
        <v>21</v>
      </c>
      <c r="F58" s="2" t="s">
        <v>16</v>
      </c>
      <c r="G58" s="2">
        <v>3.0</v>
      </c>
      <c r="H58" s="2">
        <v>1.0</v>
      </c>
      <c r="I58" s="2" t="str">
        <f>IF(ISNUMBER(MATCH(B58,Inventory_Tracking!$B$2:$B$1000,0)),"No","Yes")
</f>
        <v>Yes</v>
      </c>
      <c r="J58" s="2">
        <v>2.0</v>
      </c>
      <c r="L58" s="2"/>
    </row>
    <row r="59" ht="15.75" customHeight="1">
      <c r="A59" s="2" t="s">
        <v>11</v>
      </c>
      <c r="B59" s="2" t="s">
        <v>105</v>
      </c>
      <c r="C59" s="2" t="s">
        <v>106</v>
      </c>
      <c r="D59" s="2" t="s">
        <v>106</v>
      </c>
      <c r="E59" s="2" t="s">
        <v>15</v>
      </c>
      <c r="F59" s="2" t="s">
        <v>16</v>
      </c>
      <c r="G59" s="2">
        <v>4.0</v>
      </c>
      <c r="H59" s="2">
        <v>2.0</v>
      </c>
      <c r="I59" s="2" t="str">
        <f>IF(ISNUMBER(MATCH(B59,Inventory_Tracking!$B$2:$B$1000,0)),"No","Yes")
</f>
        <v>Yes</v>
      </c>
      <c r="J59" s="2">
        <v>2.0</v>
      </c>
      <c r="L59" s="2"/>
    </row>
    <row r="60" ht="15.75" customHeight="1">
      <c r="A60" s="2" t="s">
        <v>11</v>
      </c>
      <c r="B60" s="2" t="s">
        <v>105</v>
      </c>
      <c r="C60" s="2" t="s">
        <v>107</v>
      </c>
      <c r="D60" s="2" t="s">
        <v>107</v>
      </c>
      <c r="E60" s="2" t="s">
        <v>21</v>
      </c>
      <c r="F60" s="2" t="s">
        <v>16</v>
      </c>
      <c r="G60" s="2">
        <v>4.0</v>
      </c>
      <c r="H60" s="2">
        <v>2.0</v>
      </c>
      <c r="I60" s="2" t="str">
        <f>IF(ISNUMBER(MATCH(B60,Inventory_Tracking!$B$2:$B$1000,0)),"No","Yes")
</f>
        <v>Yes</v>
      </c>
      <c r="J60" s="2">
        <v>2.0</v>
      </c>
      <c r="L60" s="2"/>
    </row>
    <row r="61" ht="15.75" customHeight="1">
      <c r="A61" s="2" t="s">
        <v>11</v>
      </c>
      <c r="B61" s="2" t="s">
        <v>105</v>
      </c>
      <c r="C61" s="2" t="s">
        <v>108</v>
      </c>
      <c r="D61" s="2" t="s">
        <v>108</v>
      </c>
      <c r="E61" s="2" t="s">
        <v>21</v>
      </c>
      <c r="F61" s="2" t="s">
        <v>16</v>
      </c>
      <c r="G61" s="2">
        <v>4.0</v>
      </c>
      <c r="H61" s="2">
        <v>2.0</v>
      </c>
      <c r="I61" s="2" t="str">
        <f>IF(ISNUMBER(MATCH(B61,Inventory_Tracking!$B$2:$B$1000,0)),"No","Yes")
</f>
        <v>Yes</v>
      </c>
      <c r="J61" s="2">
        <v>2.0</v>
      </c>
      <c r="L61" s="2"/>
    </row>
    <row r="62" ht="15.75" customHeight="1">
      <c r="A62" s="2" t="s">
        <v>11</v>
      </c>
      <c r="B62" s="2" t="s">
        <v>105</v>
      </c>
      <c r="C62" s="2" t="s">
        <v>109</v>
      </c>
      <c r="D62" s="2" t="s">
        <v>109</v>
      </c>
      <c r="E62" s="2" t="s">
        <v>21</v>
      </c>
      <c r="F62" s="2" t="s">
        <v>16</v>
      </c>
      <c r="G62" s="2">
        <v>4.0</v>
      </c>
      <c r="H62" s="2">
        <v>2.0</v>
      </c>
      <c r="I62" s="2" t="str">
        <f>IF(ISNUMBER(MATCH(B62,Inventory_Tracking!$B$2:$B$1000,0)),"No","Yes")
</f>
        <v>Yes</v>
      </c>
      <c r="J62" s="2">
        <v>2.0</v>
      </c>
      <c r="L62" s="2"/>
    </row>
    <row r="63" ht="15.75" customHeight="1">
      <c r="A63" s="2" t="s">
        <v>11</v>
      </c>
      <c r="B63" s="2" t="s">
        <v>110</v>
      </c>
      <c r="C63" s="2" t="s">
        <v>111</v>
      </c>
      <c r="D63" s="2" t="s">
        <v>112</v>
      </c>
      <c r="E63" s="2" t="s">
        <v>15</v>
      </c>
      <c r="F63" s="2" t="s">
        <v>16</v>
      </c>
      <c r="G63" s="2">
        <v>6.0</v>
      </c>
      <c r="H63" s="2">
        <v>3.0</v>
      </c>
      <c r="I63" s="2" t="str">
        <f>IF(ISNUMBER(MATCH(B63,Inventory_Tracking!$B$2:$B$1000,0)),"No","Yes")
</f>
        <v>Yes</v>
      </c>
      <c r="J63" s="2">
        <v>2.0</v>
      </c>
      <c r="L63" s="2"/>
    </row>
    <row r="64" ht="15.75" customHeight="1">
      <c r="A64" s="2" t="s">
        <v>11</v>
      </c>
      <c r="B64" s="2" t="s">
        <v>110</v>
      </c>
      <c r="C64" s="2" t="s">
        <v>113</v>
      </c>
      <c r="D64" s="2" t="s">
        <v>114</v>
      </c>
      <c r="E64" s="2" t="s">
        <v>15</v>
      </c>
      <c r="F64" s="2" t="s">
        <v>16</v>
      </c>
      <c r="G64" s="2">
        <v>4.0</v>
      </c>
      <c r="H64" s="2">
        <v>2.0</v>
      </c>
      <c r="I64" s="2" t="str">
        <f>IF(ISNUMBER(MATCH(B64,Inventory_Tracking!$B$2:$B$1000,0)),"No","Yes")
</f>
        <v>Yes</v>
      </c>
      <c r="J64" s="2">
        <v>2.0</v>
      </c>
      <c r="L64" s="2"/>
    </row>
    <row r="65" ht="15.75" customHeight="1">
      <c r="A65" s="2" t="s">
        <v>11</v>
      </c>
      <c r="B65" s="2" t="s">
        <v>110</v>
      </c>
      <c r="C65" s="2" t="s">
        <v>115</v>
      </c>
      <c r="D65" s="2" t="s">
        <v>116</v>
      </c>
      <c r="E65" s="2" t="s">
        <v>21</v>
      </c>
      <c r="F65" s="2" t="s">
        <v>16</v>
      </c>
      <c r="G65" s="2">
        <v>3.0</v>
      </c>
      <c r="H65" s="2">
        <v>1.0</v>
      </c>
      <c r="I65" s="2" t="str">
        <f>IF(ISNUMBER(MATCH(B65,Inventory_Tracking!$B$2:$B$1000,0)),"No","Yes")
</f>
        <v>Yes</v>
      </c>
      <c r="J65" s="2">
        <v>2.0</v>
      </c>
      <c r="L65" s="2"/>
    </row>
    <row r="66" ht="15.75" customHeight="1">
      <c r="A66" s="2" t="s">
        <v>11</v>
      </c>
      <c r="B66" s="2" t="s">
        <v>110</v>
      </c>
      <c r="C66" s="2" t="s">
        <v>117</v>
      </c>
      <c r="D66" s="2" t="s">
        <v>118</v>
      </c>
      <c r="E66" s="2" t="s">
        <v>15</v>
      </c>
      <c r="F66" s="2" t="s">
        <v>16</v>
      </c>
      <c r="G66" s="2">
        <v>5.0</v>
      </c>
      <c r="H66" s="2">
        <v>2.0</v>
      </c>
      <c r="I66" s="2" t="str">
        <f>IF(ISNUMBER(MATCH(B66,Inventory_Tracking!$B$2:$B$1000,0)),"No","Yes")
</f>
        <v>Yes</v>
      </c>
      <c r="J66" s="2">
        <v>2.0</v>
      </c>
      <c r="L66" s="2"/>
    </row>
    <row r="67" ht="15.75" customHeight="1">
      <c r="A67" s="2" t="s">
        <v>11</v>
      </c>
      <c r="B67" s="2" t="s">
        <v>110</v>
      </c>
      <c r="C67" s="2" t="s">
        <v>119</v>
      </c>
      <c r="D67" s="2" t="s">
        <v>118</v>
      </c>
      <c r="E67" s="2" t="s">
        <v>15</v>
      </c>
      <c r="F67" s="2" t="s">
        <v>16</v>
      </c>
      <c r="G67" s="2">
        <v>5.0</v>
      </c>
      <c r="H67" s="2">
        <v>2.0</v>
      </c>
      <c r="I67" s="2" t="str">
        <f>IF(ISNUMBER(MATCH(B67,Inventory_Tracking!$B$2:$B$1000,0)),"No","Yes")
</f>
        <v>Yes</v>
      </c>
      <c r="J67" s="2">
        <v>2.0</v>
      </c>
      <c r="L67" s="2"/>
    </row>
    <row r="68" ht="15.75" customHeight="1">
      <c r="A68" s="2" t="s">
        <v>11</v>
      </c>
      <c r="B68" s="2" t="s">
        <v>110</v>
      </c>
      <c r="C68" s="2" t="s">
        <v>120</v>
      </c>
      <c r="D68" s="2" t="s">
        <v>121</v>
      </c>
      <c r="E68" s="2" t="s">
        <v>21</v>
      </c>
      <c r="F68" s="2" t="s">
        <v>16</v>
      </c>
      <c r="G68" s="2">
        <v>4.0</v>
      </c>
      <c r="H68" s="2">
        <v>2.0</v>
      </c>
      <c r="I68" s="2" t="str">
        <f>IF(ISNUMBER(MATCH(B68,Inventory_Tracking!$B$2:$B$1000,0)),"No","Yes")
</f>
        <v>Yes</v>
      </c>
      <c r="J68" s="2">
        <v>2.0</v>
      </c>
      <c r="L68" s="2"/>
    </row>
    <row r="69" ht="15.75" customHeight="1">
      <c r="A69" s="2" t="s">
        <v>11</v>
      </c>
      <c r="B69" s="2" t="s">
        <v>110</v>
      </c>
      <c r="C69" s="2" t="s">
        <v>122</v>
      </c>
      <c r="D69" s="2" t="s">
        <v>122</v>
      </c>
      <c r="E69" s="2" t="s">
        <v>21</v>
      </c>
      <c r="F69" s="2" t="s">
        <v>16</v>
      </c>
      <c r="G69" s="2">
        <v>4.0</v>
      </c>
      <c r="H69" s="2">
        <v>2.0</v>
      </c>
      <c r="I69" s="2" t="str">
        <f>IF(ISNUMBER(MATCH(B69,Inventory_Tracking!$B$2:$B$1000,0)),"No","Yes")
</f>
        <v>Yes</v>
      </c>
      <c r="J69" s="2">
        <v>2.0</v>
      </c>
      <c r="L69" s="2"/>
    </row>
    <row r="70" ht="15.75" customHeight="1">
      <c r="A70" s="2" t="s">
        <v>11</v>
      </c>
      <c r="B70" s="2" t="s">
        <v>110</v>
      </c>
      <c r="C70" s="2" t="s">
        <v>123</v>
      </c>
      <c r="D70" s="2" t="s">
        <v>124</v>
      </c>
      <c r="E70" s="2" t="s">
        <v>21</v>
      </c>
      <c r="F70" s="2" t="s">
        <v>16</v>
      </c>
      <c r="G70" s="2">
        <v>2.0</v>
      </c>
      <c r="H70" s="2">
        <v>1.0</v>
      </c>
      <c r="I70" s="2" t="str">
        <f>IF(ISNUMBER(MATCH(B70,Inventory_Tracking!$B$2:$B$1000,0)),"No","Yes")
</f>
        <v>Yes</v>
      </c>
      <c r="J70" s="2">
        <v>2.0</v>
      </c>
      <c r="L70" s="2"/>
    </row>
    <row r="71" ht="15.75" customHeight="1">
      <c r="A71" s="2" t="s">
        <v>11</v>
      </c>
      <c r="B71" s="2" t="s">
        <v>110</v>
      </c>
      <c r="C71" s="2" t="s">
        <v>125</v>
      </c>
      <c r="D71" s="2" t="s">
        <v>126</v>
      </c>
      <c r="E71" s="2" t="s">
        <v>21</v>
      </c>
      <c r="F71" s="2" t="s">
        <v>16</v>
      </c>
      <c r="G71" s="2">
        <v>3.0</v>
      </c>
      <c r="H71" s="2">
        <v>1.0</v>
      </c>
      <c r="I71" s="2" t="str">
        <f>IF(ISNUMBER(MATCH(B71,Inventory_Tracking!$B$2:$B$1000,0)),"No","Yes")
</f>
        <v>Yes</v>
      </c>
      <c r="J71" s="2">
        <v>2.0</v>
      </c>
      <c r="L71" s="2"/>
    </row>
    <row r="72" ht="15.75" customHeight="1">
      <c r="A72" s="2" t="s">
        <v>11</v>
      </c>
      <c r="B72" s="2" t="s">
        <v>110</v>
      </c>
      <c r="C72" s="2" t="s">
        <v>127</v>
      </c>
      <c r="D72" s="2" t="s">
        <v>116</v>
      </c>
      <c r="E72" s="2" t="s">
        <v>15</v>
      </c>
      <c r="F72" s="2" t="s">
        <v>16</v>
      </c>
      <c r="G72" s="2">
        <v>3.0</v>
      </c>
      <c r="H72" s="2">
        <v>1.0</v>
      </c>
      <c r="I72" s="2" t="str">
        <f>IF(ISNUMBER(MATCH(B72,Inventory_Tracking!$B$2:$B$1000,0)),"No","Yes")
</f>
        <v>Yes</v>
      </c>
      <c r="J72" s="2">
        <v>2.0</v>
      </c>
      <c r="L72" s="2"/>
    </row>
    <row r="73" ht="15.75" customHeight="1">
      <c r="A73" s="2" t="s">
        <v>11</v>
      </c>
      <c r="B73" s="2" t="s">
        <v>110</v>
      </c>
      <c r="C73" s="2" t="s">
        <v>128</v>
      </c>
      <c r="D73" s="2" t="s">
        <v>129</v>
      </c>
      <c r="E73" s="2" t="s">
        <v>15</v>
      </c>
      <c r="F73" s="2" t="s">
        <v>16</v>
      </c>
      <c r="G73" s="2">
        <v>3.0</v>
      </c>
      <c r="H73" s="2">
        <v>1.0</v>
      </c>
      <c r="I73" s="2" t="str">
        <f>IF(ISNUMBER(MATCH(B73,Inventory_Tracking!$B$2:$B$1000,0)),"No","Yes")
</f>
        <v>Yes</v>
      </c>
      <c r="J73" s="2">
        <v>2.0</v>
      </c>
      <c r="L73" s="2"/>
    </row>
    <row r="74" ht="15.75" customHeight="1">
      <c r="A74" s="2" t="s">
        <v>11</v>
      </c>
      <c r="B74" s="2" t="s">
        <v>110</v>
      </c>
      <c r="C74" s="2" t="s">
        <v>130</v>
      </c>
      <c r="D74" s="2" t="s">
        <v>130</v>
      </c>
      <c r="E74" s="2" t="s">
        <v>21</v>
      </c>
      <c r="F74" s="2" t="s">
        <v>16</v>
      </c>
      <c r="G74" s="2">
        <v>3.0</v>
      </c>
      <c r="H74" s="2">
        <v>1.0</v>
      </c>
      <c r="I74" s="2" t="str">
        <f>IF(ISNUMBER(MATCH(B74,Inventory_Tracking!$B$2:$B$1000,0)),"No","Yes")
</f>
        <v>Yes</v>
      </c>
      <c r="J74" s="2">
        <v>2.0</v>
      </c>
      <c r="L74" s="2"/>
    </row>
    <row r="75" ht="15.75" customHeight="1">
      <c r="A75" s="2" t="s">
        <v>11</v>
      </c>
      <c r="B75" s="2" t="s">
        <v>131</v>
      </c>
      <c r="C75" s="2" t="s">
        <v>132</v>
      </c>
      <c r="D75" s="2" t="s">
        <v>132</v>
      </c>
      <c r="E75" s="2" t="s">
        <v>15</v>
      </c>
      <c r="F75" s="2" t="s">
        <v>16</v>
      </c>
      <c r="G75" s="2"/>
      <c r="H75" s="2"/>
      <c r="I75" s="2" t="str">
        <f>IF(ISNUMBER(MATCH(B75,Inventory_Tracking!$B$2:$B$1000,0)),"No","Yes")
</f>
        <v>Yes</v>
      </c>
      <c r="J75" s="2"/>
      <c r="L75" s="2"/>
    </row>
    <row r="76" ht="15.75" customHeight="1">
      <c r="A76" s="2" t="s">
        <v>11</v>
      </c>
      <c r="B76" s="2" t="s">
        <v>131</v>
      </c>
      <c r="C76" s="2" t="s">
        <v>133</v>
      </c>
      <c r="D76" s="2">
        <v>1800.0</v>
      </c>
      <c r="E76" s="2" t="s">
        <v>15</v>
      </c>
      <c r="F76" s="2" t="s">
        <v>16</v>
      </c>
      <c r="G76" s="2">
        <v>6.0</v>
      </c>
      <c r="H76" s="2">
        <v>3.0</v>
      </c>
      <c r="I76" s="2" t="str">
        <f>IF(ISNUMBER(MATCH(B76,Inventory_Tracking!$B$2:$B$1000,0)),"No","Yes")
</f>
        <v>Yes</v>
      </c>
      <c r="J76" s="2">
        <v>2.0</v>
      </c>
      <c r="L76" s="2"/>
    </row>
    <row r="77" ht="15.75" customHeight="1">
      <c r="A77" s="2" t="s">
        <v>11</v>
      </c>
      <c r="B77" s="2" t="s">
        <v>131</v>
      </c>
      <c r="C77" s="2" t="s">
        <v>134</v>
      </c>
      <c r="D77" s="2" t="s">
        <v>135</v>
      </c>
      <c r="E77" s="2" t="s">
        <v>15</v>
      </c>
      <c r="F77" s="2" t="s">
        <v>16</v>
      </c>
      <c r="G77" s="2">
        <v>6.0</v>
      </c>
      <c r="H77" s="2">
        <v>3.0</v>
      </c>
      <c r="I77" s="2" t="str">
        <f>IF(ISNUMBER(MATCH(B77,Inventory_Tracking!$B$2:$B$1000,0)),"No","Yes")
</f>
        <v>Yes</v>
      </c>
      <c r="J77" s="2">
        <v>2.0</v>
      </c>
      <c r="L77" s="2"/>
    </row>
    <row r="78" ht="15.75" customHeight="1">
      <c r="A78" s="2" t="s">
        <v>11</v>
      </c>
      <c r="B78" s="2" t="s">
        <v>131</v>
      </c>
      <c r="C78" s="2" t="s">
        <v>136</v>
      </c>
      <c r="D78" s="2" t="s">
        <v>137</v>
      </c>
      <c r="E78" s="2" t="s">
        <v>21</v>
      </c>
      <c r="F78" s="2" t="s">
        <v>16</v>
      </c>
      <c r="G78" s="2">
        <v>6.0</v>
      </c>
      <c r="H78" s="2">
        <v>3.0</v>
      </c>
      <c r="I78" s="2" t="str">
        <f>IF(ISNUMBER(MATCH(B78,Inventory_Tracking!$B$2:$B$1000,0)),"No","Yes")
</f>
        <v>Yes</v>
      </c>
      <c r="J78" s="2">
        <v>2.0</v>
      </c>
      <c r="L78" s="2"/>
    </row>
    <row r="79" ht="15.75" customHeight="1">
      <c r="A79" s="2" t="s">
        <v>11</v>
      </c>
      <c r="B79" s="2" t="s">
        <v>131</v>
      </c>
      <c r="C79" s="2" t="s">
        <v>138</v>
      </c>
      <c r="D79" s="2" t="s">
        <v>137</v>
      </c>
      <c r="E79" s="2" t="s">
        <v>21</v>
      </c>
      <c r="F79" s="2" t="s">
        <v>16</v>
      </c>
      <c r="G79" s="2">
        <v>6.0</v>
      </c>
      <c r="H79" s="2">
        <v>3.0</v>
      </c>
      <c r="I79" s="2" t="str">
        <f>IF(ISNUMBER(MATCH(B79,Inventory_Tracking!$B$2:$B$1000,0)),"No","Yes")
</f>
        <v>Yes</v>
      </c>
      <c r="J79" s="2">
        <v>2.0</v>
      </c>
      <c r="L79" s="2"/>
    </row>
    <row r="80" ht="15.75" customHeight="1">
      <c r="A80" s="2" t="s">
        <v>11</v>
      </c>
      <c r="B80" s="2" t="s">
        <v>131</v>
      </c>
      <c r="C80" s="2" t="s">
        <v>139</v>
      </c>
      <c r="D80" s="2" t="s">
        <v>140</v>
      </c>
      <c r="E80" s="2" t="s">
        <v>21</v>
      </c>
      <c r="F80" s="2" t="s">
        <v>16</v>
      </c>
      <c r="G80" s="2">
        <v>5.0</v>
      </c>
      <c r="H80" s="2">
        <v>2.0</v>
      </c>
      <c r="I80" s="2" t="str">
        <f>IF(ISNUMBER(MATCH(B80,Inventory_Tracking!$B$2:$B$1000,0)),"No","Yes")
</f>
        <v>Yes</v>
      </c>
      <c r="J80" s="2">
        <v>2.0</v>
      </c>
      <c r="L80" s="2"/>
    </row>
    <row r="81" ht="15.75" customHeight="1">
      <c r="A81" s="2" t="s">
        <v>11</v>
      </c>
      <c r="B81" s="2" t="s">
        <v>131</v>
      </c>
      <c r="C81" s="2" t="s">
        <v>141</v>
      </c>
      <c r="D81" s="2" t="s">
        <v>142</v>
      </c>
      <c r="E81" s="2" t="s">
        <v>21</v>
      </c>
      <c r="F81" s="2" t="s">
        <v>16</v>
      </c>
      <c r="G81" s="2">
        <v>5.0</v>
      </c>
      <c r="H81" s="2">
        <v>2.0</v>
      </c>
      <c r="I81" s="2" t="str">
        <f>IF(ISNUMBER(MATCH(B81,Inventory_Tracking!$B$2:$B$1000,0)),"No","Yes")
</f>
        <v>Yes</v>
      </c>
      <c r="J81" s="2">
        <v>2.0</v>
      </c>
      <c r="L81" s="2"/>
    </row>
    <row r="82" ht="15.75" customHeight="1">
      <c r="A82" s="2" t="s">
        <v>11</v>
      </c>
      <c r="B82" s="2" t="s">
        <v>131</v>
      </c>
      <c r="C82" s="2" t="s">
        <v>143</v>
      </c>
      <c r="D82" s="2" t="s">
        <v>140</v>
      </c>
      <c r="E82" s="2" t="s">
        <v>15</v>
      </c>
      <c r="F82" s="2" t="s">
        <v>16</v>
      </c>
      <c r="G82" s="2">
        <v>4.0</v>
      </c>
      <c r="H82" s="2">
        <v>2.0</v>
      </c>
      <c r="I82" s="2" t="str">
        <f>IF(ISNUMBER(MATCH(B82,Inventory_Tracking!$B$2:$B$1000,0)),"No","Yes")
</f>
        <v>Yes</v>
      </c>
      <c r="J82" s="2">
        <v>2.0</v>
      </c>
      <c r="L82" s="2"/>
    </row>
    <row r="83" ht="15.75" customHeight="1">
      <c r="A83" s="3" t="s">
        <v>11</v>
      </c>
      <c r="B83" s="3" t="s">
        <v>131</v>
      </c>
      <c r="C83" s="3" t="s">
        <v>144</v>
      </c>
      <c r="D83" s="3" t="s">
        <v>145</v>
      </c>
      <c r="E83" s="3" t="s">
        <v>21</v>
      </c>
      <c r="F83" s="3" t="s">
        <v>16</v>
      </c>
      <c r="G83" s="4">
        <v>5.0</v>
      </c>
      <c r="H83" s="4">
        <v>2.0</v>
      </c>
      <c r="I83" s="2" t="str">
        <f>IF(ISNUMBER(MATCH(B83,Inventory_Tracking!$B$2:$B$1000,0)),"No","Yes")
</f>
        <v>Yes</v>
      </c>
      <c r="J83" s="4">
        <v>2.0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 t="s">
        <v>11</v>
      </c>
      <c r="B84" s="2" t="s">
        <v>131</v>
      </c>
      <c r="C84" s="2" t="s">
        <v>146</v>
      </c>
      <c r="D84" s="2" t="s">
        <v>145</v>
      </c>
      <c r="E84" s="2" t="s">
        <v>21</v>
      </c>
      <c r="F84" s="2" t="s">
        <v>16</v>
      </c>
      <c r="G84" s="2">
        <v>5.0</v>
      </c>
      <c r="H84" s="2">
        <v>2.0</v>
      </c>
      <c r="I84" s="2" t="str">
        <f>IF(ISNUMBER(MATCH(B84,Inventory_Tracking!$B$2:$B$1000,0)),"No","Yes")
</f>
        <v>Yes</v>
      </c>
      <c r="J84" s="2">
        <v>2.0</v>
      </c>
      <c r="L84" s="2"/>
    </row>
    <row r="85" ht="15.75" customHeight="1">
      <c r="A85" s="2" t="s">
        <v>11</v>
      </c>
      <c r="B85" s="2" t="s">
        <v>131</v>
      </c>
      <c r="C85" s="2" t="s">
        <v>147</v>
      </c>
      <c r="D85" s="2" t="s">
        <v>147</v>
      </c>
      <c r="E85" s="2" t="s">
        <v>15</v>
      </c>
      <c r="F85" s="2" t="s">
        <v>16</v>
      </c>
      <c r="G85" s="2">
        <v>5.0</v>
      </c>
      <c r="H85" s="2">
        <v>2.0</v>
      </c>
      <c r="I85" s="2" t="str">
        <f>IF(ISNUMBER(MATCH(B85,Inventory_Tracking!$B$2:$B$1000,0)),"No","Yes")
</f>
        <v>Yes</v>
      </c>
      <c r="J85" s="2">
        <v>2.0</v>
      </c>
      <c r="L85" s="2"/>
    </row>
    <row r="86" ht="15.75" customHeight="1">
      <c r="A86" s="2" t="s">
        <v>11</v>
      </c>
      <c r="B86" s="2" t="s">
        <v>131</v>
      </c>
      <c r="C86" s="2" t="s">
        <v>148</v>
      </c>
      <c r="D86" s="2" t="s">
        <v>149</v>
      </c>
      <c r="E86" s="2" t="s">
        <v>15</v>
      </c>
      <c r="F86" s="2" t="s">
        <v>16</v>
      </c>
      <c r="G86" s="2">
        <v>5.0</v>
      </c>
      <c r="H86" s="2">
        <v>2.0</v>
      </c>
      <c r="I86" s="2" t="str">
        <f>IF(ISNUMBER(MATCH(B86,Inventory_Tracking!$B$2:$B$1000,0)),"No","Yes")
</f>
        <v>Yes</v>
      </c>
      <c r="J86" s="2">
        <v>2.0</v>
      </c>
      <c r="L86" s="2"/>
    </row>
    <row r="87" ht="15.75" customHeight="1">
      <c r="A87" s="2" t="s">
        <v>11</v>
      </c>
      <c r="B87" s="2" t="s">
        <v>131</v>
      </c>
      <c r="C87" s="2" t="s">
        <v>150</v>
      </c>
      <c r="D87" s="2" t="s">
        <v>151</v>
      </c>
      <c r="E87" s="2" t="s">
        <v>21</v>
      </c>
      <c r="F87" s="2" t="s">
        <v>16</v>
      </c>
      <c r="G87" s="2">
        <v>5.0</v>
      </c>
      <c r="H87" s="2">
        <v>2.0</v>
      </c>
      <c r="I87" s="2" t="str">
        <f>IF(ISNUMBER(MATCH(B87,Inventory_Tracking!$B$2:$B$1000,0)),"No","Yes")
</f>
        <v>Yes</v>
      </c>
      <c r="J87" s="2">
        <v>2.0</v>
      </c>
      <c r="L87" s="2"/>
    </row>
    <row r="88" ht="15.75" customHeight="1">
      <c r="A88" s="2" t="s">
        <v>11</v>
      </c>
      <c r="B88" s="2" t="s">
        <v>131</v>
      </c>
      <c r="C88" s="2" t="s">
        <v>152</v>
      </c>
      <c r="D88" s="2" t="s">
        <v>151</v>
      </c>
      <c r="E88" s="2" t="s">
        <v>21</v>
      </c>
      <c r="F88" s="2" t="s">
        <v>16</v>
      </c>
      <c r="G88" s="2">
        <v>4.0</v>
      </c>
      <c r="H88" s="2">
        <v>2.0</v>
      </c>
      <c r="I88" s="2" t="str">
        <f>IF(ISNUMBER(MATCH(B88,Inventory_Tracking!$B$2:$B$1000,0)),"No","Yes")
</f>
        <v>Yes</v>
      </c>
      <c r="J88" s="2">
        <v>2.0</v>
      </c>
      <c r="L88" s="2"/>
    </row>
    <row r="89" ht="15.75" customHeight="1">
      <c r="A89" s="2" t="s">
        <v>11</v>
      </c>
      <c r="B89" s="2" t="s">
        <v>131</v>
      </c>
      <c r="C89" s="2" t="s">
        <v>153</v>
      </c>
      <c r="D89" s="2" t="s">
        <v>151</v>
      </c>
      <c r="E89" s="2" t="s">
        <v>21</v>
      </c>
      <c r="F89" s="2" t="s">
        <v>16</v>
      </c>
      <c r="G89" s="2">
        <v>3.0</v>
      </c>
      <c r="H89" s="2">
        <v>1.0</v>
      </c>
      <c r="I89" s="2" t="str">
        <f>IF(ISNUMBER(MATCH(B89,Inventory_Tracking!$B$2:$B$1000,0)),"No","Yes")
</f>
        <v>Yes</v>
      </c>
      <c r="J89" s="2">
        <v>2.0</v>
      </c>
      <c r="L89" s="2"/>
    </row>
    <row r="90" ht="15.75" customHeight="1">
      <c r="A90" s="2" t="s">
        <v>11</v>
      </c>
      <c r="B90" s="2" t="s">
        <v>131</v>
      </c>
      <c r="C90" s="2" t="s">
        <v>154</v>
      </c>
      <c r="D90" s="2" t="s">
        <v>155</v>
      </c>
      <c r="E90" s="2" t="s">
        <v>21</v>
      </c>
      <c r="F90" s="2" t="s">
        <v>16</v>
      </c>
      <c r="G90" s="2">
        <v>4.0</v>
      </c>
      <c r="H90" s="2">
        <v>2.0</v>
      </c>
      <c r="I90" s="2" t="str">
        <f>IF(ISNUMBER(MATCH(B90,Inventory_Tracking!$B$2:$B$1000,0)),"No","Yes")
</f>
        <v>Yes</v>
      </c>
      <c r="J90" s="2">
        <v>2.0</v>
      </c>
      <c r="L90" s="2"/>
    </row>
    <row r="91" ht="15.75" customHeight="1">
      <c r="A91" s="2" t="s">
        <v>11</v>
      </c>
      <c r="B91" s="2" t="s">
        <v>131</v>
      </c>
      <c r="C91" s="2" t="s">
        <v>156</v>
      </c>
      <c r="D91" s="2" t="s">
        <v>155</v>
      </c>
      <c r="E91" s="2" t="s">
        <v>21</v>
      </c>
      <c r="F91" s="2" t="s">
        <v>16</v>
      </c>
      <c r="G91" s="2">
        <v>4.0</v>
      </c>
      <c r="H91" s="2">
        <v>2.0</v>
      </c>
      <c r="I91" s="2" t="str">
        <f>IF(ISNUMBER(MATCH(B91,Inventory_Tracking!$B$2:$B$1000,0)),"No","Yes")
</f>
        <v>Yes</v>
      </c>
      <c r="J91" s="2">
        <v>2.0</v>
      </c>
      <c r="L91" s="2"/>
    </row>
    <row r="92" ht="15.75" customHeight="1">
      <c r="A92" s="2" t="s">
        <v>11</v>
      </c>
      <c r="B92" s="2" t="s">
        <v>131</v>
      </c>
      <c r="C92" s="2" t="s">
        <v>157</v>
      </c>
      <c r="D92" s="2" t="s">
        <v>157</v>
      </c>
      <c r="E92" s="2" t="s">
        <v>21</v>
      </c>
      <c r="F92" s="2" t="s">
        <v>16</v>
      </c>
      <c r="G92" s="2">
        <v>1.0</v>
      </c>
      <c r="H92" s="2">
        <v>1.0</v>
      </c>
      <c r="I92" s="2" t="str">
        <f>IF(ISNUMBER(MATCH(B92,Inventory_Tracking!$B$2:$B$1000,0)),"No","Yes")
</f>
        <v>Yes</v>
      </c>
      <c r="J92" s="2">
        <v>2.0</v>
      </c>
      <c r="L92" s="2"/>
    </row>
    <row r="93" ht="15.75" customHeight="1">
      <c r="A93" s="2" t="s">
        <v>11</v>
      </c>
      <c r="B93" s="2" t="s">
        <v>131</v>
      </c>
      <c r="C93" s="2" t="s">
        <v>158</v>
      </c>
      <c r="D93" s="2" t="s">
        <v>159</v>
      </c>
      <c r="E93" s="2" t="s">
        <v>15</v>
      </c>
      <c r="F93" s="2" t="s">
        <v>16</v>
      </c>
      <c r="G93" s="2">
        <v>4.0</v>
      </c>
      <c r="H93" s="2">
        <v>2.0</v>
      </c>
      <c r="I93" s="2" t="str">
        <f>IF(ISNUMBER(MATCH(B93,Inventory_Tracking!$B$2:$B$1000,0)),"No","Yes")
</f>
        <v>Yes</v>
      </c>
      <c r="J93" s="2">
        <v>2.0</v>
      </c>
      <c r="L93" s="2"/>
    </row>
    <row r="94" ht="15.75" customHeight="1">
      <c r="A94" s="2" t="s">
        <v>11</v>
      </c>
      <c r="B94" s="2" t="s">
        <v>131</v>
      </c>
      <c r="C94" s="2" t="s">
        <v>160</v>
      </c>
      <c r="D94" s="2" t="s">
        <v>159</v>
      </c>
      <c r="E94" s="2" t="s">
        <v>15</v>
      </c>
      <c r="F94" s="2" t="s">
        <v>16</v>
      </c>
      <c r="G94" s="2">
        <v>4.0</v>
      </c>
      <c r="H94" s="2">
        <v>2.0</v>
      </c>
      <c r="I94" s="2" t="str">
        <f>IF(ISNUMBER(MATCH(B94,Inventory_Tracking!$B$2:$B$1000,0)),"No","Yes")
</f>
        <v>Yes</v>
      </c>
      <c r="J94" s="2">
        <v>2.0</v>
      </c>
      <c r="L94" s="2"/>
    </row>
    <row r="95" ht="15.75" customHeight="1">
      <c r="A95" s="2" t="s">
        <v>11</v>
      </c>
      <c r="B95" s="2" t="s">
        <v>131</v>
      </c>
      <c r="C95" s="2" t="s">
        <v>161</v>
      </c>
      <c r="D95" s="2" t="s">
        <v>162</v>
      </c>
      <c r="E95" s="2" t="s">
        <v>21</v>
      </c>
      <c r="F95" s="2" t="s">
        <v>16</v>
      </c>
      <c r="G95" s="2">
        <v>3.0</v>
      </c>
      <c r="H95" s="2">
        <v>1.0</v>
      </c>
      <c r="I95" s="2" t="str">
        <f>IF(ISNUMBER(MATCH(B95,Inventory_Tracking!$B$2:$B$1000,0)),"No","Yes")
</f>
        <v>Yes</v>
      </c>
      <c r="J95" s="2">
        <v>2.0</v>
      </c>
      <c r="L95" s="2"/>
    </row>
    <row r="96" ht="15.75" customHeight="1">
      <c r="A96" s="2" t="s">
        <v>11</v>
      </c>
      <c r="B96" s="2" t="s">
        <v>131</v>
      </c>
      <c r="C96" s="2" t="s">
        <v>163</v>
      </c>
      <c r="D96" s="2" t="s">
        <v>164</v>
      </c>
      <c r="E96" s="2" t="s">
        <v>15</v>
      </c>
      <c r="F96" s="2" t="s">
        <v>16</v>
      </c>
      <c r="G96" s="2">
        <v>3.0</v>
      </c>
      <c r="H96" s="2">
        <v>1.0</v>
      </c>
      <c r="I96" s="2" t="str">
        <f>IF(ISNUMBER(MATCH(B96,Inventory_Tracking!$B$2:$B$1000,0)),"No","Yes")
</f>
        <v>Yes</v>
      </c>
      <c r="J96" s="2">
        <v>2.0</v>
      </c>
      <c r="L96" s="2"/>
    </row>
    <row r="97" ht="15.75" customHeight="1">
      <c r="A97" s="2" t="s">
        <v>11</v>
      </c>
      <c r="B97" s="2" t="s">
        <v>131</v>
      </c>
      <c r="C97" s="2" t="s">
        <v>165</v>
      </c>
      <c r="D97" s="2" t="s">
        <v>164</v>
      </c>
      <c r="E97" s="2" t="s">
        <v>21</v>
      </c>
      <c r="F97" s="2" t="s">
        <v>16</v>
      </c>
      <c r="G97" s="2">
        <v>3.0</v>
      </c>
      <c r="H97" s="2">
        <v>1.0</v>
      </c>
      <c r="I97" s="2" t="str">
        <f>IF(ISNUMBER(MATCH(B97,Inventory_Tracking!$B$2:$B$1000,0)),"No","Yes")
</f>
        <v>Yes</v>
      </c>
      <c r="J97" s="2">
        <v>2.0</v>
      </c>
      <c r="L97" s="2"/>
    </row>
    <row r="98" ht="15.75" customHeight="1">
      <c r="A98" s="2" t="s">
        <v>11</v>
      </c>
      <c r="B98" s="2" t="s">
        <v>166</v>
      </c>
      <c r="C98" s="2" t="s">
        <v>167</v>
      </c>
      <c r="D98" s="2" t="s">
        <v>168</v>
      </c>
      <c r="E98" s="2" t="s">
        <v>21</v>
      </c>
      <c r="F98" s="2" t="s">
        <v>16</v>
      </c>
      <c r="G98" s="2">
        <v>2.0</v>
      </c>
      <c r="H98" s="2">
        <v>1.0</v>
      </c>
      <c r="I98" s="2" t="str">
        <f>IF(ISNUMBER(MATCH(B98,Inventory_Tracking!$B$2:$B$1000,0)),"No","Yes")
</f>
        <v>Yes</v>
      </c>
      <c r="J98" s="2">
        <v>2.0</v>
      </c>
      <c r="L98" s="2"/>
    </row>
    <row r="99" ht="15.75" customHeight="1">
      <c r="A99" s="2" t="s">
        <v>11</v>
      </c>
      <c r="B99" s="2" t="s">
        <v>131</v>
      </c>
      <c r="C99" s="2" t="s">
        <v>169</v>
      </c>
      <c r="D99" s="2" t="s">
        <v>170</v>
      </c>
      <c r="E99" s="2" t="s">
        <v>21</v>
      </c>
      <c r="F99" s="2" t="s">
        <v>16</v>
      </c>
      <c r="G99" s="2">
        <v>4.0</v>
      </c>
      <c r="H99" s="2">
        <v>2.0</v>
      </c>
      <c r="I99" s="2" t="str">
        <f>IF(ISNUMBER(MATCH(B99,Inventory_Tracking!$B$2:$B$1000,0)),"No","Yes")
</f>
        <v>Yes</v>
      </c>
      <c r="J99" s="2">
        <v>2.0</v>
      </c>
      <c r="L99" s="2"/>
    </row>
    <row r="100" ht="15.75" customHeight="1">
      <c r="A100" s="2" t="s">
        <v>11</v>
      </c>
      <c r="B100" s="2" t="s">
        <v>131</v>
      </c>
      <c r="C100" s="2" t="s">
        <v>171</v>
      </c>
      <c r="D100" s="2" t="s">
        <v>170</v>
      </c>
      <c r="E100" s="2" t="s">
        <v>21</v>
      </c>
      <c r="F100" s="2" t="s">
        <v>16</v>
      </c>
      <c r="G100" s="2">
        <v>3.0</v>
      </c>
      <c r="H100" s="2">
        <v>1.0</v>
      </c>
      <c r="I100" s="2" t="str">
        <f>IF(ISNUMBER(MATCH(B100,Inventory_Tracking!$B$2:$B$1000,0)),"No","Yes")
</f>
        <v>Yes</v>
      </c>
      <c r="J100" s="2">
        <v>2.0</v>
      </c>
      <c r="L100" s="2"/>
    </row>
    <row r="101" ht="15.75" customHeight="1">
      <c r="A101" s="2" t="s">
        <v>172</v>
      </c>
      <c r="B101" s="2" t="s">
        <v>173</v>
      </c>
      <c r="C101" s="2" t="s">
        <v>174</v>
      </c>
      <c r="D101" s="2" t="s">
        <v>174</v>
      </c>
      <c r="E101" s="2" t="s">
        <v>175</v>
      </c>
      <c r="F101" s="2" t="s">
        <v>175</v>
      </c>
      <c r="G101" s="2">
        <v>2.0</v>
      </c>
      <c r="H101" s="2">
        <v>1.0</v>
      </c>
      <c r="I101" s="2" t="str">
        <f>IF(ISNUMBER(MATCH(B101,Inventory_Tracking!$B$2:$B$1000,0)),"No","Yes")
</f>
        <v>Yes</v>
      </c>
      <c r="L101" s="2"/>
    </row>
    <row r="102" ht="15.75" customHeight="1">
      <c r="A102" s="2" t="s">
        <v>172</v>
      </c>
      <c r="B102" s="2" t="s">
        <v>173</v>
      </c>
      <c r="C102" s="2" t="s">
        <v>176</v>
      </c>
      <c r="D102" s="2" t="s">
        <v>176</v>
      </c>
      <c r="E102" s="2" t="s">
        <v>175</v>
      </c>
      <c r="F102" s="2" t="s">
        <v>175</v>
      </c>
      <c r="G102" s="2">
        <v>2.0</v>
      </c>
      <c r="H102" s="2">
        <v>1.0</v>
      </c>
      <c r="I102" s="2" t="str">
        <f>IF(ISNUMBER(MATCH(B102,Inventory_Tracking!$B$2:$B$1000,0)),"No","Yes")
</f>
        <v>Yes</v>
      </c>
      <c r="L102" s="2"/>
    </row>
    <row r="103" ht="15.75" customHeight="1">
      <c r="A103" s="2" t="s">
        <v>172</v>
      </c>
      <c r="B103" s="2" t="s">
        <v>173</v>
      </c>
      <c r="C103" s="2" t="s">
        <v>177</v>
      </c>
      <c r="D103" s="2" t="s">
        <v>177</v>
      </c>
      <c r="E103" s="2" t="s">
        <v>175</v>
      </c>
      <c r="F103" s="2" t="s">
        <v>175</v>
      </c>
      <c r="G103" s="2">
        <v>2.0</v>
      </c>
      <c r="H103" s="2">
        <v>1.0</v>
      </c>
      <c r="I103" s="2" t="str">
        <f>IF(ISNUMBER(MATCH(B103,Inventory_Tracking!$B$2:$B$1000,0)),"No","Yes")
</f>
        <v>Yes</v>
      </c>
      <c r="L103" s="2"/>
    </row>
    <row r="104" ht="15.75" customHeight="1">
      <c r="A104" s="2" t="s">
        <v>172</v>
      </c>
      <c r="B104" s="2" t="s">
        <v>173</v>
      </c>
      <c r="C104" s="2" t="s">
        <v>178</v>
      </c>
      <c r="D104" s="2" t="s">
        <v>179</v>
      </c>
      <c r="E104" s="2" t="s">
        <v>175</v>
      </c>
      <c r="F104" s="2" t="s">
        <v>175</v>
      </c>
      <c r="G104" s="2">
        <v>2.0</v>
      </c>
      <c r="H104" s="2">
        <v>1.0</v>
      </c>
      <c r="I104" s="2" t="str">
        <f>IF(ISNUMBER(MATCH(B104,Inventory_Tracking!$B$2:$B$1000,0)),"No","Yes")
</f>
        <v>Yes</v>
      </c>
      <c r="L104" s="2"/>
    </row>
    <row r="105" ht="15.75" customHeight="1">
      <c r="A105" s="2" t="s">
        <v>172</v>
      </c>
      <c r="B105" s="2" t="s">
        <v>173</v>
      </c>
      <c r="C105" s="2" t="s">
        <v>180</v>
      </c>
      <c r="D105" s="2" t="s">
        <v>180</v>
      </c>
      <c r="E105" s="2" t="s">
        <v>175</v>
      </c>
      <c r="F105" s="2" t="s">
        <v>175</v>
      </c>
      <c r="G105" s="2">
        <v>2.0</v>
      </c>
      <c r="H105" s="2">
        <v>1.0</v>
      </c>
      <c r="I105" s="2" t="str">
        <f>IF(ISNUMBER(MATCH(B105,Inventory_Tracking!$B$2:$B$1000,0)),"No","Yes")
</f>
        <v>Yes</v>
      </c>
      <c r="L105" s="2"/>
    </row>
    <row r="106" ht="15.75" customHeight="1">
      <c r="A106" s="2" t="s">
        <v>172</v>
      </c>
      <c r="B106" s="2" t="s">
        <v>173</v>
      </c>
      <c r="C106" s="2" t="s">
        <v>181</v>
      </c>
      <c r="D106" s="2" t="s">
        <v>182</v>
      </c>
      <c r="E106" s="2" t="s">
        <v>175</v>
      </c>
      <c r="F106" s="2" t="s">
        <v>175</v>
      </c>
      <c r="G106" s="2">
        <v>1.0</v>
      </c>
      <c r="H106" s="2">
        <v>1.0</v>
      </c>
      <c r="I106" s="2" t="str">
        <f>IF(ISNUMBER(MATCH(B106,Inventory_Tracking!$B$2:$B$1000,0)),"No","Yes")
</f>
        <v>Yes</v>
      </c>
      <c r="L106" s="2"/>
    </row>
    <row r="107" ht="15.75" customHeight="1">
      <c r="A107" s="2" t="s">
        <v>172</v>
      </c>
      <c r="B107" s="2" t="s">
        <v>173</v>
      </c>
      <c r="C107" s="2" t="s">
        <v>183</v>
      </c>
      <c r="D107" s="2" t="s">
        <v>182</v>
      </c>
      <c r="E107" s="2" t="s">
        <v>175</v>
      </c>
      <c r="F107" s="2" t="s">
        <v>175</v>
      </c>
      <c r="G107" s="2">
        <v>1.0</v>
      </c>
      <c r="H107" s="2">
        <v>1.0</v>
      </c>
      <c r="I107" s="2" t="str">
        <f>IF(ISNUMBER(MATCH(B107,Inventory_Tracking!$B$2:$B$1000,0)),"No","Yes")
</f>
        <v>Yes</v>
      </c>
      <c r="L107" s="2"/>
    </row>
    <row r="108" ht="15.75" customHeight="1">
      <c r="A108" s="2" t="s">
        <v>172</v>
      </c>
      <c r="B108" s="2" t="s">
        <v>173</v>
      </c>
      <c r="C108" s="2" t="s">
        <v>184</v>
      </c>
      <c r="D108" s="2" t="s">
        <v>184</v>
      </c>
      <c r="E108" s="2" t="s">
        <v>175</v>
      </c>
      <c r="F108" s="2" t="s">
        <v>175</v>
      </c>
      <c r="G108" s="2">
        <v>1.0</v>
      </c>
      <c r="H108" s="2">
        <v>1.0</v>
      </c>
      <c r="I108" s="2" t="str">
        <f>IF(ISNUMBER(MATCH(B108,Inventory_Tracking!$B$2:$B$1000,0)),"No","Yes")
</f>
        <v>Yes</v>
      </c>
      <c r="L108" s="2"/>
    </row>
    <row r="109" ht="15.75" customHeight="1">
      <c r="A109" s="2" t="s">
        <v>172</v>
      </c>
      <c r="B109" s="2" t="s">
        <v>185</v>
      </c>
      <c r="C109" s="2" t="s">
        <v>186</v>
      </c>
      <c r="D109" s="2" t="s">
        <v>187</v>
      </c>
      <c r="E109" s="2" t="s">
        <v>188</v>
      </c>
      <c r="F109" s="2" t="s">
        <v>189</v>
      </c>
      <c r="G109" s="2">
        <v>24.0</v>
      </c>
      <c r="H109" s="2">
        <v>12.0</v>
      </c>
      <c r="I109" s="2" t="str">
        <f>IF(ISNUMBER(MATCH(B109,Inventory_Tracking!$B$2:$B$1000,0)),"No","Yes")
</f>
        <v>Yes</v>
      </c>
      <c r="L109" s="2"/>
    </row>
    <row r="110" ht="15.75" customHeight="1">
      <c r="A110" s="2" t="s">
        <v>172</v>
      </c>
      <c r="B110" s="2" t="s">
        <v>185</v>
      </c>
      <c r="C110" s="2" t="s">
        <v>190</v>
      </c>
      <c r="D110" s="2" t="s">
        <v>187</v>
      </c>
      <c r="E110" s="2" t="s">
        <v>188</v>
      </c>
      <c r="F110" s="2" t="s">
        <v>189</v>
      </c>
      <c r="G110" s="2">
        <v>24.0</v>
      </c>
      <c r="H110" s="2">
        <v>12.0</v>
      </c>
      <c r="I110" s="2" t="str">
        <f>IF(ISNUMBER(MATCH(B110,Inventory_Tracking!$B$2:$B$1000,0)),"No","Yes")
</f>
        <v>Yes</v>
      </c>
      <c r="L110" s="2"/>
    </row>
    <row r="111" ht="15.75" customHeight="1">
      <c r="A111" s="2" t="s">
        <v>172</v>
      </c>
      <c r="B111" s="2" t="s">
        <v>185</v>
      </c>
      <c r="C111" s="2" t="s">
        <v>191</v>
      </c>
      <c r="D111" s="2" t="s">
        <v>187</v>
      </c>
      <c r="E111" s="2" t="s">
        <v>188</v>
      </c>
      <c r="F111" s="2" t="s">
        <v>189</v>
      </c>
      <c r="G111" s="2">
        <v>24.0</v>
      </c>
      <c r="H111" s="2">
        <v>12.0</v>
      </c>
      <c r="I111" s="2" t="str">
        <f>IF(ISNUMBER(MATCH(B111,Inventory_Tracking!$B$2:$B$1000,0)),"No","Yes")
</f>
        <v>Yes</v>
      </c>
      <c r="L111" s="2"/>
    </row>
    <row r="112" ht="15.75" customHeight="1">
      <c r="A112" s="2" t="s">
        <v>172</v>
      </c>
      <c r="B112" s="2" t="s">
        <v>185</v>
      </c>
      <c r="C112" s="2" t="s">
        <v>192</v>
      </c>
      <c r="D112" s="2" t="s">
        <v>187</v>
      </c>
      <c r="E112" s="2" t="s">
        <v>188</v>
      </c>
      <c r="F112" s="2" t="s">
        <v>189</v>
      </c>
      <c r="G112" s="2">
        <v>24.0</v>
      </c>
      <c r="H112" s="2">
        <v>12.0</v>
      </c>
      <c r="I112" s="2" t="str">
        <f>IF(ISNUMBER(MATCH(B112,Inventory_Tracking!$B$2:$B$1000,0)),"No","Yes")
</f>
        <v>Yes</v>
      </c>
      <c r="L112" s="2"/>
    </row>
    <row r="113" ht="15.75" customHeight="1">
      <c r="A113" s="2" t="s">
        <v>172</v>
      </c>
      <c r="B113" s="2" t="s">
        <v>185</v>
      </c>
      <c r="C113" s="2" t="s">
        <v>193</v>
      </c>
      <c r="D113" s="2" t="s">
        <v>187</v>
      </c>
      <c r="E113" s="2" t="s">
        <v>188</v>
      </c>
      <c r="F113" s="2" t="s">
        <v>189</v>
      </c>
      <c r="G113" s="2">
        <v>24.0</v>
      </c>
      <c r="H113" s="2">
        <v>12.0</v>
      </c>
      <c r="I113" s="2" t="str">
        <f>IF(ISNUMBER(MATCH(B113,Inventory_Tracking!$B$2:$B$1000,0)),"No","Yes")
</f>
        <v>Yes</v>
      </c>
      <c r="L113" s="2"/>
    </row>
    <row r="114" ht="15.75" customHeight="1">
      <c r="A114" s="2" t="s">
        <v>172</v>
      </c>
      <c r="B114" s="2" t="s">
        <v>185</v>
      </c>
      <c r="C114" s="2" t="s">
        <v>194</v>
      </c>
      <c r="D114" s="2" t="s">
        <v>195</v>
      </c>
      <c r="E114" s="2" t="s">
        <v>188</v>
      </c>
      <c r="F114" s="2" t="s">
        <v>189</v>
      </c>
      <c r="G114" s="2">
        <v>24.0</v>
      </c>
      <c r="H114" s="2">
        <v>12.0</v>
      </c>
      <c r="I114" s="2" t="str">
        <f>IF(ISNUMBER(MATCH(B114,Inventory_Tracking!$B$2:$B$1000,0)),"No","Yes")
</f>
        <v>Yes</v>
      </c>
      <c r="L114" s="2"/>
    </row>
    <row r="115" ht="15.75" customHeight="1">
      <c r="A115" s="2" t="s">
        <v>172</v>
      </c>
      <c r="B115" s="2" t="s">
        <v>185</v>
      </c>
      <c r="C115" s="2" t="s">
        <v>196</v>
      </c>
      <c r="D115" s="2" t="s">
        <v>196</v>
      </c>
      <c r="E115" s="2" t="s">
        <v>188</v>
      </c>
      <c r="F115" s="2" t="s">
        <v>189</v>
      </c>
      <c r="G115" s="2">
        <v>24.0</v>
      </c>
      <c r="H115" s="2">
        <v>12.0</v>
      </c>
      <c r="I115" s="2" t="str">
        <f>IF(ISNUMBER(MATCH(B115,Inventory_Tracking!$B$2:$B$1000,0)),"No","Yes")
</f>
        <v>Yes</v>
      </c>
      <c r="L115" s="2"/>
    </row>
    <row r="116" ht="15.75" customHeight="1">
      <c r="A116" s="2" t="s">
        <v>172</v>
      </c>
      <c r="B116" s="2" t="s">
        <v>185</v>
      </c>
      <c r="C116" s="2" t="s">
        <v>197</v>
      </c>
      <c r="D116" s="2" t="s">
        <v>198</v>
      </c>
      <c r="E116" s="2" t="s">
        <v>188</v>
      </c>
      <c r="F116" s="2" t="s">
        <v>189</v>
      </c>
      <c r="G116" s="2">
        <v>24.0</v>
      </c>
      <c r="H116" s="2">
        <v>12.0</v>
      </c>
      <c r="I116" s="2" t="str">
        <f>IF(ISNUMBER(MATCH(B116,Inventory_Tracking!$B$2:$B$1000,0)),"No","Yes")
</f>
        <v>Yes</v>
      </c>
      <c r="L116" s="2"/>
    </row>
    <row r="117" ht="15.75" customHeight="1">
      <c r="A117" s="2" t="s">
        <v>172</v>
      </c>
      <c r="B117" s="2" t="s">
        <v>185</v>
      </c>
      <c r="C117" s="2" t="s">
        <v>199</v>
      </c>
      <c r="D117" s="2" t="s">
        <v>200</v>
      </c>
      <c r="E117" s="2" t="s">
        <v>188</v>
      </c>
      <c r="F117" s="2" t="s">
        <v>189</v>
      </c>
      <c r="G117" s="2">
        <v>24.0</v>
      </c>
      <c r="H117" s="2">
        <v>12.0</v>
      </c>
      <c r="I117" s="2" t="str">
        <f>IF(ISNUMBER(MATCH(B117,Inventory_Tracking!$B$2:$B$1000,0)),"No","Yes")
</f>
        <v>Yes</v>
      </c>
      <c r="L117" s="2"/>
    </row>
    <row r="118" ht="15.75" customHeight="1">
      <c r="A118" s="2" t="s">
        <v>172</v>
      </c>
      <c r="B118" s="2" t="s">
        <v>185</v>
      </c>
      <c r="C118" s="2" t="s">
        <v>201</v>
      </c>
      <c r="D118" s="2" t="s">
        <v>202</v>
      </c>
      <c r="E118" s="2" t="s">
        <v>188</v>
      </c>
      <c r="F118" s="2" t="s">
        <v>189</v>
      </c>
      <c r="G118" s="2">
        <v>24.0</v>
      </c>
      <c r="H118" s="2">
        <v>12.0</v>
      </c>
      <c r="I118" s="2" t="str">
        <f>IF(ISNUMBER(MATCH(B118,Inventory_Tracking!$B$2:$B$1000,0)),"No","Yes")
</f>
        <v>Yes</v>
      </c>
      <c r="L118" s="2"/>
    </row>
    <row r="119" ht="15.75" customHeight="1">
      <c r="A119" s="2" t="s">
        <v>172</v>
      </c>
      <c r="B119" s="2" t="s">
        <v>185</v>
      </c>
      <c r="C119" s="2" t="s">
        <v>203</v>
      </c>
      <c r="D119" s="2" t="s">
        <v>202</v>
      </c>
      <c r="E119" s="2" t="s">
        <v>188</v>
      </c>
      <c r="F119" s="2" t="s">
        <v>189</v>
      </c>
      <c r="G119" s="2">
        <v>24.0</v>
      </c>
      <c r="H119" s="2">
        <v>12.0</v>
      </c>
      <c r="I119" s="2" t="str">
        <f>IF(ISNUMBER(MATCH(B119,Inventory_Tracking!$B$2:$B$1000,0)),"No","Yes")
</f>
        <v>Yes</v>
      </c>
      <c r="L119" s="2"/>
    </row>
    <row r="120" ht="15.75" customHeight="1">
      <c r="A120" s="2" t="s">
        <v>172</v>
      </c>
      <c r="B120" s="2" t="s">
        <v>185</v>
      </c>
      <c r="C120" s="2" t="s">
        <v>204</v>
      </c>
      <c r="D120" s="2" t="s">
        <v>205</v>
      </c>
      <c r="E120" s="2" t="s">
        <v>188</v>
      </c>
      <c r="F120" s="2" t="s">
        <v>189</v>
      </c>
      <c r="G120" s="2">
        <v>24.0</v>
      </c>
      <c r="H120" s="2">
        <v>12.0</v>
      </c>
      <c r="I120" s="2" t="str">
        <f>IF(ISNUMBER(MATCH(B120,Inventory_Tracking!$B$2:$B$1000,0)),"No","Yes")
</f>
        <v>Yes</v>
      </c>
      <c r="L120" s="2"/>
    </row>
    <row r="121" ht="15.75" customHeight="1">
      <c r="A121" s="2" t="s">
        <v>172</v>
      </c>
      <c r="B121" s="2" t="s">
        <v>185</v>
      </c>
      <c r="C121" s="2" t="s">
        <v>206</v>
      </c>
      <c r="D121" s="2" t="s">
        <v>207</v>
      </c>
      <c r="E121" s="2" t="s">
        <v>188</v>
      </c>
      <c r="F121" s="2" t="s">
        <v>189</v>
      </c>
      <c r="G121" s="2">
        <v>24.0</v>
      </c>
      <c r="H121" s="2">
        <v>12.0</v>
      </c>
      <c r="I121" s="2" t="str">
        <f>IF(ISNUMBER(MATCH(B121,Inventory_Tracking!$B$2:$B$1000,0)),"No","Yes")
</f>
        <v>Yes</v>
      </c>
      <c r="L121" s="2"/>
    </row>
    <row r="122" ht="15.75" customHeight="1">
      <c r="A122" s="2" t="s">
        <v>172</v>
      </c>
      <c r="B122" s="2" t="s">
        <v>185</v>
      </c>
      <c r="C122" s="2" t="s">
        <v>208</v>
      </c>
      <c r="D122" s="2" t="s">
        <v>209</v>
      </c>
      <c r="E122" s="2" t="s">
        <v>188</v>
      </c>
      <c r="F122" s="2" t="s">
        <v>189</v>
      </c>
      <c r="G122" s="2">
        <v>24.0</v>
      </c>
      <c r="H122" s="2">
        <v>12.0</v>
      </c>
      <c r="I122" s="2" t="str">
        <f>IF(ISNUMBER(MATCH(B122,Inventory_Tracking!$B$2:$B$1000,0)),"No","Yes")
</f>
        <v>Yes</v>
      </c>
      <c r="L122" s="2"/>
    </row>
    <row r="123" ht="15.75" customHeight="1">
      <c r="A123" s="2" t="s">
        <v>172</v>
      </c>
      <c r="B123" s="2" t="s">
        <v>185</v>
      </c>
      <c r="C123" s="2" t="s">
        <v>210</v>
      </c>
      <c r="D123" s="2" t="s">
        <v>211</v>
      </c>
      <c r="E123" s="2" t="s">
        <v>188</v>
      </c>
      <c r="F123" s="2" t="s">
        <v>189</v>
      </c>
      <c r="G123" s="2">
        <v>24.0</v>
      </c>
      <c r="H123" s="2">
        <v>12.0</v>
      </c>
      <c r="I123" s="2" t="str">
        <f>IF(ISNUMBER(MATCH(B123,Inventory_Tracking!$B$2:$B$1000,0)),"No","Yes")
</f>
        <v>Yes</v>
      </c>
      <c r="L123" s="2"/>
    </row>
    <row r="124" ht="15.75" customHeight="1">
      <c r="A124" s="2" t="s">
        <v>172</v>
      </c>
      <c r="B124" s="2" t="s">
        <v>185</v>
      </c>
      <c r="C124" s="2" t="s">
        <v>212</v>
      </c>
      <c r="D124" s="2" t="s">
        <v>211</v>
      </c>
      <c r="E124" s="2" t="s">
        <v>188</v>
      </c>
      <c r="F124" s="2" t="s">
        <v>189</v>
      </c>
      <c r="G124" s="2">
        <v>24.0</v>
      </c>
      <c r="H124" s="2">
        <v>12.0</v>
      </c>
      <c r="I124" s="2" t="str">
        <f>IF(ISNUMBER(MATCH(B124,Inventory_Tracking!$B$2:$B$1000,0)),"No","Yes")
</f>
        <v>Yes</v>
      </c>
      <c r="L124" s="2"/>
    </row>
    <row r="125" ht="15.75" customHeight="1">
      <c r="A125" s="2" t="s">
        <v>172</v>
      </c>
      <c r="B125" s="2" t="s">
        <v>185</v>
      </c>
      <c r="C125" s="2" t="s">
        <v>213</v>
      </c>
      <c r="D125" s="2" t="s">
        <v>214</v>
      </c>
      <c r="E125" s="2" t="s">
        <v>188</v>
      </c>
      <c r="F125" s="2" t="s">
        <v>189</v>
      </c>
      <c r="G125" s="2">
        <v>24.0</v>
      </c>
      <c r="H125" s="2">
        <v>12.0</v>
      </c>
      <c r="I125" s="2" t="str">
        <f>IF(ISNUMBER(MATCH(B125,Inventory_Tracking!$B$2:$B$1000,0)),"No","Yes")
</f>
        <v>Yes</v>
      </c>
      <c r="L125" s="2"/>
    </row>
    <row r="126" ht="15.75" customHeight="1">
      <c r="A126" s="2" t="s">
        <v>172</v>
      </c>
      <c r="B126" s="2" t="s">
        <v>185</v>
      </c>
      <c r="C126" s="2" t="s">
        <v>215</v>
      </c>
      <c r="D126" s="2" t="s">
        <v>216</v>
      </c>
      <c r="E126" s="2" t="s">
        <v>188</v>
      </c>
      <c r="F126" s="2" t="s">
        <v>189</v>
      </c>
      <c r="G126" s="2">
        <v>24.0</v>
      </c>
      <c r="H126" s="2">
        <v>12.0</v>
      </c>
      <c r="I126" s="2" t="str">
        <f>IF(ISNUMBER(MATCH(B126,Inventory_Tracking!$B$2:$B$1000,0)),"No","Yes")
</f>
        <v>Yes</v>
      </c>
      <c r="L126" s="2"/>
    </row>
    <row r="127" ht="15.75" customHeight="1">
      <c r="A127" s="2" t="s">
        <v>172</v>
      </c>
      <c r="B127" s="2" t="s">
        <v>185</v>
      </c>
      <c r="C127" s="5" t="s">
        <v>217</v>
      </c>
      <c r="D127" s="5" t="s">
        <v>217</v>
      </c>
      <c r="E127" s="2" t="s">
        <v>188</v>
      </c>
      <c r="F127" s="2" t="s">
        <v>189</v>
      </c>
      <c r="G127" s="2">
        <v>24.0</v>
      </c>
      <c r="H127" s="2">
        <v>12.0</v>
      </c>
      <c r="I127" s="2" t="str">
        <f>IF(ISNUMBER(MATCH(B127,Inventory_Tracking!$B$2:$B$1000,0)),"No","Yes")
</f>
        <v>Yes</v>
      </c>
      <c r="L127" s="2"/>
    </row>
    <row r="128" ht="15.75" customHeight="1">
      <c r="A128" s="3" t="s">
        <v>172</v>
      </c>
      <c r="B128" s="3" t="s">
        <v>218</v>
      </c>
      <c r="C128" s="6" t="s">
        <v>219</v>
      </c>
      <c r="D128" s="6" t="s">
        <v>219</v>
      </c>
      <c r="E128" s="3" t="s">
        <v>220</v>
      </c>
      <c r="F128" s="3" t="s">
        <v>16</v>
      </c>
      <c r="G128" s="4">
        <v>24.0</v>
      </c>
      <c r="H128" s="4">
        <v>12.0</v>
      </c>
      <c r="I128" s="2" t="str">
        <f>IF(ISNUMBER(MATCH(B128,Inventory_Tracking!$B$2:$B$1000,0)),"No","Yes")
</f>
        <v>Yes</v>
      </c>
      <c r="J128" s="7"/>
      <c r="K128" s="7"/>
      <c r="L128" s="3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" t="s">
        <v>172</v>
      </c>
      <c r="B129" s="3" t="s">
        <v>218</v>
      </c>
      <c r="C129" s="6" t="s">
        <v>221</v>
      </c>
      <c r="D129" s="6" t="s">
        <v>221</v>
      </c>
      <c r="E129" s="3" t="s">
        <v>220</v>
      </c>
      <c r="F129" s="3" t="s">
        <v>16</v>
      </c>
      <c r="G129" s="4">
        <v>24.0</v>
      </c>
      <c r="H129" s="4">
        <v>12.0</v>
      </c>
      <c r="I129" s="2" t="str">
        <f>IF(ISNUMBER(MATCH(B129,Inventory_Tracking!$B$2:$B$1000,0)),"No","Yes")
</f>
        <v>Yes</v>
      </c>
      <c r="J129" s="7"/>
      <c r="K129" s="7"/>
      <c r="L129" s="3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3" t="s">
        <v>172</v>
      </c>
      <c r="B130" s="3" t="s">
        <v>218</v>
      </c>
      <c r="C130" s="6" t="s">
        <v>222</v>
      </c>
      <c r="D130" s="6" t="s">
        <v>223</v>
      </c>
      <c r="E130" s="3" t="s">
        <v>220</v>
      </c>
      <c r="F130" s="3" t="s">
        <v>16</v>
      </c>
      <c r="G130" s="4">
        <v>24.0</v>
      </c>
      <c r="H130" s="4">
        <v>12.0</v>
      </c>
      <c r="I130" s="2" t="str">
        <f>IF(ISNUMBER(MATCH(B130,Inventory_Tracking!$B$2:$B$1000,0)),"No","Yes")
</f>
        <v>Yes</v>
      </c>
      <c r="J130" s="7"/>
      <c r="K130" s="7"/>
      <c r="L130" s="3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3" t="s">
        <v>172</v>
      </c>
      <c r="B131" s="3" t="s">
        <v>218</v>
      </c>
      <c r="C131" s="6" t="s">
        <v>224</v>
      </c>
      <c r="D131" s="6" t="s">
        <v>224</v>
      </c>
      <c r="E131" s="3" t="s">
        <v>220</v>
      </c>
      <c r="F131" s="3" t="s">
        <v>16</v>
      </c>
      <c r="G131" s="4">
        <v>24.0</v>
      </c>
      <c r="H131" s="4">
        <v>12.0</v>
      </c>
      <c r="I131" s="2" t="str">
        <f>IF(ISNUMBER(MATCH(B131,Inventory_Tracking!$B$2:$B$1000,0)),"No","Yes")
</f>
        <v>Yes</v>
      </c>
      <c r="J131" s="7"/>
      <c r="K131" s="7"/>
      <c r="L131" s="3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" t="s">
        <v>172</v>
      </c>
      <c r="B132" s="2" t="s">
        <v>218</v>
      </c>
      <c r="C132" s="2" t="s">
        <v>225</v>
      </c>
      <c r="D132" s="2" t="s">
        <v>226</v>
      </c>
      <c r="E132" s="2" t="s">
        <v>220</v>
      </c>
      <c r="F132" s="2" t="s">
        <v>16</v>
      </c>
      <c r="G132" s="2">
        <v>24.0</v>
      </c>
      <c r="H132" s="2">
        <v>12.0</v>
      </c>
      <c r="I132" s="2" t="str">
        <f>IF(ISNUMBER(MATCH(B132,Inventory_Tracking!$B$2:$B$1000,0)),"No","Yes")
</f>
        <v>Yes</v>
      </c>
      <c r="L132" s="2"/>
    </row>
    <row r="133" ht="15.75" customHeight="1">
      <c r="A133" s="2" t="s">
        <v>172</v>
      </c>
      <c r="B133" s="2" t="s">
        <v>218</v>
      </c>
      <c r="C133" s="2" t="s">
        <v>196</v>
      </c>
      <c r="D133" s="2" t="s">
        <v>196</v>
      </c>
      <c r="E133" s="2" t="s">
        <v>220</v>
      </c>
      <c r="F133" s="2" t="s">
        <v>16</v>
      </c>
      <c r="G133" s="2">
        <v>24.0</v>
      </c>
      <c r="H133" s="2">
        <v>12.0</v>
      </c>
      <c r="I133" s="2" t="str">
        <f>IF(ISNUMBER(MATCH(B133,Inventory_Tracking!$B$2:$B$1000,0)),"No","Yes")
</f>
        <v>Yes</v>
      </c>
      <c r="L133" s="2"/>
    </row>
    <row r="134" ht="15.75" customHeight="1">
      <c r="A134" s="2" t="s">
        <v>172</v>
      </c>
      <c r="B134" s="2" t="s">
        <v>218</v>
      </c>
      <c r="C134" s="2" t="s">
        <v>227</v>
      </c>
      <c r="D134" s="2" t="s">
        <v>227</v>
      </c>
      <c r="E134" s="2" t="s">
        <v>220</v>
      </c>
      <c r="F134" s="2" t="s">
        <v>16</v>
      </c>
      <c r="G134" s="2">
        <v>24.0</v>
      </c>
      <c r="H134" s="2">
        <v>12.0</v>
      </c>
      <c r="I134" s="2" t="str">
        <f>IF(ISNUMBER(MATCH(B134,Inventory_Tracking!$B$2:$B$1000,0)),"No","Yes")
</f>
        <v>Yes</v>
      </c>
      <c r="L134" s="2"/>
    </row>
    <row r="135" ht="15.75" customHeight="1">
      <c r="A135" s="2" t="s">
        <v>172</v>
      </c>
      <c r="B135" s="2" t="s">
        <v>218</v>
      </c>
      <c r="C135" s="2" t="s">
        <v>228</v>
      </c>
      <c r="D135" s="2" t="s">
        <v>205</v>
      </c>
      <c r="E135" s="2" t="s">
        <v>220</v>
      </c>
      <c r="F135" s="2" t="s">
        <v>16</v>
      </c>
      <c r="G135" s="2">
        <v>24.0</v>
      </c>
      <c r="H135" s="2">
        <v>12.0</v>
      </c>
      <c r="I135" s="2" t="str">
        <f>IF(ISNUMBER(MATCH(B135,Inventory_Tracking!$B$2:$B$1000,0)),"No","Yes")
</f>
        <v>Yes</v>
      </c>
      <c r="L135" s="2"/>
    </row>
    <row r="136" ht="15.75" customHeight="1">
      <c r="A136" s="2" t="s">
        <v>172</v>
      </c>
      <c r="B136" s="2" t="s">
        <v>218</v>
      </c>
      <c r="C136" s="2" t="s">
        <v>229</v>
      </c>
      <c r="D136" s="2" t="s">
        <v>229</v>
      </c>
      <c r="E136" s="2" t="s">
        <v>220</v>
      </c>
      <c r="F136" s="2" t="s">
        <v>16</v>
      </c>
      <c r="G136" s="2">
        <v>24.0</v>
      </c>
      <c r="H136" s="2">
        <v>12.0</v>
      </c>
      <c r="I136" s="2" t="str">
        <f>IF(ISNUMBER(MATCH(B136,Inventory_Tracking!$B$2:$B$1000,0)),"No","Yes")
</f>
        <v>Yes</v>
      </c>
      <c r="L136" s="2"/>
    </row>
    <row r="137" ht="15.75" customHeight="1">
      <c r="A137" s="3" t="s">
        <v>172</v>
      </c>
      <c r="B137" s="3" t="s">
        <v>218</v>
      </c>
      <c r="C137" s="6" t="s">
        <v>230</v>
      </c>
      <c r="D137" s="6" t="s">
        <v>230</v>
      </c>
      <c r="E137" s="3" t="s">
        <v>220</v>
      </c>
      <c r="F137" s="3" t="s">
        <v>16</v>
      </c>
      <c r="G137" s="4">
        <v>24.0</v>
      </c>
      <c r="H137" s="4">
        <v>12.0</v>
      </c>
      <c r="I137" s="2" t="str">
        <f>IF(ISNUMBER(MATCH(B137,Inventory_Tracking!$B$2:$B$1000,0)),"No","Yes")
</f>
        <v>Yes</v>
      </c>
      <c r="J137" s="7"/>
      <c r="K137" s="7"/>
      <c r="L137" s="3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" t="s">
        <v>172</v>
      </c>
      <c r="B138" s="2" t="s">
        <v>218</v>
      </c>
      <c r="C138" s="2" t="s">
        <v>231</v>
      </c>
      <c r="D138" s="2" t="s">
        <v>179</v>
      </c>
      <c r="E138" s="2" t="s">
        <v>220</v>
      </c>
      <c r="F138" s="2" t="s">
        <v>16</v>
      </c>
      <c r="G138" s="2">
        <v>24.0</v>
      </c>
      <c r="H138" s="2">
        <v>12.0</v>
      </c>
      <c r="I138" s="2" t="str">
        <f>IF(ISNUMBER(MATCH(B138,Inventory_Tracking!$B$2:$B$1000,0)),"No","Yes")
</f>
        <v>Yes</v>
      </c>
      <c r="L138" s="2"/>
    </row>
    <row r="139" ht="15.75" customHeight="1">
      <c r="A139" s="2" t="s">
        <v>11</v>
      </c>
      <c r="B139" s="2" t="s">
        <v>166</v>
      </c>
      <c r="C139" s="2" t="s">
        <v>232</v>
      </c>
      <c r="D139" s="2" t="s">
        <v>233</v>
      </c>
      <c r="E139" s="2" t="s">
        <v>15</v>
      </c>
      <c r="F139" s="2" t="s">
        <v>16</v>
      </c>
      <c r="I139" s="2" t="str">
        <f>IF(ISNUMBER(MATCH(B139,Inventory_Tracking!$B$2:$B$1000,0)),"No","Yes")
</f>
        <v>Yes</v>
      </c>
      <c r="L139" s="2"/>
    </row>
    <row r="140" ht="15.75" customHeight="1">
      <c r="A140" s="2" t="s">
        <v>11</v>
      </c>
      <c r="B140" s="2" t="s">
        <v>166</v>
      </c>
      <c r="C140" s="2" t="s">
        <v>234</v>
      </c>
      <c r="D140" s="2" t="s">
        <v>235</v>
      </c>
      <c r="E140" s="2" t="s">
        <v>21</v>
      </c>
      <c r="F140" s="2" t="s">
        <v>16</v>
      </c>
      <c r="I140" s="2" t="str">
        <f>IF(ISNUMBER(MATCH(B140,Inventory_Tracking!$B$2:$B$1000,0)),"No","Yes")
</f>
        <v>Yes</v>
      </c>
      <c r="L140" s="2"/>
    </row>
    <row r="141" ht="15.75" customHeight="1">
      <c r="A141" s="2" t="s">
        <v>11</v>
      </c>
      <c r="B141" s="2" t="s">
        <v>166</v>
      </c>
      <c r="C141" s="2" t="s">
        <v>236</v>
      </c>
      <c r="D141" s="2" t="s">
        <v>237</v>
      </c>
      <c r="E141" s="2" t="s">
        <v>15</v>
      </c>
      <c r="F141" s="2" t="s">
        <v>16</v>
      </c>
      <c r="I141" s="2" t="str">
        <f>IF(ISNUMBER(MATCH(B141,Inventory_Tracking!$B$2:$B$1000,0)),"No","Yes")
</f>
        <v>Yes</v>
      </c>
      <c r="L141" s="2"/>
    </row>
    <row r="142" ht="15.0" customHeight="1">
      <c r="A142" s="2" t="s">
        <v>11</v>
      </c>
      <c r="B142" s="2" t="s">
        <v>166</v>
      </c>
      <c r="C142" s="2" t="s">
        <v>238</v>
      </c>
      <c r="D142" s="2" t="s">
        <v>238</v>
      </c>
      <c r="E142" s="2" t="s">
        <v>15</v>
      </c>
      <c r="F142" s="2" t="s">
        <v>16</v>
      </c>
      <c r="I142" s="2" t="str">
        <f>IF(ISNUMBER(MATCH(B142,Inventory_Tracking!$B$2:$B$1000,0)),"No","Yes")
</f>
        <v>Yes</v>
      </c>
      <c r="L142" s="2"/>
    </row>
    <row r="143" ht="15.0" customHeight="1">
      <c r="A143" s="2" t="s">
        <v>11</v>
      </c>
      <c r="B143" s="2" t="s">
        <v>166</v>
      </c>
      <c r="C143" s="2" t="s">
        <v>239</v>
      </c>
      <c r="D143" s="2" t="s">
        <v>239</v>
      </c>
      <c r="E143" s="2" t="s">
        <v>15</v>
      </c>
      <c r="F143" s="2" t="s">
        <v>16</v>
      </c>
      <c r="I143" s="2" t="str">
        <f>IF(ISNUMBER(MATCH(B143,Inventory_Tracking!$B$2:$B$1000,0)),"No","Yes")
</f>
        <v>Yes</v>
      </c>
      <c r="L143" s="2"/>
    </row>
    <row r="144" ht="15.75" customHeight="1">
      <c r="A144" s="3" t="s">
        <v>172</v>
      </c>
      <c r="B144" s="3" t="s">
        <v>218</v>
      </c>
      <c r="C144" s="6" t="s">
        <v>240</v>
      </c>
      <c r="D144" s="6" t="s">
        <v>240</v>
      </c>
      <c r="E144" s="3" t="s">
        <v>220</v>
      </c>
      <c r="F144" s="3" t="s">
        <v>16</v>
      </c>
      <c r="G144" s="4">
        <v>24.0</v>
      </c>
      <c r="H144" s="4">
        <v>12.0</v>
      </c>
      <c r="I144" s="2" t="str">
        <f>IF(ISNUMBER(MATCH(B144,Inventory_Tracking!$B$2:$B$1000,0)),"No","Yes")
</f>
        <v>Yes</v>
      </c>
      <c r="J144" s="7"/>
      <c r="K144" s="7"/>
      <c r="L144" s="3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3" t="s">
        <v>172</v>
      </c>
      <c r="B145" s="3" t="s">
        <v>218</v>
      </c>
      <c r="C145" s="6" t="s">
        <v>241</v>
      </c>
      <c r="D145" s="6" t="s">
        <v>241</v>
      </c>
      <c r="E145" s="3" t="s">
        <v>220</v>
      </c>
      <c r="F145" s="3" t="s">
        <v>16</v>
      </c>
      <c r="G145" s="4">
        <v>24.0</v>
      </c>
      <c r="H145" s="4">
        <v>12.0</v>
      </c>
      <c r="I145" s="2" t="str">
        <f>IF(ISNUMBER(MATCH(B145,Inventory_Tracking!$B$2:$B$1000,0)),"No","Yes")
</f>
        <v>Yes</v>
      </c>
      <c r="J145" s="7"/>
      <c r="K145" s="7"/>
      <c r="L145" s="3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" t="s">
        <v>172</v>
      </c>
      <c r="B146" s="2" t="s">
        <v>218</v>
      </c>
      <c r="C146" s="5" t="s">
        <v>187</v>
      </c>
      <c r="D146" s="5" t="s">
        <v>187</v>
      </c>
      <c r="E146" s="2" t="s">
        <v>220</v>
      </c>
      <c r="F146" s="2" t="s">
        <v>16</v>
      </c>
      <c r="G146" s="2">
        <v>24.0</v>
      </c>
      <c r="H146" s="2">
        <v>12.0</v>
      </c>
      <c r="I146" s="2" t="str">
        <f>IF(ISNUMBER(MATCH(B146,Inventory_Tracking!$B$2:$B$1000,0)),"No","Yes")
</f>
        <v>Yes</v>
      </c>
      <c r="L146" s="2"/>
    </row>
    <row r="147" ht="15.75" customHeight="1">
      <c r="A147" s="2" t="s">
        <v>172</v>
      </c>
      <c r="B147" s="2" t="s">
        <v>218</v>
      </c>
      <c r="C147" s="5" t="s">
        <v>242</v>
      </c>
      <c r="D147" s="5" t="s">
        <v>242</v>
      </c>
      <c r="E147" s="2" t="s">
        <v>220</v>
      </c>
      <c r="F147" s="2" t="s">
        <v>16</v>
      </c>
      <c r="G147" s="2">
        <v>24.0</v>
      </c>
      <c r="H147" s="2">
        <v>12.0</v>
      </c>
      <c r="I147" s="2" t="str">
        <f>IF(ISNUMBER(MATCH(B147,Inventory_Tracking!$B$2:$B$1000,0)),"No","Yes")
</f>
        <v>Yes</v>
      </c>
      <c r="L147" s="2"/>
    </row>
    <row r="148" ht="15.75" customHeight="1">
      <c r="A148" s="2" t="s">
        <v>172</v>
      </c>
      <c r="B148" s="2" t="s">
        <v>218</v>
      </c>
      <c r="C148" s="5" t="s">
        <v>207</v>
      </c>
      <c r="D148" s="5" t="s">
        <v>207</v>
      </c>
      <c r="E148" s="2" t="s">
        <v>220</v>
      </c>
      <c r="F148" s="2" t="s">
        <v>16</v>
      </c>
      <c r="G148" s="2">
        <v>24.0</v>
      </c>
      <c r="H148" s="2">
        <v>12.0</v>
      </c>
      <c r="I148" s="2" t="str">
        <f>IF(ISNUMBER(MATCH(B148,Inventory_Tracking!$B$2:$B$1000,0)),"No","Yes")
</f>
        <v>Yes</v>
      </c>
      <c r="L148" s="2"/>
    </row>
    <row r="149" ht="15.75" customHeight="1">
      <c r="A149" s="2" t="s">
        <v>172</v>
      </c>
      <c r="B149" s="2" t="s">
        <v>218</v>
      </c>
      <c r="C149" s="5" t="s">
        <v>243</v>
      </c>
      <c r="D149" s="5" t="s">
        <v>243</v>
      </c>
      <c r="E149" s="2" t="s">
        <v>220</v>
      </c>
      <c r="F149" s="2" t="s">
        <v>16</v>
      </c>
      <c r="G149" s="2">
        <v>24.0</v>
      </c>
      <c r="H149" s="2">
        <v>12.0</v>
      </c>
      <c r="I149" s="2" t="str">
        <f>IF(ISNUMBER(MATCH(B149,Inventory_Tracking!$B$2:$B$1000,0)),"No","Yes")
</f>
        <v>Yes</v>
      </c>
      <c r="L149" s="2"/>
    </row>
    <row r="150" ht="15.75" customHeight="1">
      <c r="A150" s="3" t="s">
        <v>172</v>
      </c>
      <c r="B150" s="3" t="s">
        <v>218</v>
      </c>
      <c r="C150" s="6" t="s">
        <v>244</v>
      </c>
      <c r="D150" s="6" t="s">
        <v>244</v>
      </c>
      <c r="E150" s="3" t="s">
        <v>220</v>
      </c>
      <c r="F150" s="3" t="s">
        <v>16</v>
      </c>
      <c r="G150" s="4">
        <v>24.0</v>
      </c>
      <c r="H150" s="4">
        <v>12.0</v>
      </c>
      <c r="I150" s="2" t="str">
        <f>IF(ISNUMBER(MATCH(B150,Inventory_Tracking!$B$2:$B$1000,0)),"No","Yes")
</f>
        <v>Yes</v>
      </c>
      <c r="J150" s="7"/>
      <c r="K150" s="7"/>
      <c r="L150" s="3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5" t="s">
        <v>245</v>
      </c>
      <c r="B151" s="8" t="s">
        <v>246</v>
      </c>
      <c r="C151" s="5" t="s">
        <v>247</v>
      </c>
      <c r="D151" s="5"/>
      <c r="E151" s="5" t="s">
        <v>15</v>
      </c>
      <c r="F151" s="3" t="s">
        <v>16</v>
      </c>
      <c r="G151" s="2"/>
      <c r="H151" s="2"/>
      <c r="I151" s="2" t="str">
        <f>IF(ISNUMBER(MATCH(B151,Inventory_Tracking!$B$2:$B$1000,0)),"No","Yes")
</f>
        <v>Yes</v>
      </c>
      <c r="L151" s="2"/>
    </row>
    <row r="152" ht="15.75" customHeight="1">
      <c r="A152" s="5" t="s">
        <v>245</v>
      </c>
      <c r="B152" s="5" t="s">
        <v>246</v>
      </c>
      <c r="C152" s="8" t="s">
        <v>248</v>
      </c>
      <c r="E152" s="8" t="s">
        <v>15</v>
      </c>
      <c r="F152" s="3" t="s">
        <v>16</v>
      </c>
      <c r="I152" s="2" t="str">
        <f>IF(ISNUMBER(MATCH(B152,Inventory_Tracking!$B$2:$B$1000,0)),"No","Yes")
</f>
        <v>Yes</v>
      </c>
      <c r="L152" s="2"/>
    </row>
    <row r="153" ht="15.75" customHeight="1">
      <c r="A153" s="5" t="s">
        <v>245</v>
      </c>
      <c r="B153" s="5" t="s">
        <v>246</v>
      </c>
      <c r="C153" s="8" t="s">
        <v>249</v>
      </c>
      <c r="E153" s="8" t="s">
        <v>15</v>
      </c>
      <c r="F153" s="3" t="s">
        <v>16</v>
      </c>
      <c r="I153" s="2" t="str">
        <f>IF(ISNUMBER(MATCH(B153,Inventory_Tracking!$B$2:$B$1000,0)),"No","Yes")
</f>
        <v>Yes</v>
      </c>
      <c r="L153" s="2"/>
    </row>
    <row r="154" ht="15.75" customHeight="1">
      <c r="A154" s="5" t="s">
        <v>245</v>
      </c>
      <c r="B154" s="5" t="s">
        <v>250</v>
      </c>
      <c r="C154" s="8" t="s">
        <v>251</v>
      </c>
      <c r="E154" s="8" t="s">
        <v>15</v>
      </c>
      <c r="F154" s="3" t="s">
        <v>16</v>
      </c>
      <c r="I154" s="2" t="str">
        <f>IF(ISNUMBER(MATCH(B154,Inventory_Tracking!$B$2:$B$1000,0)),"No","Yes")
</f>
        <v>Yes</v>
      </c>
      <c r="L154" s="2"/>
    </row>
    <row r="155" ht="15.75" customHeight="1">
      <c r="A155" s="5" t="s">
        <v>245</v>
      </c>
      <c r="B155" s="5" t="s">
        <v>250</v>
      </c>
      <c r="C155" s="8" t="s">
        <v>252</v>
      </c>
      <c r="E155" s="8" t="s">
        <v>15</v>
      </c>
      <c r="F155" s="3" t="s">
        <v>16</v>
      </c>
      <c r="I155" s="2" t="str">
        <f>IF(ISNUMBER(MATCH(B155,Inventory_Tracking!$B$2:$B$1000,0)),"No","Yes")
</f>
        <v>Yes</v>
      </c>
      <c r="L155" s="2"/>
    </row>
    <row r="156" ht="15.75" customHeight="1">
      <c r="A156" s="5" t="s">
        <v>245</v>
      </c>
      <c r="B156" s="5" t="s">
        <v>250</v>
      </c>
      <c r="C156" s="8" t="s">
        <v>253</v>
      </c>
      <c r="E156" s="8" t="s">
        <v>15</v>
      </c>
      <c r="F156" s="3" t="s">
        <v>16</v>
      </c>
      <c r="I156" s="2" t="str">
        <f>IF(ISNUMBER(MATCH(B156,Inventory_Tracking!$B$2:$B$1000,0)),"No","Yes")
</f>
        <v>Yes</v>
      </c>
      <c r="L156" s="2"/>
    </row>
    <row r="157" ht="15.75" customHeight="1">
      <c r="A157" s="5" t="s">
        <v>245</v>
      </c>
      <c r="B157" s="5" t="s">
        <v>250</v>
      </c>
      <c r="C157" s="8" t="s">
        <v>254</v>
      </c>
      <c r="E157" s="8" t="s">
        <v>15</v>
      </c>
      <c r="F157" s="3" t="s">
        <v>16</v>
      </c>
      <c r="I157" s="2" t="str">
        <f>IF(ISNUMBER(MATCH(B157,Inventory_Tracking!$B$2:$B$1000,0)),"No","Yes")
</f>
        <v>Yes</v>
      </c>
      <c r="L157" s="2"/>
    </row>
    <row r="158" ht="15.75" customHeight="1">
      <c r="A158" s="5" t="s">
        <v>245</v>
      </c>
      <c r="B158" s="5" t="s">
        <v>250</v>
      </c>
      <c r="C158" s="8" t="s">
        <v>255</v>
      </c>
      <c r="E158" s="8" t="s">
        <v>15</v>
      </c>
      <c r="F158" s="3" t="s">
        <v>16</v>
      </c>
      <c r="I158" s="2" t="str">
        <f>IF(ISNUMBER(MATCH(B158,Inventory_Tracking!$B$2:$B$1000,0)),"No","Yes")
</f>
        <v>Yes</v>
      </c>
      <c r="L158" s="2"/>
    </row>
    <row r="159" ht="15.75" customHeight="1">
      <c r="A159" s="5" t="s">
        <v>245</v>
      </c>
      <c r="B159" s="5" t="s">
        <v>250</v>
      </c>
      <c r="C159" s="8" t="s">
        <v>256</v>
      </c>
      <c r="E159" s="8" t="s">
        <v>15</v>
      </c>
      <c r="F159" s="3" t="s">
        <v>16</v>
      </c>
      <c r="I159" s="2" t="str">
        <f>IF(ISNUMBER(MATCH(B159,Inventory_Tracking!$B$2:$B$1000,0)),"No","Yes")
</f>
        <v>Yes</v>
      </c>
      <c r="L159" s="2"/>
    </row>
    <row r="160" ht="15.75" customHeight="1">
      <c r="A160" s="5" t="s">
        <v>245</v>
      </c>
      <c r="B160" s="5" t="s">
        <v>250</v>
      </c>
      <c r="C160" s="8" t="s">
        <v>257</v>
      </c>
      <c r="E160" s="8" t="s">
        <v>15</v>
      </c>
      <c r="F160" s="3" t="s">
        <v>16</v>
      </c>
      <c r="I160" s="2" t="str">
        <f>IF(ISNUMBER(MATCH(B160,Inventory_Tracking!$B$2:$B$1000,0)),"No","Yes")
</f>
        <v>Yes</v>
      </c>
      <c r="L160" s="2"/>
    </row>
    <row r="161" ht="15.75" customHeight="1">
      <c r="A161" s="5" t="s">
        <v>245</v>
      </c>
      <c r="B161" s="5" t="s">
        <v>250</v>
      </c>
      <c r="C161" s="8" t="s">
        <v>258</v>
      </c>
      <c r="E161" s="8" t="s">
        <v>15</v>
      </c>
      <c r="F161" s="3" t="s">
        <v>16</v>
      </c>
      <c r="I161" s="2" t="str">
        <f>IF(ISNUMBER(MATCH(B161,Inventory_Tracking!$B$2:$B$1000,0)),"No","Yes")
</f>
        <v>Yes</v>
      </c>
      <c r="L161" s="2"/>
    </row>
    <row r="162" ht="15.75" customHeight="1">
      <c r="A162" s="2"/>
      <c r="B162" s="2"/>
      <c r="I162" s="2" t="str">
        <f>IF(ISNUMBER(MATCH(B162,Inventory_Tracking!$B$2:$B$1000,0)),"No","Yes")
</f>
        <v>Yes</v>
      </c>
      <c r="L162" s="2"/>
    </row>
    <row r="163" ht="15.75" customHeight="1">
      <c r="A163" s="2"/>
      <c r="B163" s="2"/>
      <c r="I163" s="2" t="str">
        <f>IF(ISNUMBER(MATCH(B163,Inventory_Tracking!$B$2:$B$1000,0)),"No","Yes")
</f>
        <v>Yes</v>
      </c>
      <c r="L163" s="2"/>
    </row>
    <row r="164" ht="15.75" customHeight="1">
      <c r="A164" s="2"/>
      <c r="B164" s="2"/>
      <c r="I164" s="2" t="str">
        <f>IF(ISNUMBER(MATCH(B164,Inventory_Tracking!$B$2:$B$1000,0)),"No","Yes")
</f>
        <v>Yes</v>
      </c>
      <c r="L164" s="2"/>
    </row>
    <row r="165" ht="15.75" customHeight="1">
      <c r="A165" s="2"/>
      <c r="B165" s="2"/>
      <c r="L165" s="2"/>
    </row>
    <row r="166" ht="15.75" customHeight="1">
      <c r="A166" s="2"/>
      <c r="B166" s="2"/>
      <c r="L166" s="2"/>
    </row>
    <row r="167" ht="15.75" customHeight="1">
      <c r="A167" s="2"/>
      <c r="B167" s="2"/>
      <c r="L167" s="2"/>
    </row>
    <row r="168" ht="15.75" customHeight="1">
      <c r="A168" s="2"/>
      <c r="B168" s="2"/>
      <c r="L168" s="2"/>
    </row>
    <row r="169" ht="15.75" customHeight="1">
      <c r="A169" s="2"/>
      <c r="B169" s="2"/>
      <c r="L169" s="2"/>
    </row>
    <row r="170" ht="15.75" customHeight="1">
      <c r="A170" s="2"/>
      <c r="B170" s="2"/>
      <c r="L170" s="2"/>
    </row>
    <row r="171" ht="15.75" customHeight="1">
      <c r="A171" s="2"/>
      <c r="B171" s="2"/>
      <c r="L171" s="2"/>
    </row>
    <row r="172" ht="15.75" customHeight="1">
      <c r="A172" s="2"/>
      <c r="B172" s="2"/>
      <c r="L172" s="2"/>
    </row>
    <row r="173" ht="15.75" customHeight="1">
      <c r="A173" s="2"/>
      <c r="B173" s="2"/>
      <c r="L173" s="2"/>
    </row>
    <row r="174" ht="15.75" customHeight="1">
      <c r="A174" s="2"/>
      <c r="B174" s="2"/>
      <c r="L174" s="2"/>
    </row>
    <row r="175" ht="15.75" customHeight="1">
      <c r="A175" s="2"/>
      <c r="B175" s="2"/>
      <c r="L175" s="2"/>
    </row>
    <row r="176" ht="15.75" customHeight="1">
      <c r="A176" s="2"/>
      <c r="B176" s="2"/>
      <c r="L176" s="2"/>
    </row>
    <row r="177" ht="15.75" customHeight="1">
      <c r="A177" s="2"/>
      <c r="B177" s="2"/>
      <c r="L177" s="2"/>
    </row>
    <row r="178" ht="15.75" customHeight="1">
      <c r="A178" s="2"/>
      <c r="B178" s="2"/>
      <c r="L178" s="2"/>
    </row>
    <row r="179" ht="15.75" customHeight="1">
      <c r="A179" s="2"/>
      <c r="B179" s="2"/>
      <c r="L179" s="2"/>
    </row>
    <row r="180" ht="15.75" customHeight="1">
      <c r="A180" s="2"/>
      <c r="B180" s="2"/>
      <c r="L180" s="2"/>
    </row>
    <row r="181" ht="15.75" customHeight="1">
      <c r="A181" s="2"/>
      <c r="B181" s="2"/>
      <c r="L181" s="2"/>
    </row>
    <row r="182" ht="15.75" customHeight="1">
      <c r="A182" s="2"/>
      <c r="B182" s="2"/>
      <c r="L182" s="2"/>
    </row>
    <row r="183" ht="15.75" customHeight="1">
      <c r="A183" s="2"/>
      <c r="B183" s="2"/>
      <c r="L183" s="2"/>
    </row>
    <row r="184" ht="15.75" customHeight="1">
      <c r="A184" s="2"/>
      <c r="B184" s="2"/>
      <c r="L184" s="2"/>
    </row>
    <row r="185" ht="15.75" customHeight="1">
      <c r="A185" s="2"/>
      <c r="B185" s="2"/>
      <c r="L185" s="2"/>
    </row>
    <row r="186" ht="15.75" customHeight="1">
      <c r="A186" s="2"/>
      <c r="B186" s="2"/>
      <c r="L186" s="2"/>
    </row>
    <row r="187" ht="15.75" customHeight="1">
      <c r="A187" s="2"/>
      <c r="B187" s="2"/>
      <c r="L187" s="2"/>
    </row>
    <row r="188" ht="15.75" customHeight="1">
      <c r="A188" s="2"/>
      <c r="B188" s="2"/>
      <c r="L188" s="2"/>
    </row>
    <row r="189" ht="15.75" customHeight="1">
      <c r="A189" s="2"/>
      <c r="B189" s="2"/>
      <c r="L189" s="2"/>
    </row>
    <row r="190" ht="15.75" customHeight="1">
      <c r="A190" s="2"/>
      <c r="B190" s="2"/>
      <c r="L190" s="2"/>
    </row>
    <row r="191" ht="15.75" customHeight="1">
      <c r="A191" s="2"/>
      <c r="B191" s="2"/>
      <c r="L191" s="2"/>
    </row>
    <row r="192" ht="15.75" customHeight="1">
      <c r="A192" s="2"/>
      <c r="B192" s="2"/>
      <c r="L192" s="2"/>
    </row>
    <row r="193" ht="15.75" customHeight="1">
      <c r="A193" s="2"/>
      <c r="B193" s="2"/>
      <c r="L193" s="2"/>
    </row>
    <row r="194" ht="15.75" customHeight="1">
      <c r="A194" s="2"/>
      <c r="B194" s="2"/>
      <c r="L194" s="2"/>
    </row>
    <row r="195" ht="15.75" customHeight="1">
      <c r="A195" s="2"/>
      <c r="B195" s="2"/>
      <c r="L195" s="2"/>
    </row>
    <row r="196" ht="15.75" customHeight="1">
      <c r="A196" s="2"/>
      <c r="B196" s="2"/>
      <c r="L196" s="2"/>
    </row>
    <row r="197" ht="15.75" customHeight="1">
      <c r="A197" s="2"/>
      <c r="B197" s="2"/>
      <c r="L197" s="2"/>
    </row>
    <row r="198" ht="15.75" customHeight="1">
      <c r="A198" s="2"/>
      <c r="B198" s="2"/>
      <c r="L198" s="2"/>
    </row>
    <row r="199" ht="15.75" customHeight="1">
      <c r="A199" s="2"/>
      <c r="B199" s="2"/>
      <c r="L199" s="2"/>
    </row>
    <row r="200" ht="15.75" customHeight="1">
      <c r="A200" s="2"/>
      <c r="B200" s="2"/>
      <c r="L200" s="2"/>
    </row>
    <row r="201" ht="15.75" customHeight="1">
      <c r="A201" s="2"/>
      <c r="B201" s="2"/>
      <c r="L201" s="2"/>
    </row>
    <row r="202" ht="15.75" customHeight="1">
      <c r="A202" s="2"/>
      <c r="B202" s="2"/>
      <c r="L202" s="2"/>
    </row>
    <row r="203" ht="15.75" customHeight="1">
      <c r="A203" s="2"/>
      <c r="B203" s="2"/>
      <c r="L203" s="2"/>
    </row>
    <row r="204" ht="15.75" customHeight="1">
      <c r="A204" s="2"/>
      <c r="B204" s="2"/>
      <c r="L204" s="2"/>
    </row>
    <row r="205" ht="15.75" customHeight="1">
      <c r="A205" s="2"/>
      <c r="B205" s="2"/>
      <c r="L205" s="2"/>
    </row>
    <row r="206" ht="15.75" customHeight="1">
      <c r="A206" s="2"/>
      <c r="B206" s="2"/>
      <c r="L206" s="2"/>
    </row>
    <row r="207" ht="15.75" customHeight="1">
      <c r="A207" s="2"/>
      <c r="B207" s="2"/>
      <c r="L207" s="2"/>
    </row>
    <row r="208" ht="15.75" customHeight="1">
      <c r="A208" s="2"/>
      <c r="B208" s="2"/>
      <c r="L208" s="2"/>
    </row>
    <row r="209" ht="15.75" customHeight="1">
      <c r="A209" s="2"/>
      <c r="B209" s="2"/>
      <c r="L209" s="2"/>
    </row>
    <row r="210" ht="15.75" customHeight="1">
      <c r="A210" s="2"/>
      <c r="B210" s="2"/>
      <c r="L210" s="2"/>
    </row>
    <row r="211" ht="15.75" customHeight="1">
      <c r="A211" s="2"/>
      <c r="B211" s="2"/>
      <c r="L211" s="2"/>
    </row>
    <row r="212" ht="15.75" customHeight="1">
      <c r="A212" s="2"/>
      <c r="B212" s="2"/>
      <c r="L212" s="2"/>
    </row>
    <row r="213" ht="15.75" customHeight="1">
      <c r="A213" s="2"/>
      <c r="B213" s="2"/>
      <c r="L213" s="2"/>
    </row>
    <row r="214" ht="15.75" customHeight="1">
      <c r="A214" s="2"/>
      <c r="B214" s="2"/>
      <c r="L214" s="2"/>
    </row>
    <row r="215" ht="15.75" customHeight="1">
      <c r="A215" s="2"/>
      <c r="B215" s="2"/>
      <c r="L215" s="2"/>
    </row>
    <row r="216" ht="15.75" customHeight="1">
      <c r="A216" s="2"/>
      <c r="B216" s="2"/>
      <c r="L216" s="2"/>
    </row>
    <row r="217" ht="15.75" customHeight="1">
      <c r="A217" s="2"/>
      <c r="B217" s="2"/>
      <c r="L217" s="2"/>
    </row>
    <row r="218" ht="15.75" customHeight="1">
      <c r="A218" s="2"/>
      <c r="B218" s="2"/>
      <c r="L218" s="2"/>
    </row>
    <row r="219" ht="15.75" customHeight="1">
      <c r="A219" s="2"/>
      <c r="B219" s="2"/>
      <c r="L219" s="2"/>
    </row>
    <row r="220" ht="15.75" customHeight="1">
      <c r="A220" s="2"/>
      <c r="B220" s="2"/>
      <c r="L220" s="2"/>
    </row>
    <row r="221" ht="15.75" customHeight="1">
      <c r="A221" s="2"/>
      <c r="B221" s="2"/>
      <c r="L221" s="2"/>
    </row>
    <row r="222" ht="15.75" customHeight="1">
      <c r="A222" s="2"/>
      <c r="B222" s="2"/>
      <c r="L222" s="2"/>
    </row>
    <row r="223" ht="15.75" customHeight="1">
      <c r="A223" s="2"/>
      <c r="B223" s="2"/>
      <c r="L223" s="2"/>
    </row>
    <row r="224" ht="15.75" customHeight="1">
      <c r="A224" s="2"/>
      <c r="B224" s="2"/>
      <c r="L224" s="2"/>
    </row>
    <row r="225" ht="15.75" customHeight="1">
      <c r="A225" s="2"/>
      <c r="B225" s="2"/>
      <c r="L225" s="2"/>
    </row>
    <row r="226" ht="15.75" customHeight="1">
      <c r="A226" s="2"/>
      <c r="B226" s="2"/>
      <c r="L226" s="2"/>
    </row>
    <row r="227" ht="15.75" customHeight="1">
      <c r="A227" s="2"/>
      <c r="B227" s="2"/>
      <c r="L227" s="2"/>
    </row>
    <row r="228" ht="15.75" customHeight="1">
      <c r="A228" s="2"/>
      <c r="B228" s="2"/>
      <c r="L228" s="2"/>
    </row>
    <row r="229" ht="15.75" customHeight="1">
      <c r="A229" s="2"/>
      <c r="B229" s="2"/>
      <c r="L229" s="2"/>
    </row>
    <row r="230" ht="15.75" customHeight="1">
      <c r="A230" s="2"/>
      <c r="B230" s="2"/>
      <c r="L230" s="2"/>
    </row>
    <row r="231" ht="15.75" customHeight="1">
      <c r="A231" s="2"/>
      <c r="B231" s="2"/>
      <c r="L231" s="2"/>
    </row>
    <row r="232" ht="15.75" customHeight="1">
      <c r="A232" s="2"/>
      <c r="B232" s="2"/>
      <c r="L232" s="2"/>
    </row>
    <row r="233" ht="15.75" customHeight="1">
      <c r="A233" s="2"/>
      <c r="B233" s="2"/>
      <c r="L233" s="2"/>
    </row>
    <row r="234" ht="15.75" customHeight="1">
      <c r="A234" s="2"/>
      <c r="B234" s="2"/>
      <c r="L234" s="2"/>
    </row>
    <row r="235" ht="15.75" customHeight="1">
      <c r="A235" s="2"/>
      <c r="B235" s="2"/>
      <c r="L235" s="2"/>
    </row>
    <row r="236" ht="15.75" customHeight="1">
      <c r="A236" s="2"/>
      <c r="B236" s="2"/>
      <c r="L236" s="2"/>
    </row>
    <row r="237" ht="15.75" customHeight="1">
      <c r="A237" s="2"/>
      <c r="B237" s="2"/>
      <c r="L237" s="2"/>
    </row>
    <row r="238" ht="15.75" customHeight="1">
      <c r="A238" s="2"/>
      <c r="B238" s="2"/>
      <c r="L238" s="2"/>
    </row>
    <row r="239" ht="15.75" customHeight="1">
      <c r="A239" s="2"/>
      <c r="B239" s="2"/>
      <c r="L239" s="2"/>
    </row>
    <row r="240" ht="15.75" customHeight="1">
      <c r="A240" s="2"/>
      <c r="B240" s="2"/>
      <c r="L240" s="2"/>
    </row>
    <row r="241" ht="15.75" customHeight="1">
      <c r="A241" s="2"/>
      <c r="B241" s="2"/>
      <c r="L241" s="2"/>
    </row>
    <row r="242" ht="15.75" customHeight="1">
      <c r="A242" s="2"/>
      <c r="B242" s="2"/>
      <c r="L242" s="2"/>
    </row>
    <row r="243" ht="15.75" customHeight="1">
      <c r="A243" s="2"/>
      <c r="B243" s="2"/>
      <c r="L243" s="2"/>
    </row>
    <row r="244" ht="15.75" customHeight="1">
      <c r="A244" s="2"/>
      <c r="B244" s="2"/>
      <c r="L244" s="2"/>
    </row>
    <row r="245" ht="15.75" customHeight="1">
      <c r="A245" s="2"/>
      <c r="B245" s="2"/>
      <c r="L245" s="2"/>
    </row>
    <row r="246" ht="15.75" customHeight="1">
      <c r="A246" s="2"/>
      <c r="B246" s="2"/>
      <c r="L246" s="2"/>
    </row>
    <row r="247" ht="15.75" customHeight="1">
      <c r="A247" s="2"/>
      <c r="B247" s="2"/>
      <c r="L247" s="2"/>
    </row>
    <row r="248" ht="15.75" customHeight="1">
      <c r="A248" s="2"/>
      <c r="B248" s="2"/>
      <c r="L248" s="2"/>
    </row>
    <row r="249" ht="15.75" customHeight="1">
      <c r="A249" s="2"/>
      <c r="B249" s="2"/>
      <c r="L249" s="2"/>
    </row>
    <row r="250" ht="15.75" customHeight="1">
      <c r="A250" s="2"/>
      <c r="B250" s="2"/>
      <c r="L250" s="2"/>
    </row>
    <row r="251" ht="15.75" customHeight="1">
      <c r="A251" s="2"/>
      <c r="B251" s="2"/>
      <c r="L251" s="2"/>
    </row>
    <row r="252" ht="15.75" customHeight="1">
      <c r="A252" s="2"/>
      <c r="B252" s="2"/>
      <c r="L252" s="2"/>
    </row>
    <row r="253" ht="15.75" customHeight="1">
      <c r="A253" s="2"/>
      <c r="B253" s="2"/>
      <c r="L253" s="2"/>
    </row>
    <row r="254" ht="15.75" customHeight="1">
      <c r="A254" s="2"/>
      <c r="B254" s="2"/>
      <c r="L254" s="2"/>
    </row>
    <row r="255" ht="15.75" customHeight="1">
      <c r="A255" s="2"/>
      <c r="B255" s="2"/>
      <c r="L255" s="2"/>
    </row>
    <row r="256" ht="15.75" customHeight="1">
      <c r="A256" s="2"/>
      <c r="B256" s="2"/>
      <c r="L256" s="2"/>
    </row>
    <row r="257" ht="15.75" customHeight="1">
      <c r="A257" s="2"/>
      <c r="B257" s="2"/>
      <c r="L257" s="2"/>
    </row>
    <row r="258" ht="15.75" customHeight="1">
      <c r="A258" s="2"/>
      <c r="B258" s="2"/>
      <c r="L258" s="2"/>
    </row>
    <row r="259" ht="15.75" customHeight="1">
      <c r="A259" s="2"/>
      <c r="B259" s="2"/>
      <c r="L259" s="2"/>
    </row>
    <row r="260" ht="15.75" customHeight="1">
      <c r="A260" s="2"/>
      <c r="B260" s="2"/>
      <c r="L260" s="2"/>
    </row>
    <row r="261" ht="15.75" customHeight="1">
      <c r="A261" s="2"/>
      <c r="B261" s="2"/>
      <c r="L261" s="2"/>
    </row>
    <row r="262" ht="15.75" customHeight="1">
      <c r="A262" s="2"/>
      <c r="B262" s="2"/>
      <c r="L262" s="2"/>
    </row>
    <row r="263" ht="15.75" customHeight="1">
      <c r="A263" s="2"/>
      <c r="B263" s="2"/>
      <c r="L263" s="2"/>
    </row>
    <row r="264" ht="15.75" customHeight="1">
      <c r="A264" s="2"/>
      <c r="B264" s="2"/>
      <c r="L264" s="2"/>
    </row>
    <row r="265" ht="15.75" customHeight="1">
      <c r="A265" s="2"/>
      <c r="B265" s="2"/>
      <c r="L265" s="2"/>
    </row>
    <row r="266" ht="15.75" customHeight="1">
      <c r="A266" s="2"/>
      <c r="B266" s="2"/>
      <c r="L266" s="2"/>
    </row>
    <row r="267" ht="15.75" customHeight="1">
      <c r="A267" s="2"/>
      <c r="B267" s="2"/>
      <c r="L267" s="2"/>
    </row>
    <row r="268" ht="15.75" customHeight="1">
      <c r="A268" s="2"/>
      <c r="B268" s="2"/>
      <c r="L268" s="2"/>
    </row>
    <row r="269" ht="15.75" customHeight="1">
      <c r="A269" s="2"/>
      <c r="B269" s="2"/>
      <c r="L269" s="2"/>
    </row>
    <row r="270" ht="15.75" customHeight="1">
      <c r="A270" s="2"/>
      <c r="B270" s="2"/>
      <c r="L270" s="2"/>
    </row>
    <row r="271" ht="15.75" customHeight="1">
      <c r="A271" s="2"/>
      <c r="B271" s="2"/>
      <c r="L271" s="2"/>
    </row>
    <row r="272" ht="15.75" customHeight="1">
      <c r="A272" s="2"/>
      <c r="B272" s="2"/>
      <c r="L272" s="2"/>
    </row>
    <row r="273" ht="15.75" customHeight="1">
      <c r="A273" s="2"/>
      <c r="B273" s="2"/>
      <c r="L273" s="2"/>
    </row>
    <row r="274" ht="15.75" customHeight="1">
      <c r="A274" s="2"/>
      <c r="B274" s="2"/>
      <c r="L274" s="2"/>
    </row>
    <row r="275" ht="15.75" customHeight="1">
      <c r="A275" s="2"/>
      <c r="B275" s="2"/>
      <c r="L275" s="2"/>
    </row>
    <row r="276" ht="15.75" customHeight="1">
      <c r="A276" s="2"/>
      <c r="B276" s="2"/>
      <c r="L276" s="2"/>
    </row>
    <row r="277" ht="15.75" customHeight="1">
      <c r="A277" s="2"/>
      <c r="B277" s="2"/>
      <c r="L277" s="2"/>
    </row>
    <row r="278" ht="15.75" customHeight="1">
      <c r="A278" s="2"/>
      <c r="B278" s="2"/>
      <c r="L278" s="2"/>
    </row>
    <row r="279" ht="15.75" customHeight="1">
      <c r="A279" s="2"/>
      <c r="B279" s="2"/>
      <c r="L279" s="2"/>
    </row>
    <row r="280" ht="15.75" customHeight="1">
      <c r="A280" s="2"/>
      <c r="B280" s="2"/>
      <c r="L280" s="2"/>
    </row>
    <row r="281" ht="15.75" customHeight="1">
      <c r="A281" s="2"/>
      <c r="B281" s="2"/>
      <c r="L281" s="2"/>
    </row>
    <row r="282" ht="15.75" customHeight="1">
      <c r="A282" s="2"/>
      <c r="B282" s="2"/>
      <c r="L282" s="2"/>
    </row>
    <row r="283" ht="15.75" customHeight="1">
      <c r="A283" s="2"/>
      <c r="B283" s="2"/>
      <c r="L283" s="2"/>
    </row>
    <row r="284" ht="15.75" customHeight="1">
      <c r="A284" s="2"/>
      <c r="B284" s="2"/>
      <c r="L284" s="2"/>
    </row>
    <row r="285" ht="15.75" customHeight="1">
      <c r="A285" s="2"/>
      <c r="B285" s="2"/>
      <c r="L285" s="2"/>
    </row>
    <row r="286" ht="15.75" customHeight="1">
      <c r="A286" s="2"/>
      <c r="B286" s="2"/>
      <c r="L286" s="2"/>
    </row>
    <row r="287" ht="15.75" customHeight="1">
      <c r="A287" s="2"/>
      <c r="B287" s="2"/>
      <c r="L287" s="2"/>
    </row>
    <row r="288" ht="15.75" customHeight="1">
      <c r="A288" s="2"/>
      <c r="B288" s="2"/>
      <c r="L288" s="2"/>
    </row>
    <row r="289" ht="15.75" customHeight="1">
      <c r="A289" s="2"/>
      <c r="B289" s="2"/>
      <c r="L289" s="2"/>
    </row>
    <row r="290" ht="15.75" customHeight="1">
      <c r="A290" s="2"/>
      <c r="B290" s="2"/>
      <c r="L290" s="2"/>
    </row>
    <row r="291" ht="15.75" customHeight="1">
      <c r="A291" s="2"/>
      <c r="B291" s="2"/>
      <c r="L291" s="2"/>
    </row>
    <row r="292" ht="15.75" customHeight="1">
      <c r="A292" s="2"/>
      <c r="B292" s="2"/>
      <c r="L292" s="2"/>
    </row>
    <row r="293" ht="15.75" customHeight="1">
      <c r="A293" s="2"/>
      <c r="B293" s="2"/>
      <c r="L293" s="2"/>
    </row>
    <row r="294" ht="15.75" customHeight="1">
      <c r="A294" s="2"/>
      <c r="B294" s="2"/>
      <c r="L294" s="2"/>
    </row>
    <row r="295" ht="15.75" customHeight="1">
      <c r="A295" s="2"/>
      <c r="B295" s="2"/>
      <c r="L295" s="2"/>
    </row>
    <row r="296" ht="15.75" customHeight="1">
      <c r="A296" s="2"/>
      <c r="B296" s="2"/>
      <c r="L296" s="2"/>
    </row>
    <row r="297" ht="15.75" customHeight="1">
      <c r="A297" s="2"/>
      <c r="B297" s="2"/>
      <c r="L297" s="2"/>
    </row>
    <row r="298" ht="15.75" customHeight="1">
      <c r="A298" s="2"/>
      <c r="B298" s="2"/>
      <c r="L298" s="2"/>
    </row>
    <row r="299" ht="15.75" customHeight="1">
      <c r="A299" s="2"/>
      <c r="B299" s="2"/>
      <c r="L299" s="2"/>
    </row>
    <row r="300" ht="15.75" customHeight="1">
      <c r="A300" s="2"/>
      <c r="B300" s="2"/>
      <c r="L300" s="2"/>
    </row>
    <row r="301" ht="15.75" customHeight="1">
      <c r="A301" s="2"/>
      <c r="B301" s="2"/>
      <c r="L301" s="2"/>
    </row>
    <row r="302" ht="15.75" customHeight="1">
      <c r="A302" s="2"/>
      <c r="B302" s="2"/>
      <c r="L302" s="2"/>
    </row>
    <row r="303" ht="15.75" customHeight="1">
      <c r="A303" s="2"/>
      <c r="B303" s="2"/>
      <c r="L303" s="2"/>
    </row>
    <row r="304" ht="15.75" customHeight="1">
      <c r="A304" s="2"/>
      <c r="B304" s="2"/>
      <c r="L304" s="2"/>
    </row>
    <row r="305" ht="15.75" customHeight="1">
      <c r="A305" s="2"/>
      <c r="B305" s="2"/>
      <c r="L305" s="2"/>
    </row>
    <row r="306" ht="15.75" customHeight="1">
      <c r="A306" s="2"/>
      <c r="B306" s="2"/>
      <c r="L306" s="2"/>
    </row>
    <row r="307" ht="15.75" customHeight="1">
      <c r="A307" s="2"/>
      <c r="B307" s="2"/>
      <c r="L307" s="2"/>
    </row>
    <row r="308" ht="15.75" customHeight="1">
      <c r="A308" s="2"/>
      <c r="B308" s="2"/>
      <c r="L308" s="2"/>
    </row>
    <row r="309" ht="15.75" customHeight="1">
      <c r="A309" s="2"/>
      <c r="B309" s="2"/>
      <c r="L309" s="2"/>
    </row>
    <row r="310" ht="15.75" customHeight="1">
      <c r="A310" s="2"/>
      <c r="B310" s="2"/>
      <c r="L310" s="2"/>
    </row>
    <row r="311" ht="15.75" customHeight="1">
      <c r="A311" s="2"/>
      <c r="B311" s="2"/>
      <c r="L311" s="2"/>
    </row>
    <row r="312" ht="15.75" customHeight="1">
      <c r="A312" s="2"/>
      <c r="B312" s="2"/>
      <c r="L312" s="2"/>
    </row>
    <row r="313" ht="15.75" customHeight="1">
      <c r="A313" s="2"/>
      <c r="B313" s="2"/>
      <c r="L313" s="2"/>
    </row>
    <row r="314" ht="15.75" customHeight="1">
      <c r="A314" s="2"/>
      <c r="B314" s="2"/>
      <c r="L314" s="2"/>
    </row>
    <row r="315" ht="15.75" customHeight="1">
      <c r="A315" s="2"/>
      <c r="B315" s="2"/>
      <c r="L315" s="2"/>
    </row>
    <row r="316" ht="15.75" customHeight="1">
      <c r="A316" s="2"/>
      <c r="B316" s="2"/>
      <c r="L316" s="2"/>
    </row>
    <row r="317" ht="15.75" customHeight="1">
      <c r="A317" s="2"/>
      <c r="B317" s="2"/>
      <c r="L317" s="2"/>
    </row>
    <row r="318" ht="15.75" customHeight="1">
      <c r="A318" s="2"/>
      <c r="B318" s="2"/>
      <c r="L318" s="2"/>
    </row>
    <row r="319" ht="15.75" customHeight="1">
      <c r="A319" s="2"/>
      <c r="B319" s="2"/>
      <c r="L319" s="2"/>
    </row>
    <row r="320" ht="15.75" customHeight="1">
      <c r="A320" s="2"/>
      <c r="B320" s="2"/>
      <c r="L320" s="2"/>
    </row>
    <row r="321" ht="15.75" customHeight="1">
      <c r="A321" s="2"/>
      <c r="B321" s="2"/>
      <c r="L321" s="2"/>
    </row>
    <row r="322" ht="15.75" customHeight="1">
      <c r="A322" s="2"/>
      <c r="B322" s="2"/>
      <c r="L322" s="2"/>
    </row>
    <row r="323" ht="15.75" customHeight="1">
      <c r="A323" s="2"/>
      <c r="B323" s="2"/>
      <c r="L323" s="2"/>
    </row>
    <row r="324" ht="15.75" customHeight="1">
      <c r="A324" s="2"/>
      <c r="B324" s="2"/>
      <c r="L324" s="2"/>
    </row>
    <row r="325" ht="15.75" customHeight="1">
      <c r="A325" s="2"/>
      <c r="B325" s="2"/>
      <c r="L325" s="2"/>
    </row>
    <row r="326" ht="15.75" customHeight="1">
      <c r="A326" s="2"/>
      <c r="B326" s="2"/>
      <c r="L326" s="2"/>
    </row>
    <row r="327" ht="15.75" customHeight="1">
      <c r="A327" s="2"/>
      <c r="B327" s="2"/>
      <c r="L327" s="2"/>
    </row>
    <row r="328" ht="15.75" customHeight="1">
      <c r="A328" s="2"/>
      <c r="B328" s="2"/>
      <c r="L328" s="2"/>
    </row>
    <row r="329" ht="15.75" customHeight="1">
      <c r="A329" s="2"/>
      <c r="B329" s="2"/>
      <c r="L329" s="2"/>
    </row>
    <row r="330" ht="15.75" customHeight="1">
      <c r="A330" s="2"/>
      <c r="B330" s="2"/>
      <c r="L330" s="2"/>
    </row>
    <row r="331" ht="15.75" customHeight="1">
      <c r="A331" s="2"/>
      <c r="B331" s="2"/>
      <c r="L331" s="2"/>
    </row>
    <row r="332" ht="15.75" customHeight="1">
      <c r="A332" s="2"/>
      <c r="B332" s="2"/>
      <c r="L332" s="2"/>
    </row>
    <row r="333" ht="15.75" customHeight="1">
      <c r="A333" s="2"/>
      <c r="B333" s="2"/>
      <c r="L333" s="2"/>
    </row>
    <row r="334" ht="15.75" customHeight="1">
      <c r="A334" s="2"/>
      <c r="B334" s="2"/>
      <c r="L334" s="2"/>
    </row>
    <row r="335" ht="15.75" customHeight="1">
      <c r="A335" s="2"/>
      <c r="B335" s="2"/>
      <c r="L335" s="2"/>
    </row>
    <row r="336" ht="15.75" customHeight="1">
      <c r="A336" s="2"/>
      <c r="B336" s="2"/>
      <c r="L336" s="2"/>
    </row>
    <row r="337" ht="15.75" customHeight="1">
      <c r="A337" s="2"/>
      <c r="B337" s="2"/>
      <c r="L337" s="2"/>
    </row>
    <row r="338" ht="15.75" customHeight="1">
      <c r="A338" s="2"/>
      <c r="B338" s="2"/>
      <c r="L338" s="2"/>
    </row>
    <row r="339" ht="15.75" customHeight="1">
      <c r="A339" s="2"/>
      <c r="B339" s="2"/>
      <c r="L339" s="2"/>
    </row>
    <row r="340" ht="15.75" customHeight="1">
      <c r="A340" s="2"/>
      <c r="B340" s="2"/>
      <c r="L340" s="2"/>
    </row>
    <row r="341" ht="15.75" customHeight="1">
      <c r="A341" s="2"/>
      <c r="B341" s="2"/>
      <c r="L341" s="2"/>
    </row>
    <row r="342" ht="15.75" customHeight="1">
      <c r="A342" s="9"/>
      <c r="B342" s="9"/>
      <c r="L342" s="9"/>
    </row>
    <row r="343" ht="15.75" customHeight="1">
      <c r="A343" s="9"/>
      <c r="B343" s="9"/>
      <c r="L343" s="9"/>
    </row>
    <row r="344" ht="15.75" customHeight="1">
      <c r="A344" s="9"/>
      <c r="B344" s="9"/>
      <c r="L344" s="9"/>
    </row>
    <row r="345" ht="15.75" customHeight="1">
      <c r="A345" s="9"/>
      <c r="B345" s="9"/>
      <c r="L345" s="9"/>
    </row>
    <row r="346" ht="15.75" customHeight="1">
      <c r="A346" s="9"/>
      <c r="B346" s="9"/>
      <c r="L346" s="9"/>
    </row>
    <row r="347" ht="15.75" customHeight="1">
      <c r="A347" s="9"/>
      <c r="B347" s="9"/>
      <c r="L347" s="9"/>
    </row>
    <row r="348" ht="15.75" customHeight="1">
      <c r="A348" s="9"/>
      <c r="B348" s="9"/>
      <c r="L348" s="9"/>
    </row>
    <row r="349" ht="15.75" customHeight="1">
      <c r="A349" s="9"/>
      <c r="B349" s="9"/>
      <c r="L349" s="9"/>
    </row>
    <row r="350" ht="15.75" customHeight="1">
      <c r="A350" s="9"/>
      <c r="B350" s="9"/>
      <c r="L350" s="9"/>
    </row>
    <row r="351" ht="15.75" customHeight="1">
      <c r="A351" s="9"/>
      <c r="B351" s="9"/>
      <c r="L351" s="9"/>
    </row>
    <row r="352" ht="15.75" customHeight="1">
      <c r="A352" s="9"/>
      <c r="B352" s="9"/>
      <c r="L352" s="9"/>
    </row>
    <row r="353" ht="15.75" customHeight="1">
      <c r="A353" s="9"/>
      <c r="B353" s="9"/>
      <c r="L353" s="9"/>
    </row>
    <row r="354" ht="15.75" customHeight="1">
      <c r="A354" s="9"/>
      <c r="B354" s="9"/>
      <c r="L354" s="9"/>
    </row>
    <row r="355" ht="15.75" customHeight="1">
      <c r="A355" s="9"/>
      <c r="B355" s="9"/>
      <c r="L355" s="9"/>
    </row>
    <row r="356" ht="15.75" customHeight="1">
      <c r="A356" s="9"/>
      <c r="B356" s="9"/>
      <c r="L356" s="9"/>
    </row>
    <row r="357" ht="15.75" customHeight="1">
      <c r="A357" s="9"/>
      <c r="B357" s="9"/>
      <c r="L357" s="9"/>
    </row>
    <row r="358" ht="15.75" customHeight="1">
      <c r="A358" s="9"/>
      <c r="B358" s="9"/>
      <c r="L358" s="9"/>
    </row>
    <row r="359" ht="15.75" customHeight="1">
      <c r="A359" s="9"/>
      <c r="B359" s="9"/>
      <c r="L359" s="9"/>
    </row>
    <row r="360" ht="15.75" customHeight="1">
      <c r="A360" s="9"/>
      <c r="B360" s="9"/>
      <c r="L360" s="9"/>
    </row>
    <row r="361" ht="15.75" customHeight="1">
      <c r="A361" s="9"/>
      <c r="B361" s="9"/>
      <c r="L361" s="9"/>
    </row>
    <row r="362" ht="15.75" customHeight="1">
      <c r="A362" s="9"/>
      <c r="B362" s="9"/>
      <c r="L362" s="9"/>
    </row>
    <row r="363" ht="15.75" customHeight="1">
      <c r="A363" s="9"/>
      <c r="B363" s="9"/>
      <c r="L363" s="9"/>
    </row>
    <row r="364" ht="15.75" customHeight="1">
      <c r="A364" s="9"/>
      <c r="B364" s="9"/>
      <c r="L364" s="9"/>
    </row>
    <row r="365" ht="15.75" customHeight="1">
      <c r="A365" s="9"/>
      <c r="B365" s="9"/>
      <c r="L365" s="9"/>
    </row>
    <row r="366" ht="15.75" customHeight="1">
      <c r="A366" s="9"/>
      <c r="B366" s="9"/>
      <c r="L366" s="9"/>
    </row>
    <row r="367" ht="15.75" customHeight="1">
      <c r="A367" s="9"/>
      <c r="B367" s="9"/>
      <c r="L367" s="9"/>
    </row>
    <row r="368" ht="15.75" customHeight="1">
      <c r="A368" s="9"/>
      <c r="B368" s="9"/>
      <c r="L368" s="9"/>
    </row>
    <row r="369" ht="15.75" customHeight="1">
      <c r="A369" s="9"/>
      <c r="B369" s="9"/>
      <c r="L369" s="9"/>
    </row>
    <row r="370" ht="15.75" customHeight="1">
      <c r="A370" s="9"/>
      <c r="B370" s="9"/>
      <c r="L370" s="9"/>
    </row>
    <row r="371" ht="15.75" customHeight="1">
      <c r="A371" s="9"/>
      <c r="B371" s="9"/>
      <c r="L371" s="9"/>
    </row>
    <row r="372" ht="15.75" customHeight="1">
      <c r="A372" s="9"/>
      <c r="B372" s="9"/>
      <c r="L372" s="9"/>
    </row>
    <row r="373" ht="15.75" customHeight="1">
      <c r="A373" s="9"/>
      <c r="B373" s="9"/>
      <c r="L373" s="9"/>
    </row>
    <row r="374" ht="15.75" customHeight="1">
      <c r="A374" s="9"/>
      <c r="B374" s="9"/>
      <c r="L374" s="9"/>
    </row>
    <row r="375" ht="15.75" customHeight="1">
      <c r="A375" s="9"/>
      <c r="B375" s="9"/>
      <c r="L375" s="9"/>
    </row>
    <row r="376" ht="15.75" customHeight="1">
      <c r="A376" s="9"/>
      <c r="B376" s="9"/>
      <c r="L376" s="9"/>
    </row>
    <row r="377" ht="15.75" customHeight="1">
      <c r="A377" s="9"/>
      <c r="B377" s="9"/>
      <c r="L377" s="9"/>
    </row>
    <row r="378" ht="15.75" customHeight="1">
      <c r="A378" s="9"/>
      <c r="B378" s="9"/>
      <c r="L378" s="9"/>
    </row>
    <row r="379" ht="15.75" customHeight="1">
      <c r="A379" s="9"/>
      <c r="B379" s="9"/>
      <c r="L379" s="9"/>
    </row>
    <row r="380" ht="15.75" customHeight="1">
      <c r="A380" s="9"/>
      <c r="B380" s="9"/>
      <c r="L380" s="9"/>
    </row>
    <row r="381" ht="15.75" customHeight="1">
      <c r="A381" s="9"/>
      <c r="B381" s="9"/>
      <c r="L381" s="9"/>
    </row>
    <row r="382" ht="15.75" customHeight="1">
      <c r="A382" s="9"/>
      <c r="B382" s="9"/>
      <c r="L382" s="9"/>
    </row>
    <row r="383" ht="15.75" customHeight="1">
      <c r="A383" s="9"/>
      <c r="B383" s="9"/>
      <c r="L383" s="9"/>
    </row>
    <row r="384" ht="15.75" customHeight="1">
      <c r="A384" s="9"/>
      <c r="B384" s="9"/>
      <c r="L384" s="9"/>
    </row>
    <row r="385" ht="15.75" customHeight="1">
      <c r="A385" s="9"/>
      <c r="B385" s="9"/>
      <c r="L385" s="9"/>
    </row>
    <row r="386" ht="15.75" customHeight="1">
      <c r="A386" s="9"/>
      <c r="B386" s="9"/>
      <c r="L386" s="9"/>
    </row>
    <row r="387" ht="15.75" customHeight="1">
      <c r="A387" s="9"/>
      <c r="B387" s="9"/>
      <c r="L387" s="9"/>
    </row>
    <row r="388" ht="15.75" customHeight="1">
      <c r="A388" s="9"/>
      <c r="B388" s="9"/>
      <c r="L388" s="9"/>
    </row>
    <row r="389" ht="15.75" customHeight="1">
      <c r="A389" s="9"/>
      <c r="B389" s="9"/>
      <c r="L389" s="9"/>
    </row>
    <row r="390" ht="15.75" customHeight="1">
      <c r="A390" s="9"/>
      <c r="B390" s="9"/>
      <c r="L390" s="9"/>
    </row>
    <row r="391" ht="15.75" customHeight="1">
      <c r="A391" s="9"/>
      <c r="B391" s="9"/>
      <c r="L391" s="9"/>
    </row>
    <row r="392" ht="15.75" customHeight="1">
      <c r="A392" s="9"/>
      <c r="B392" s="9"/>
      <c r="L392" s="9"/>
    </row>
    <row r="393" ht="15.75" customHeight="1">
      <c r="A393" s="9"/>
      <c r="B393" s="9"/>
      <c r="L393" s="9"/>
    </row>
    <row r="394" ht="15.75" customHeight="1">
      <c r="A394" s="9"/>
      <c r="B394" s="9"/>
      <c r="L394" s="9"/>
    </row>
    <row r="395" ht="15.75" customHeight="1">
      <c r="A395" s="9"/>
      <c r="B395" s="9"/>
      <c r="L395" s="9"/>
    </row>
    <row r="396" ht="15.75" customHeight="1">
      <c r="A396" s="9"/>
      <c r="B396" s="9"/>
      <c r="L396" s="9"/>
    </row>
    <row r="397" ht="15.75" customHeight="1">
      <c r="A397" s="9"/>
      <c r="B397" s="9"/>
      <c r="L397" s="9"/>
    </row>
    <row r="398" ht="15.75" customHeight="1">
      <c r="A398" s="9"/>
      <c r="B398" s="9"/>
      <c r="L398" s="9"/>
    </row>
    <row r="399" ht="15.75" customHeight="1">
      <c r="A399" s="9"/>
      <c r="B399" s="9"/>
      <c r="L399" s="9"/>
    </row>
    <row r="400" ht="15.75" customHeight="1">
      <c r="A400" s="9"/>
      <c r="B400" s="9"/>
      <c r="L400" s="9"/>
    </row>
    <row r="401" ht="15.75" customHeight="1">
      <c r="A401" s="9"/>
      <c r="B401" s="9"/>
      <c r="L401" s="9"/>
    </row>
    <row r="402" ht="15.75" customHeight="1">
      <c r="A402" s="9"/>
      <c r="B402" s="9"/>
      <c r="L402" s="9"/>
    </row>
    <row r="403" ht="15.75" customHeight="1">
      <c r="A403" s="9"/>
      <c r="B403" s="9"/>
      <c r="L403" s="9"/>
    </row>
    <row r="404" ht="15.75" customHeight="1">
      <c r="A404" s="9"/>
      <c r="B404" s="9"/>
      <c r="L404" s="9"/>
    </row>
    <row r="405" ht="15.75" customHeight="1">
      <c r="A405" s="9"/>
      <c r="B405" s="9"/>
      <c r="L405" s="9"/>
    </row>
    <row r="406" ht="15.75" customHeight="1">
      <c r="A406" s="9"/>
      <c r="B406" s="9"/>
      <c r="L406" s="9"/>
    </row>
    <row r="407" ht="15.75" customHeight="1">
      <c r="A407" s="9"/>
      <c r="B407" s="9"/>
      <c r="L407" s="9"/>
    </row>
    <row r="408" ht="15.75" customHeight="1">
      <c r="A408" s="9"/>
      <c r="B408" s="9"/>
      <c r="L408" s="9"/>
    </row>
    <row r="409" ht="15.75" customHeight="1">
      <c r="A409" s="9"/>
      <c r="B409" s="9"/>
      <c r="L409" s="9"/>
    </row>
    <row r="410" ht="15.75" customHeight="1">
      <c r="A410" s="9"/>
      <c r="B410" s="9"/>
      <c r="L410" s="9"/>
    </row>
    <row r="411" ht="15.75" customHeight="1">
      <c r="A411" s="9"/>
      <c r="B411" s="9"/>
      <c r="L411" s="9"/>
    </row>
    <row r="412" ht="15.75" customHeight="1">
      <c r="A412" s="9"/>
      <c r="B412" s="9"/>
      <c r="L412" s="9"/>
    </row>
    <row r="413" ht="15.75" customHeight="1">
      <c r="A413" s="9"/>
      <c r="B413" s="9"/>
      <c r="L413" s="9"/>
    </row>
    <row r="414" ht="15.75" customHeight="1">
      <c r="A414" s="9"/>
      <c r="B414" s="9"/>
      <c r="L414" s="9"/>
    </row>
    <row r="415" ht="15.75" customHeight="1">
      <c r="A415" s="9"/>
      <c r="B415" s="9"/>
      <c r="L415" s="9"/>
    </row>
    <row r="416" ht="15.75" customHeight="1">
      <c r="A416" s="9"/>
      <c r="B416" s="9"/>
      <c r="L416" s="9"/>
    </row>
    <row r="417" ht="15.75" customHeight="1">
      <c r="A417" s="9"/>
      <c r="B417" s="9"/>
      <c r="L417" s="9"/>
    </row>
    <row r="418" ht="15.75" customHeight="1">
      <c r="A418" s="9"/>
      <c r="B418" s="9"/>
      <c r="L418" s="9"/>
    </row>
    <row r="419" ht="15.75" customHeight="1">
      <c r="A419" s="9"/>
      <c r="B419" s="9"/>
      <c r="L419" s="9"/>
    </row>
    <row r="420" ht="15.75" customHeight="1">
      <c r="A420" s="9"/>
      <c r="B420" s="9"/>
      <c r="L420" s="9"/>
    </row>
    <row r="421" ht="15.75" customHeight="1">
      <c r="A421" s="9"/>
      <c r="B421" s="9"/>
      <c r="L421" s="9"/>
    </row>
    <row r="422" ht="15.75" customHeight="1">
      <c r="A422" s="9"/>
      <c r="B422" s="9"/>
      <c r="L422" s="9"/>
    </row>
    <row r="423" ht="15.75" customHeight="1">
      <c r="A423" s="9"/>
      <c r="B423" s="9"/>
      <c r="L423" s="9"/>
    </row>
    <row r="424" ht="15.75" customHeight="1">
      <c r="A424" s="9"/>
      <c r="B424" s="9"/>
      <c r="L424" s="9"/>
    </row>
    <row r="425" ht="15.75" customHeight="1">
      <c r="A425" s="9"/>
      <c r="B425" s="9"/>
      <c r="L425" s="9"/>
    </row>
    <row r="426" ht="15.75" customHeight="1">
      <c r="A426" s="9"/>
      <c r="B426" s="9"/>
      <c r="L426" s="9"/>
    </row>
    <row r="427" ht="15.75" customHeight="1">
      <c r="A427" s="9"/>
      <c r="B427" s="9"/>
      <c r="L427" s="9"/>
    </row>
    <row r="428" ht="15.75" customHeight="1">
      <c r="A428" s="9"/>
      <c r="B428" s="9"/>
      <c r="L428" s="9"/>
    </row>
    <row r="429" ht="15.75" customHeight="1">
      <c r="A429" s="9"/>
      <c r="B429" s="9"/>
      <c r="L429" s="9"/>
    </row>
    <row r="430" ht="15.75" customHeight="1">
      <c r="A430" s="9"/>
      <c r="B430" s="9"/>
      <c r="L430" s="9"/>
    </row>
    <row r="431" ht="15.75" customHeight="1">
      <c r="A431" s="9"/>
      <c r="B431" s="9"/>
      <c r="L431" s="9"/>
    </row>
    <row r="432" ht="15.75" customHeight="1">
      <c r="A432" s="9"/>
      <c r="B432" s="9"/>
      <c r="L432" s="9"/>
    </row>
    <row r="433" ht="15.75" customHeight="1">
      <c r="A433" s="9"/>
      <c r="B433" s="9"/>
      <c r="L433" s="9"/>
    </row>
    <row r="434" ht="15.75" customHeight="1">
      <c r="A434" s="9"/>
      <c r="B434" s="9"/>
      <c r="L434" s="9"/>
    </row>
    <row r="435" ht="15.75" customHeight="1">
      <c r="A435" s="9"/>
      <c r="B435" s="9"/>
      <c r="L435" s="9"/>
    </row>
    <row r="436" ht="15.75" customHeight="1">
      <c r="A436" s="9"/>
      <c r="B436" s="9"/>
      <c r="L436" s="9"/>
    </row>
    <row r="437" ht="15.75" customHeight="1">
      <c r="A437" s="9"/>
      <c r="B437" s="9"/>
      <c r="L437" s="9"/>
    </row>
    <row r="438" ht="15.75" customHeight="1">
      <c r="A438" s="9"/>
      <c r="B438" s="9"/>
      <c r="L438" s="9"/>
    </row>
    <row r="439" ht="15.75" customHeight="1">
      <c r="A439" s="9"/>
      <c r="B439" s="9"/>
      <c r="L439" s="9"/>
    </row>
    <row r="440" ht="15.75" customHeight="1">
      <c r="A440" s="9"/>
      <c r="B440" s="9"/>
      <c r="L440" s="9"/>
    </row>
    <row r="441" ht="15.75" customHeight="1">
      <c r="A441" s="9"/>
      <c r="B441" s="9"/>
      <c r="L441" s="9"/>
    </row>
    <row r="442" ht="15.75" customHeight="1">
      <c r="A442" s="9"/>
      <c r="B442" s="9"/>
      <c r="L442" s="9"/>
    </row>
    <row r="443" ht="15.75" customHeight="1">
      <c r="A443" s="9"/>
      <c r="B443" s="9"/>
      <c r="L443" s="9"/>
    </row>
    <row r="444" ht="15.75" customHeight="1">
      <c r="A444" s="9"/>
      <c r="B444" s="9"/>
      <c r="L444" s="9"/>
    </row>
    <row r="445" ht="15.75" customHeight="1">
      <c r="A445" s="9"/>
      <c r="B445" s="9"/>
      <c r="L445" s="9"/>
    </row>
    <row r="446" ht="15.75" customHeight="1">
      <c r="A446" s="9"/>
      <c r="B446" s="9"/>
      <c r="L446" s="9"/>
    </row>
    <row r="447" ht="15.75" customHeight="1">
      <c r="A447" s="9"/>
      <c r="B447" s="9"/>
      <c r="L447" s="9"/>
    </row>
    <row r="448" ht="15.75" customHeight="1">
      <c r="A448" s="9"/>
      <c r="B448" s="9"/>
      <c r="L448" s="9"/>
    </row>
    <row r="449" ht="15.75" customHeight="1">
      <c r="A449" s="9"/>
      <c r="B449" s="9"/>
      <c r="L449" s="9"/>
    </row>
    <row r="450" ht="15.75" customHeight="1">
      <c r="A450" s="9"/>
      <c r="B450" s="9"/>
      <c r="L450" s="9"/>
    </row>
    <row r="451" ht="15.75" customHeight="1">
      <c r="A451" s="9"/>
      <c r="B451" s="9"/>
      <c r="L451" s="9"/>
    </row>
    <row r="452" ht="15.75" customHeight="1">
      <c r="A452" s="9"/>
      <c r="B452" s="9"/>
      <c r="L452" s="9"/>
    </row>
    <row r="453" ht="15.75" customHeight="1">
      <c r="A453" s="9"/>
      <c r="B453" s="9"/>
      <c r="L453" s="9"/>
    </row>
    <row r="454" ht="15.75" customHeight="1">
      <c r="A454" s="9"/>
      <c r="B454" s="9"/>
      <c r="L454" s="9"/>
    </row>
    <row r="455" ht="15.75" customHeight="1">
      <c r="A455" s="9"/>
      <c r="B455" s="9"/>
      <c r="L455" s="9"/>
    </row>
    <row r="456" ht="15.75" customHeight="1">
      <c r="A456" s="9"/>
      <c r="B456" s="9"/>
      <c r="L456" s="9"/>
    </row>
    <row r="457" ht="15.75" customHeight="1">
      <c r="A457" s="9"/>
      <c r="B457" s="9"/>
      <c r="L457" s="9"/>
    </row>
    <row r="458" ht="15.75" customHeight="1">
      <c r="A458" s="9"/>
      <c r="B458" s="9"/>
      <c r="L458" s="9"/>
    </row>
    <row r="459" ht="15.75" customHeight="1">
      <c r="A459" s="9"/>
      <c r="B459" s="9"/>
      <c r="L459" s="9"/>
    </row>
    <row r="460" ht="15.75" customHeight="1">
      <c r="A460" s="9"/>
      <c r="B460" s="9"/>
      <c r="L460" s="9"/>
    </row>
    <row r="461" ht="15.75" customHeight="1">
      <c r="A461" s="9"/>
      <c r="B461" s="9"/>
      <c r="L461" s="9"/>
    </row>
    <row r="462" ht="15.75" customHeight="1">
      <c r="A462" s="9"/>
      <c r="B462" s="9"/>
      <c r="L462" s="9"/>
    </row>
    <row r="463" ht="15.75" customHeight="1">
      <c r="A463" s="9"/>
      <c r="B463" s="9"/>
      <c r="L463" s="9"/>
    </row>
    <row r="464" ht="15.75" customHeight="1">
      <c r="A464" s="9"/>
      <c r="B464" s="9"/>
      <c r="L464" s="9"/>
    </row>
    <row r="465" ht="15.75" customHeight="1">
      <c r="A465" s="9"/>
      <c r="B465" s="9"/>
      <c r="L465" s="9"/>
    </row>
    <row r="466" ht="15.75" customHeight="1">
      <c r="A466" s="9"/>
      <c r="B466" s="9"/>
      <c r="L466" s="9"/>
    </row>
    <row r="467" ht="15.75" customHeight="1">
      <c r="A467" s="9"/>
      <c r="B467" s="9"/>
      <c r="L467" s="9"/>
    </row>
    <row r="468" ht="15.75" customHeight="1">
      <c r="A468" s="9"/>
      <c r="B468" s="9"/>
      <c r="L468" s="9"/>
    </row>
    <row r="469" ht="15.75" customHeight="1">
      <c r="A469" s="9"/>
      <c r="B469" s="9"/>
      <c r="L469" s="9"/>
    </row>
    <row r="470" ht="15.75" customHeight="1">
      <c r="A470" s="9"/>
      <c r="B470" s="9"/>
      <c r="L470" s="9"/>
    </row>
    <row r="471" ht="15.75" customHeight="1">
      <c r="A471" s="9"/>
      <c r="B471" s="9"/>
      <c r="L471" s="9"/>
    </row>
    <row r="472" ht="15.75" customHeight="1">
      <c r="A472" s="9"/>
      <c r="B472" s="9"/>
      <c r="L472" s="9"/>
    </row>
    <row r="473" ht="15.75" customHeight="1">
      <c r="A473" s="9"/>
      <c r="B473" s="9"/>
      <c r="L473" s="9"/>
    </row>
    <row r="474" ht="15.75" customHeight="1">
      <c r="A474" s="9"/>
      <c r="B474" s="9"/>
      <c r="L474" s="9"/>
    </row>
    <row r="475" ht="15.75" customHeight="1">
      <c r="A475" s="9"/>
      <c r="B475" s="9"/>
      <c r="L475" s="9"/>
    </row>
    <row r="476" ht="15.75" customHeight="1">
      <c r="A476" s="9"/>
      <c r="B476" s="9"/>
      <c r="L476" s="9"/>
    </row>
    <row r="477" ht="15.75" customHeight="1">
      <c r="A477" s="9"/>
      <c r="B477" s="9"/>
      <c r="L477" s="9"/>
    </row>
    <row r="478" ht="15.75" customHeight="1">
      <c r="A478" s="9"/>
      <c r="B478" s="9"/>
      <c r="L478" s="9"/>
    </row>
    <row r="479" ht="15.75" customHeight="1">
      <c r="A479" s="9"/>
      <c r="B479" s="9"/>
      <c r="L479" s="9"/>
    </row>
    <row r="480" ht="15.75" customHeight="1">
      <c r="A480" s="9"/>
      <c r="B480" s="9"/>
      <c r="L480" s="9"/>
    </row>
    <row r="481" ht="15.75" customHeight="1">
      <c r="A481" s="9"/>
      <c r="B481" s="9"/>
      <c r="L481" s="9"/>
    </row>
    <row r="482" ht="15.75" customHeight="1">
      <c r="A482" s="9"/>
      <c r="B482" s="9"/>
      <c r="L482" s="9"/>
    </row>
    <row r="483" ht="15.75" customHeight="1">
      <c r="A483" s="9"/>
      <c r="B483" s="9"/>
      <c r="L483" s="9"/>
    </row>
    <row r="484" ht="15.75" customHeight="1">
      <c r="A484" s="9"/>
      <c r="B484" s="9"/>
      <c r="L484" s="9"/>
    </row>
    <row r="485" ht="15.75" customHeight="1">
      <c r="A485" s="9"/>
      <c r="B485" s="9"/>
      <c r="L485" s="9"/>
    </row>
    <row r="486" ht="15.75" customHeight="1">
      <c r="A486" s="9"/>
      <c r="B486" s="9"/>
      <c r="L486" s="9"/>
    </row>
    <row r="487" ht="15.75" customHeight="1">
      <c r="A487" s="9"/>
      <c r="B487" s="9"/>
      <c r="L487" s="9"/>
    </row>
    <row r="488" ht="15.75" customHeight="1">
      <c r="A488" s="9"/>
      <c r="B488" s="9"/>
      <c r="L488" s="9"/>
    </row>
    <row r="489" ht="15.75" customHeight="1">
      <c r="A489" s="9"/>
      <c r="B489" s="9"/>
      <c r="L489" s="9"/>
    </row>
    <row r="490" ht="15.75" customHeight="1">
      <c r="A490" s="9"/>
      <c r="B490" s="9"/>
      <c r="L490" s="9"/>
    </row>
    <row r="491" ht="15.75" customHeight="1">
      <c r="A491" s="9"/>
      <c r="B491" s="9"/>
      <c r="L491" s="9"/>
    </row>
    <row r="492" ht="15.75" customHeight="1">
      <c r="A492" s="9"/>
      <c r="B492" s="9"/>
      <c r="L492" s="9"/>
    </row>
    <row r="493" ht="15.75" customHeight="1">
      <c r="A493" s="9"/>
      <c r="B493" s="9"/>
      <c r="L493" s="9"/>
    </row>
    <row r="494" ht="15.75" customHeight="1">
      <c r="A494" s="9"/>
      <c r="B494" s="9"/>
      <c r="L494" s="9"/>
    </row>
    <row r="495" ht="15.75" customHeight="1">
      <c r="A495" s="9"/>
      <c r="B495" s="9"/>
      <c r="L495" s="9"/>
    </row>
    <row r="496" ht="15.75" customHeight="1">
      <c r="A496" s="9"/>
      <c r="B496" s="9"/>
      <c r="L496" s="9"/>
    </row>
    <row r="497" ht="15.75" customHeight="1">
      <c r="A497" s="9"/>
      <c r="B497" s="9"/>
      <c r="L497" s="9"/>
    </row>
    <row r="498" ht="15.75" customHeight="1">
      <c r="A498" s="9"/>
      <c r="B498" s="9"/>
      <c r="L498" s="9"/>
    </row>
    <row r="499" ht="15.75" customHeight="1">
      <c r="A499" s="9"/>
      <c r="B499" s="9"/>
      <c r="L499" s="9"/>
    </row>
    <row r="500" ht="15.75" customHeight="1">
      <c r="A500" s="9"/>
      <c r="B500" s="9"/>
      <c r="L500" s="9"/>
    </row>
    <row r="501" ht="15.75" customHeight="1">
      <c r="A501" s="9"/>
      <c r="B501" s="9"/>
      <c r="L501" s="9"/>
    </row>
    <row r="502" ht="15.75" customHeight="1">
      <c r="A502" s="9"/>
      <c r="B502" s="9"/>
      <c r="L502" s="9"/>
    </row>
    <row r="503" ht="15.75" customHeight="1">
      <c r="A503" s="9"/>
      <c r="B503" s="9"/>
      <c r="L503" s="9"/>
    </row>
    <row r="504" ht="15.75" customHeight="1">
      <c r="A504" s="9"/>
      <c r="B504" s="9"/>
      <c r="L504" s="9"/>
    </row>
    <row r="505" ht="15.75" customHeight="1">
      <c r="A505" s="9"/>
      <c r="B505" s="9"/>
      <c r="L505" s="9"/>
    </row>
    <row r="506" ht="15.75" customHeight="1">
      <c r="A506" s="9"/>
      <c r="B506" s="9"/>
      <c r="L506" s="9"/>
    </row>
    <row r="507" ht="15.75" customHeight="1">
      <c r="A507" s="9"/>
      <c r="B507" s="9"/>
      <c r="L507" s="9"/>
    </row>
    <row r="508" ht="15.75" customHeight="1">
      <c r="A508" s="9"/>
      <c r="B508" s="9"/>
      <c r="L508" s="9"/>
    </row>
    <row r="509" ht="15.75" customHeight="1">
      <c r="A509" s="9"/>
      <c r="B509" s="9"/>
      <c r="L509" s="9"/>
    </row>
    <row r="510" ht="15.75" customHeight="1">
      <c r="A510" s="9"/>
      <c r="B510" s="9"/>
      <c r="L510" s="9"/>
    </row>
    <row r="511" ht="15.75" customHeight="1">
      <c r="A511" s="9"/>
      <c r="B511" s="9"/>
      <c r="L511" s="9"/>
    </row>
    <row r="512" ht="15.75" customHeight="1">
      <c r="A512" s="9"/>
      <c r="B512" s="9"/>
      <c r="L512" s="9"/>
    </row>
    <row r="513" ht="15.75" customHeight="1">
      <c r="A513" s="9"/>
      <c r="B513" s="9"/>
      <c r="L513" s="9"/>
    </row>
    <row r="514" ht="15.75" customHeight="1">
      <c r="A514" s="9"/>
      <c r="B514" s="9"/>
      <c r="L514" s="9"/>
    </row>
    <row r="515" ht="15.75" customHeight="1">
      <c r="A515" s="9"/>
      <c r="B515" s="9"/>
      <c r="L515" s="9"/>
    </row>
    <row r="516" ht="15.75" customHeight="1">
      <c r="A516" s="9"/>
      <c r="B516" s="9"/>
      <c r="L516" s="9"/>
    </row>
    <row r="517" ht="15.75" customHeight="1">
      <c r="A517" s="9"/>
      <c r="B517" s="9"/>
      <c r="L517" s="9"/>
    </row>
    <row r="518" ht="15.75" customHeight="1">
      <c r="A518" s="9"/>
      <c r="B518" s="9"/>
      <c r="L518" s="9"/>
    </row>
    <row r="519" ht="15.75" customHeight="1">
      <c r="A519" s="9"/>
      <c r="B519" s="9"/>
      <c r="L519" s="9"/>
    </row>
    <row r="520" ht="15.75" customHeight="1">
      <c r="A520" s="9"/>
      <c r="B520" s="9"/>
      <c r="L520" s="9"/>
    </row>
    <row r="521" ht="15.75" customHeight="1">
      <c r="A521" s="9"/>
      <c r="B521" s="9"/>
      <c r="L521" s="9"/>
    </row>
    <row r="522" ht="15.75" customHeight="1">
      <c r="A522" s="9"/>
      <c r="B522" s="9"/>
      <c r="L522" s="9"/>
    </row>
    <row r="523" ht="15.75" customHeight="1">
      <c r="A523" s="9"/>
      <c r="B523" s="9"/>
      <c r="L523" s="9"/>
    </row>
    <row r="524" ht="15.75" customHeight="1">
      <c r="A524" s="9"/>
      <c r="B524" s="9"/>
      <c r="L524" s="9"/>
    </row>
    <row r="525" ht="15.75" customHeight="1">
      <c r="A525" s="9"/>
      <c r="B525" s="9"/>
      <c r="L525" s="9"/>
    </row>
    <row r="526" ht="15.75" customHeight="1">
      <c r="A526" s="9"/>
      <c r="B526" s="9"/>
      <c r="L526" s="9"/>
    </row>
    <row r="527" ht="15.75" customHeight="1">
      <c r="A527" s="9"/>
      <c r="B527" s="9"/>
      <c r="L527" s="9"/>
    </row>
    <row r="528" ht="15.75" customHeight="1">
      <c r="A528" s="9"/>
      <c r="B528" s="9"/>
      <c r="L528" s="9"/>
    </row>
    <row r="529" ht="15.75" customHeight="1">
      <c r="A529" s="9"/>
      <c r="B529" s="9"/>
      <c r="L529" s="9"/>
    </row>
    <row r="530" ht="15.75" customHeight="1">
      <c r="A530" s="9"/>
      <c r="B530" s="9"/>
      <c r="L530" s="9"/>
    </row>
    <row r="531" ht="15.75" customHeight="1">
      <c r="A531" s="9"/>
      <c r="B531" s="9"/>
      <c r="L531" s="9"/>
    </row>
    <row r="532" ht="15.75" customHeight="1">
      <c r="A532" s="9"/>
      <c r="B532" s="9"/>
      <c r="L532" s="9"/>
    </row>
    <row r="533" ht="15.75" customHeight="1">
      <c r="A533" s="9"/>
      <c r="B533" s="9"/>
      <c r="L533" s="9"/>
    </row>
    <row r="534" ht="15.75" customHeight="1">
      <c r="A534" s="9"/>
      <c r="B534" s="9"/>
      <c r="L534" s="9"/>
    </row>
    <row r="535" ht="15.75" customHeight="1">
      <c r="A535" s="9"/>
      <c r="B535" s="9"/>
      <c r="L535" s="9"/>
    </row>
    <row r="536" ht="15.75" customHeight="1">
      <c r="A536" s="9"/>
      <c r="B536" s="9"/>
      <c r="L536" s="9"/>
    </row>
    <row r="537" ht="15.75" customHeight="1">
      <c r="A537" s="9"/>
      <c r="B537" s="9"/>
      <c r="L537" s="9"/>
    </row>
    <row r="538" ht="15.75" customHeight="1">
      <c r="A538" s="9"/>
      <c r="B538" s="9"/>
      <c r="L538" s="9"/>
    </row>
    <row r="539" ht="15.75" customHeight="1">
      <c r="A539" s="9"/>
      <c r="B539" s="9"/>
      <c r="L539" s="9"/>
    </row>
    <row r="540" ht="15.75" customHeight="1">
      <c r="A540" s="9"/>
      <c r="B540" s="9"/>
      <c r="L540" s="9"/>
    </row>
    <row r="541" ht="15.75" customHeight="1">
      <c r="A541" s="9"/>
      <c r="B541" s="9"/>
      <c r="L541" s="9"/>
    </row>
    <row r="542" ht="15.75" customHeight="1">
      <c r="A542" s="9"/>
      <c r="B542" s="9"/>
      <c r="L542" s="9"/>
    </row>
    <row r="543" ht="15.75" customHeight="1">
      <c r="A543" s="9"/>
      <c r="B543" s="9"/>
      <c r="L543" s="9"/>
    </row>
    <row r="544" ht="15.75" customHeight="1">
      <c r="A544" s="9"/>
      <c r="B544" s="9"/>
      <c r="L544" s="9"/>
    </row>
    <row r="545" ht="15.75" customHeight="1">
      <c r="A545" s="9"/>
      <c r="B545" s="9"/>
      <c r="L545" s="9"/>
    </row>
    <row r="546" ht="15.75" customHeight="1">
      <c r="A546" s="9"/>
      <c r="B546" s="9"/>
      <c r="L546" s="9"/>
    </row>
    <row r="547" ht="15.75" customHeight="1">
      <c r="A547" s="9"/>
      <c r="B547" s="9"/>
      <c r="L547" s="9"/>
    </row>
    <row r="548" ht="15.75" customHeight="1">
      <c r="A548" s="9"/>
      <c r="B548" s="9"/>
      <c r="L548" s="9"/>
    </row>
    <row r="549" ht="15.75" customHeight="1">
      <c r="A549" s="9"/>
      <c r="B549" s="9"/>
      <c r="L549" s="9"/>
    </row>
    <row r="550" ht="15.75" customHeight="1">
      <c r="A550" s="9"/>
      <c r="B550" s="9"/>
      <c r="L550" s="9"/>
    </row>
    <row r="551" ht="15.75" customHeight="1">
      <c r="A551" s="9"/>
      <c r="B551" s="9"/>
      <c r="L551" s="9"/>
    </row>
    <row r="552" ht="15.75" customHeight="1">
      <c r="A552" s="9"/>
      <c r="B552" s="9"/>
      <c r="L552" s="9"/>
    </row>
    <row r="553" ht="15.75" customHeight="1">
      <c r="A553" s="9"/>
      <c r="B553" s="9"/>
      <c r="L553" s="9"/>
    </row>
    <row r="554" ht="15.75" customHeight="1">
      <c r="A554" s="9"/>
      <c r="B554" s="9"/>
      <c r="L554" s="9"/>
    </row>
    <row r="555" ht="15.75" customHeight="1">
      <c r="A555" s="9"/>
      <c r="B555" s="9"/>
      <c r="L555" s="9"/>
    </row>
    <row r="556" ht="15.75" customHeight="1">
      <c r="A556" s="9"/>
      <c r="B556" s="9"/>
      <c r="L556" s="9"/>
    </row>
    <row r="557" ht="15.75" customHeight="1">
      <c r="A557" s="9"/>
      <c r="B557" s="9"/>
      <c r="L557" s="9"/>
    </row>
    <row r="558" ht="15.75" customHeight="1">
      <c r="A558" s="9"/>
      <c r="B558" s="9"/>
      <c r="L558" s="9"/>
    </row>
    <row r="559" ht="15.75" customHeight="1">
      <c r="A559" s="9"/>
      <c r="B559" s="9"/>
      <c r="L559" s="9"/>
    </row>
    <row r="560" ht="15.75" customHeight="1">
      <c r="A560" s="9"/>
      <c r="B560" s="9"/>
      <c r="L560" s="9"/>
    </row>
    <row r="561" ht="15.75" customHeight="1">
      <c r="A561" s="9"/>
      <c r="B561" s="9"/>
      <c r="L561" s="9"/>
    </row>
    <row r="562" ht="15.75" customHeight="1">
      <c r="A562" s="9"/>
      <c r="B562" s="9"/>
      <c r="L562" s="9"/>
    </row>
    <row r="563" ht="15.75" customHeight="1">
      <c r="A563" s="9"/>
      <c r="B563" s="9"/>
      <c r="L563" s="9"/>
    </row>
    <row r="564" ht="15.75" customHeight="1">
      <c r="A564" s="9"/>
      <c r="B564" s="9"/>
      <c r="L564" s="9"/>
    </row>
    <row r="565" ht="15.75" customHeight="1">
      <c r="A565" s="9"/>
      <c r="B565" s="9"/>
      <c r="L565" s="9"/>
    </row>
    <row r="566" ht="15.75" customHeight="1">
      <c r="A566" s="9"/>
      <c r="B566" s="9"/>
      <c r="L566" s="9"/>
    </row>
    <row r="567" ht="15.75" customHeight="1">
      <c r="A567" s="9"/>
      <c r="B567" s="9"/>
      <c r="L567" s="9"/>
    </row>
    <row r="568" ht="15.75" customHeight="1">
      <c r="A568" s="9"/>
      <c r="B568" s="9"/>
      <c r="L568" s="9"/>
    </row>
    <row r="569" ht="15.75" customHeight="1">
      <c r="A569" s="9"/>
      <c r="B569" s="9"/>
      <c r="L569" s="9"/>
    </row>
    <row r="570" ht="15.75" customHeight="1">
      <c r="A570" s="9"/>
      <c r="B570" s="9"/>
      <c r="L570" s="9"/>
    </row>
    <row r="571" ht="15.75" customHeight="1">
      <c r="A571" s="9"/>
      <c r="B571" s="9"/>
      <c r="L571" s="9"/>
    </row>
    <row r="572" ht="15.75" customHeight="1">
      <c r="A572" s="9"/>
      <c r="B572" s="9"/>
      <c r="L572" s="9"/>
    </row>
    <row r="573" ht="15.75" customHeight="1">
      <c r="A573" s="9"/>
      <c r="B573" s="9"/>
      <c r="L573" s="9"/>
    </row>
    <row r="574" ht="15.75" customHeight="1">
      <c r="A574" s="9"/>
      <c r="B574" s="9"/>
      <c r="L574" s="9"/>
    </row>
    <row r="575" ht="15.75" customHeight="1">
      <c r="A575" s="9"/>
      <c r="B575" s="9"/>
      <c r="L575" s="9"/>
    </row>
    <row r="576" ht="15.75" customHeight="1">
      <c r="A576" s="9"/>
      <c r="B576" s="9"/>
      <c r="L576" s="9"/>
    </row>
    <row r="577" ht="15.75" customHeight="1">
      <c r="A577" s="9"/>
      <c r="B577" s="9"/>
      <c r="L577" s="9"/>
    </row>
    <row r="578" ht="15.75" customHeight="1">
      <c r="A578" s="9"/>
      <c r="B578" s="9"/>
      <c r="L578" s="9"/>
    </row>
    <row r="579" ht="15.75" customHeight="1">
      <c r="A579" s="9"/>
      <c r="B579" s="9"/>
      <c r="L579" s="9"/>
    </row>
    <row r="580" ht="15.75" customHeight="1">
      <c r="A580" s="9"/>
      <c r="B580" s="9"/>
      <c r="L580" s="9"/>
    </row>
    <row r="581" ht="15.75" customHeight="1">
      <c r="A581" s="9"/>
      <c r="B581" s="9"/>
      <c r="L581" s="9"/>
    </row>
    <row r="582" ht="15.75" customHeight="1">
      <c r="A582" s="9"/>
      <c r="B582" s="9"/>
      <c r="L582" s="9"/>
    </row>
    <row r="583" ht="15.75" customHeight="1">
      <c r="A583" s="9"/>
      <c r="B583" s="9"/>
      <c r="L583" s="9"/>
    </row>
    <row r="584" ht="15.75" customHeight="1">
      <c r="A584" s="9"/>
      <c r="B584" s="9"/>
      <c r="L584" s="9"/>
    </row>
    <row r="585" ht="15.75" customHeight="1">
      <c r="A585" s="9"/>
      <c r="B585" s="9"/>
      <c r="L585" s="9"/>
    </row>
    <row r="586" ht="15.75" customHeight="1">
      <c r="A586" s="9"/>
      <c r="B586" s="9"/>
      <c r="L586" s="9"/>
    </row>
    <row r="587" ht="15.75" customHeight="1">
      <c r="A587" s="9"/>
      <c r="B587" s="9"/>
      <c r="L587" s="9"/>
    </row>
    <row r="588" ht="15.75" customHeight="1">
      <c r="A588" s="9"/>
      <c r="B588" s="9"/>
      <c r="L588" s="9"/>
    </row>
    <row r="589" ht="15.75" customHeight="1">
      <c r="A589" s="9"/>
      <c r="B589" s="9"/>
      <c r="L589" s="9"/>
    </row>
    <row r="590" ht="15.75" customHeight="1">
      <c r="A590" s="9"/>
      <c r="B590" s="9"/>
      <c r="L590" s="9"/>
    </row>
    <row r="591" ht="15.75" customHeight="1">
      <c r="A591" s="9"/>
      <c r="B591" s="9"/>
      <c r="L591" s="9"/>
    </row>
    <row r="592" ht="15.75" customHeight="1">
      <c r="A592" s="9"/>
      <c r="B592" s="9"/>
      <c r="L592" s="9"/>
    </row>
    <row r="593" ht="15.75" customHeight="1">
      <c r="A593" s="9"/>
      <c r="B593" s="9"/>
      <c r="L593" s="9"/>
    </row>
    <row r="594" ht="15.75" customHeight="1">
      <c r="A594" s="9"/>
      <c r="B594" s="9"/>
      <c r="L594" s="9"/>
    </row>
    <row r="595" ht="15.75" customHeight="1">
      <c r="A595" s="9"/>
      <c r="B595" s="9"/>
      <c r="L595" s="9"/>
    </row>
    <row r="596" ht="15.75" customHeight="1">
      <c r="A596" s="9"/>
      <c r="B596" s="9"/>
      <c r="L596" s="9"/>
    </row>
    <row r="597" ht="15.75" customHeight="1">
      <c r="A597" s="9"/>
      <c r="B597" s="9"/>
      <c r="L597" s="9"/>
    </row>
    <row r="598" ht="15.75" customHeight="1">
      <c r="A598" s="9"/>
      <c r="B598" s="9"/>
      <c r="L598" s="9"/>
    </row>
    <row r="599" ht="15.75" customHeight="1">
      <c r="A599" s="9"/>
      <c r="B599" s="9"/>
      <c r="L599" s="9"/>
    </row>
    <row r="600" ht="15.75" customHeight="1">
      <c r="A600" s="9"/>
      <c r="B600" s="9"/>
      <c r="L600" s="9"/>
    </row>
    <row r="601" ht="15.75" customHeight="1">
      <c r="A601" s="9"/>
      <c r="B601" s="9"/>
      <c r="L601" s="9"/>
    </row>
    <row r="602" ht="15.75" customHeight="1">
      <c r="A602" s="9"/>
      <c r="B602" s="9"/>
      <c r="L602" s="9"/>
    </row>
    <row r="603" ht="15.75" customHeight="1">
      <c r="A603" s="9"/>
      <c r="B603" s="9"/>
      <c r="L603" s="9"/>
    </row>
    <row r="604" ht="15.75" customHeight="1">
      <c r="A604" s="9"/>
      <c r="B604" s="9"/>
      <c r="L604" s="9"/>
    </row>
    <row r="605" ht="15.75" customHeight="1">
      <c r="A605" s="9"/>
      <c r="B605" s="9"/>
      <c r="L605" s="9"/>
    </row>
    <row r="606" ht="15.75" customHeight="1">
      <c r="A606" s="9"/>
      <c r="B606" s="9"/>
      <c r="L606" s="9"/>
    </row>
    <row r="607" ht="15.75" customHeight="1">
      <c r="A607" s="9"/>
      <c r="B607" s="9"/>
      <c r="L607" s="9"/>
    </row>
    <row r="608" ht="15.75" customHeight="1">
      <c r="A608" s="9"/>
      <c r="B608" s="9"/>
      <c r="L608" s="9"/>
    </row>
    <row r="609" ht="15.75" customHeight="1">
      <c r="A609" s="9"/>
      <c r="B609" s="9"/>
      <c r="L609" s="9"/>
    </row>
    <row r="610" ht="15.75" customHeight="1">
      <c r="A610" s="9"/>
      <c r="B610" s="9"/>
      <c r="L610" s="9"/>
    </row>
    <row r="611" ht="15.75" customHeight="1">
      <c r="A611" s="9"/>
      <c r="B611" s="9"/>
      <c r="L611" s="9"/>
    </row>
    <row r="612" ht="15.75" customHeight="1">
      <c r="A612" s="9"/>
      <c r="B612" s="9"/>
      <c r="L612" s="9"/>
    </row>
    <row r="613" ht="15.75" customHeight="1">
      <c r="A613" s="9"/>
      <c r="B613" s="9"/>
      <c r="L613" s="9"/>
    </row>
    <row r="614" ht="15.75" customHeight="1">
      <c r="A614" s="9"/>
      <c r="B614" s="9"/>
      <c r="L614" s="9"/>
    </row>
    <row r="615" ht="15.75" customHeight="1">
      <c r="A615" s="9"/>
      <c r="B615" s="9"/>
      <c r="L615" s="9"/>
    </row>
    <row r="616" ht="15.75" customHeight="1">
      <c r="A616" s="9"/>
      <c r="B616" s="9"/>
      <c r="L616" s="9"/>
    </row>
    <row r="617" ht="15.75" customHeight="1">
      <c r="A617" s="9"/>
      <c r="B617" s="9"/>
      <c r="L617" s="9"/>
    </row>
    <row r="618" ht="15.75" customHeight="1">
      <c r="A618" s="9"/>
      <c r="B618" s="9"/>
      <c r="L618" s="9"/>
    </row>
    <row r="619" ht="15.75" customHeight="1">
      <c r="A619" s="9"/>
      <c r="B619" s="9"/>
      <c r="L619" s="9"/>
    </row>
    <row r="620" ht="15.75" customHeight="1">
      <c r="A620" s="9"/>
      <c r="B620" s="9"/>
      <c r="L620" s="9"/>
    </row>
    <row r="621" ht="15.75" customHeight="1">
      <c r="A621" s="9"/>
      <c r="B621" s="9"/>
      <c r="L621" s="9"/>
    </row>
    <row r="622" ht="15.75" customHeight="1">
      <c r="A622" s="9"/>
      <c r="B622" s="9"/>
      <c r="L622" s="9"/>
    </row>
    <row r="623" ht="15.75" customHeight="1">
      <c r="A623" s="9"/>
      <c r="B623" s="9"/>
      <c r="L623" s="9"/>
    </row>
    <row r="624" ht="15.75" customHeight="1">
      <c r="A624" s="9"/>
      <c r="B624" s="9"/>
      <c r="L624" s="9"/>
    </row>
    <row r="625" ht="15.75" customHeight="1">
      <c r="A625" s="9"/>
      <c r="B625" s="9"/>
      <c r="L625" s="9"/>
    </row>
    <row r="626" ht="15.75" customHeight="1">
      <c r="A626" s="9"/>
      <c r="B626" s="9"/>
      <c r="L626" s="9"/>
    </row>
    <row r="627" ht="15.75" customHeight="1">
      <c r="A627" s="9"/>
      <c r="B627" s="9"/>
      <c r="L627" s="9"/>
    </row>
    <row r="628" ht="15.75" customHeight="1">
      <c r="A628" s="9"/>
      <c r="B628" s="9"/>
      <c r="L628" s="9"/>
    </row>
    <row r="629" ht="15.75" customHeight="1">
      <c r="A629" s="9"/>
      <c r="B629" s="9"/>
      <c r="L629" s="9"/>
    </row>
    <row r="630" ht="15.75" customHeight="1">
      <c r="A630" s="9"/>
      <c r="B630" s="9"/>
      <c r="L630" s="9"/>
    </row>
    <row r="631" ht="15.75" customHeight="1">
      <c r="A631" s="9"/>
      <c r="B631" s="9"/>
      <c r="L631" s="9"/>
    </row>
    <row r="632" ht="15.75" customHeight="1">
      <c r="A632" s="9"/>
      <c r="B632" s="9"/>
      <c r="L632" s="9"/>
    </row>
    <row r="633" ht="15.75" customHeight="1">
      <c r="A633" s="9"/>
      <c r="B633" s="9"/>
      <c r="L633" s="9"/>
    </row>
    <row r="634" ht="15.75" customHeight="1">
      <c r="A634" s="9"/>
      <c r="B634" s="9"/>
      <c r="L634" s="9"/>
    </row>
    <row r="635" ht="15.75" customHeight="1">
      <c r="A635" s="9"/>
      <c r="B635" s="9"/>
      <c r="L635" s="9"/>
    </row>
    <row r="636" ht="15.75" customHeight="1">
      <c r="A636" s="9"/>
      <c r="B636" s="9"/>
      <c r="L636" s="9"/>
    </row>
    <row r="637" ht="15.75" customHeight="1">
      <c r="A637" s="9"/>
      <c r="B637" s="9"/>
      <c r="L637" s="9"/>
    </row>
    <row r="638" ht="15.75" customHeight="1">
      <c r="A638" s="9"/>
      <c r="B638" s="9"/>
      <c r="L638" s="9"/>
    </row>
    <row r="639" ht="15.75" customHeight="1">
      <c r="A639" s="9"/>
      <c r="B639" s="9"/>
      <c r="L639" s="9"/>
    </row>
    <row r="640" ht="15.75" customHeight="1">
      <c r="A640" s="9"/>
      <c r="B640" s="9"/>
      <c r="L640" s="9"/>
    </row>
    <row r="641" ht="15.75" customHeight="1">
      <c r="A641" s="9"/>
      <c r="B641" s="9"/>
      <c r="L641" s="9"/>
    </row>
    <row r="642" ht="15.75" customHeight="1">
      <c r="A642" s="9"/>
      <c r="B642" s="9"/>
      <c r="L642" s="9"/>
    </row>
    <row r="643" ht="15.75" customHeight="1">
      <c r="A643" s="9"/>
      <c r="B643" s="9"/>
      <c r="L643" s="9"/>
    </row>
    <row r="644" ht="15.75" customHeight="1">
      <c r="A644" s="9"/>
      <c r="B644" s="9"/>
      <c r="L644" s="9"/>
    </row>
    <row r="645" ht="15.75" customHeight="1">
      <c r="A645" s="9"/>
      <c r="B645" s="9"/>
      <c r="L645" s="9"/>
    </row>
    <row r="646" ht="15.75" customHeight="1">
      <c r="A646" s="9"/>
      <c r="B646" s="9"/>
      <c r="L646" s="9"/>
    </row>
    <row r="647" ht="15.75" customHeight="1">
      <c r="A647" s="9"/>
      <c r="B647" s="9"/>
      <c r="L647" s="9"/>
    </row>
    <row r="648" ht="15.75" customHeight="1">
      <c r="A648" s="9"/>
      <c r="B648" s="9"/>
      <c r="L648" s="9"/>
    </row>
    <row r="649" ht="15.75" customHeight="1">
      <c r="A649" s="9"/>
      <c r="B649" s="9"/>
      <c r="L649" s="9"/>
    </row>
    <row r="650" ht="15.75" customHeight="1">
      <c r="A650" s="9"/>
      <c r="B650" s="9"/>
      <c r="L650" s="9"/>
    </row>
    <row r="651" ht="15.75" customHeight="1">
      <c r="A651" s="9"/>
      <c r="B651" s="9"/>
      <c r="L651" s="9"/>
    </row>
    <row r="652" ht="15.75" customHeight="1">
      <c r="A652" s="9"/>
      <c r="B652" s="9"/>
      <c r="L652" s="9"/>
    </row>
    <row r="653" ht="15.75" customHeight="1">
      <c r="A653" s="9"/>
      <c r="B653" s="9"/>
      <c r="L653" s="9"/>
    </row>
    <row r="654" ht="15.75" customHeight="1">
      <c r="A654" s="9"/>
      <c r="B654" s="9"/>
      <c r="L654" s="9"/>
    </row>
    <row r="655" ht="15.75" customHeight="1">
      <c r="A655" s="9"/>
      <c r="B655" s="9"/>
      <c r="L655" s="9"/>
    </row>
    <row r="656" ht="15.75" customHeight="1">
      <c r="A656" s="9"/>
      <c r="B656" s="9"/>
      <c r="L656" s="9"/>
    </row>
    <row r="657" ht="15.75" customHeight="1">
      <c r="A657" s="9"/>
      <c r="B657" s="9"/>
      <c r="L657" s="9"/>
    </row>
    <row r="658" ht="15.75" customHeight="1">
      <c r="A658" s="9"/>
      <c r="B658" s="9"/>
      <c r="L658" s="9"/>
    </row>
    <row r="659" ht="15.75" customHeight="1">
      <c r="A659" s="9"/>
      <c r="B659" s="9"/>
      <c r="L659" s="9"/>
    </row>
    <row r="660" ht="15.75" customHeight="1">
      <c r="A660" s="9"/>
      <c r="B660" s="9"/>
      <c r="L660" s="9"/>
    </row>
    <row r="661" ht="15.75" customHeight="1">
      <c r="A661" s="9"/>
      <c r="B661" s="9"/>
      <c r="L661" s="9"/>
    </row>
    <row r="662" ht="15.75" customHeight="1">
      <c r="A662" s="9"/>
      <c r="B662" s="9"/>
      <c r="L662" s="9"/>
    </row>
    <row r="663" ht="15.75" customHeight="1">
      <c r="A663" s="9"/>
      <c r="B663" s="9"/>
      <c r="L663" s="9"/>
    </row>
    <row r="664" ht="15.75" customHeight="1">
      <c r="A664" s="9"/>
      <c r="B664" s="9"/>
      <c r="L664" s="9"/>
    </row>
    <row r="665" ht="15.75" customHeight="1">
      <c r="A665" s="9"/>
      <c r="B665" s="9"/>
      <c r="L665" s="9"/>
    </row>
    <row r="666" ht="15.75" customHeight="1">
      <c r="A666" s="9"/>
      <c r="B666" s="9"/>
      <c r="L666" s="9"/>
    </row>
    <row r="667" ht="15.75" customHeight="1">
      <c r="A667" s="9"/>
      <c r="B667" s="9"/>
      <c r="L667" s="9"/>
    </row>
    <row r="668" ht="15.75" customHeight="1">
      <c r="A668" s="9"/>
      <c r="B668" s="9"/>
      <c r="L668" s="9"/>
    </row>
    <row r="669" ht="15.75" customHeight="1">
      <c r="A669" s="9"/>
      <c r="B669" s="9"/>
      <c r="L669" s="9"/>
    </row>
    <row r="670" ht="15.75" customHeight="1">
      <c r="A670" s="9"/>
      <c r="B670" s="9"/>
      <c r="L670" s="9"/>
    </row>
    <row r="671" ht="15.75" customHeight="1">
      <c r="A671" s="9"/>
      <c r="B671" s="9"/>
      <c r="L671" s="9"/>
    </row>
    <row r="672" ht="15.75" customHeight="1">
      <c r="A672" s="9"/>
      <c r="B672" s="9"/>
      <c r="L672" s="9"/>
    </row>
    <row r="673" ht="15.75" customHeight="1">
      <c r="A673" s="9"/>
      <c r="B673" s="9"/>
      <c r="L673" s="9"/>
    </row>
    <row r="674" ht="15.75" customHeight="1">
      <c r="A674" s="9"/>
      <c r="B674" s="9"/>
      <c r="L674" s="9"/>
    </row>
    <row r="675" ht="15.75" customHeight="1">
      <c r="A675" s="9"/>
      <c r="B675" s="9"/>
      <c r="L675" s="9"/>
    </row>
    <row r="676" ht="15.75" customHeight="1">
      <c r="A676" s="9"/>
      <c r="B676" s="9"/>
      <c r="L676" s="9"/>
    </row>
    <row r="677" ht="15.75" customHeight="1">
      <c r="A677" s="9"/>
      <c r="B677" s="9"/>
      <c r="L677" s="9"/>
    </row>
    <row r="678" ht="15.75" customHeight="1">
      <c r="A678" s="9"/>
      <c r="B678" s="9"/>
      <c r="L678" s="9"/>
    </row>
    <row r="679" ht="15.75" customHeight="1">
      <c r="A679" s="9"/>
      <c r="B679" s="9"/>
      <c r="L679" s="9"/>
    </row>
    <row r="680" ht="15.75" customHeight="1">
      <c r="A680" s="9"/>
      <c r="B680" s="9"/>
      <c r="L680" s="9"/>
    </row>
    <row r="681" ht="15.75" customHeight="1">
      <c r="A681" s="9"/>
      <c r="B681" s="9"/>
      <c r="L681" s="9"/>
    </row>
    <row r="682" ht="15.75" customHeight="1">
      <c r="A682" s="9"/>
      <c r="B682" s="9"/>
      <c r="L682" s="9"/>
    </row>
    <row r="683" ht="15.75" customHeight="1">
      <c r="A683" s="9"/>
      <c r="B683" s="9"/>
      <c r="L683" s="9"/>
    </row>
    <row r="684" ht="15.75" customHeight="1">
      <c r="A684" s="9"/>
      <c r="B684" s="9"/>
      <c r="L684" s="9"/>
    </row>
    <row r="685" ht="15.75" customHeight="1">
      <c r="A685" s="9"/>
      <c r="B685" s="9"/>
      <c r="L685" s="9"/>
    </row>
    <row r="686" ht="15.75" customHeight="1">
      <c r="A686" s="9"/>
      <c r="B686" s="9"/>
      <c r="L686" s="9"/>
    </row>
    <row r="687" ht="15.75" customHeight="1">
      <c r="A687" s="9"/>
      <c r="B687" s="9"/>
      <c r="L687" s="9"/>
    </row>
    <row r="688" ht="15.75" customHeight="1">
      <c r="A688" s="9"/>
      <c r="B688" s="9"/>
      <c r="L688" s="9"/>
    </row>
    <row r="689" ht="15.75" customHeight="1">
      <c r="A689" s="9"/>
      <c r="B689" s="9"/>
      <c r="L689" s="9"/>
    </row>
    <row r="690" ht="15.75" customHeight="1">
      <c r="A690" s="9"/>
      <c r="B690" s="9"/>
      <c r="L690" s="9"/>
    </row>
    <row r="691" ht="15.75" customHeight="1">
      <c r="A691" s="9"/>
      <c r="B691" s="9"/>
      <c r="L691" s="9"/>
    </row>
    <row r="692" ht="15.75" customHeight="1">
      <c r="A692" s="9"/>
      <c r="B692" s="9"/>
      <c r="L692" s="9"/>
    </row>
    <row r="693" ht="15.75" customHeight="1">
      <c r="A693" s="9"/>
      <c r="B693" s="9"/>
      <c r="L693" s="9"/>
    </row>
    <row r="694" ht="15.75" customHeight="1">
      <c r="A694" s="9"/>
      <c r="B694" s="9"/>
      <c r="L694" s="9"/>
    </row>
    <row r="695" ht="15.75" customHeight="1">
      <c r="A695" s="9"/>
      <c r="B695" s="9"/>
      <c r="L695" s="9"/>
    </row>
    <row r="696" ht="15.75" customHeight="1">
      <c r="A696" s="9"/>
      <c r="B696" s="9"/>
      <c r="L696" s="9"/>
    </row>
    <row r="697" ht="15.75" customHeight="1">
      <c r="A697" s="9"/>
      <c r="B697" s="9"/>
      <c r="L697" s="9"/>
    </row>
    <row r="698" ht="15.75" customHeight="1">
      <c r="A698" s="9"/>
      <c r="B698" s="9"/>
      <c r="L698" s="9"/>
    </row>
    <row r="699" ht="15.75" customHeight="1">
      <c r="A699" s="9"/>
      <c r="B699" s="9"/>
      <c r="L699" s="9"/>
    </row>
    <row r="700" ht="15.75" customHeight="1">
      <c r="A700" s="9"/>
      <c r="B700" s="9"/>
      <c r="L700" s="9"/>
    </row>
    <row r="701" ht="15.75" customHeight="1">
      <c r="A701" s="9"/>
      <c r="B701" s="9"/>
      <c r="L701" s="9"/>
    </row>
    <row r="702" ht="15.75" customHeight="1">
      <c r="A702" s="9"/>
      <c r="B702" s="9"/>
      <c r="L702" s="9"/>
    </row>
    <row r="703" ht="15.75" customHeight="1">
      <c r="A703" s="9"/>
      <c r="B703" s="9"/>
      <c r="L703" s="9"/>
    </row>
    <row r="704" ht="15.75" customHeight="1">
      <c r="A704" s="9"/>
      <c r="B704" s="9"/>
      <c r="L704" s="9"/>
    </row>
    <row r="705" ht="15.75" customHeight="1">
      <c r="A705" s="9"/>
      <c r="B705" s="9"/>
      <c r="L705" s="9"/>
    </row>
    <row r="706" ht="15.75" customHeight="1">
      <c r="A706" s="9"/>
      <c r="B706" s="9"/>
      <c r="L706" s="9"/>
    </row>
    <row r="707" ht="15.75" customHeight="1">
      <c r="A707" s="9"/>
      <c r="B707" s="9"/>
      <c r="L707" s="9"/>
    </row>
    <row r="708" ht="15.75" customHeight="1">
      <c r="A708" s="9"/>
      <c r="B708" s="9"/>
      <c r="L708" s="9"/>
    </row>
    <row r="709" ht="15.75" customHeight="1">
      <c r="A709" s="9"/>
      <c r="B709" s="9"/>
      <c r="L709" s="9"/>
    </row>
    <row r="710" ht="15.75" customHeight="1">
      <c r="A710" s="9"/>
      <c r="B710" s="9"/>
      <c r="L710" s="9"/>
    </row>
    <row r="711" ht="15.75" customHeight="1">
      <c r="A711" s="9"/>
      <c r="B711" s="9"/>
      <c r="L711" s="9"/>
    </row>
    <row r="712" ht="15.75" customHeight="1">
      <c r="A712" s="9"/>
      <c r="B712" s="9"/>
      <c r="L712" s="9"/>
    </row>
    <row r="713" ht="15.75" customHeight="1">
      <c r="A713" s="9"/>
      <c r="B713" s="9"/>
      <c r="L713" s="9"/>
    </row>
    <row r="714" ht="15.75" customHeight="1">
      <c r="A714" s="9"/>
      <c r="B714" s="9"/>
      <c r="L714" s="9"/>
    </row>
    <row r="715" ht="15.75" customHeight="1">
      <c r="A715" s="9"/>
      <c r="B715" s="9"/>
      <c r="L715" s="9"/>
    </row>
    <row r="716" ht="15.75" customHeight="1">
      <c r="A716" s="9"/>
      <c r="B716" s="9"/>
      <c r="L716" s="9"/>
    </row>
    <row r="717" ht="15.75" customHeight="1">
      <c r="A717" s="9"/>
      <c r="B717" s="9"/>
      <c r="L717" s="9"/>
    </row>
    <row r="718" ht="15.75" customHeight="1">
      <c r="A718" s="9"/>
      <c r="B718" s="9"/>
      <c r="L718" s="9"/>
    </row>
    <row r="719" ht="15.75" customHeight="1">
      <c r="A719" s="9"/>
      <c r="B719" s="9"/>
      <c r="L719" s="9"/>
    </row>
    <row r="720" ht="15.75" customHeight="1">
      <c r="A720" s="9"/>
      <c r="B720" s="9"/>
      <c r="L720" s="9"/>
    </row>
    <row r="721" ht="15.75" customHeight="1">
      <c r="A721" s="9"/>
      <c r="B721" s="9"/>
      <c r="L721" s="9"/>
    </row>
    <row r="722" ht="15.75" customHeight="1">
      <c r="A722" s="9"/>
      <c r="B722" s="9"/>
      <c r="L722" s="9"/>
    </row>
    <row r="723" ht="15.75" customHeight="1">
      <c r="A723" s="9"/>
      <c r="B723" s="9"/>
      <c r="L723" s="9"/>
    </row>
    <row r="724" ht="15.75" customHeight="1">
      <c r="A724" s="9"/>
      <c r="B724" s="9"/>
      <c r="L724" s="9"/>
    </row>
    <row r="725" ht="15.75" customHeight="1">
      <c r="A725" s="9"/>
      <c r="B725" s="9"/>
      <c r="L725" s="9"/>
    </row>
    <row r="726" ht="15.75" customHeight="1">
      <c r="A726" s="9"/>
      <c r="B726" s="9"/>
      <c r="L726" s="9"/>
    </row>
    <row r="727" ht="15.75" customHeight="1">
      <c r="A727" s="9"/>
      <c r="B727" s="9"/>
      <c r="L727" s="9"/>
    </row>
    <row r="728" ht="15.75" customHeight="1">
      <c r="A728" s="9"/>
      <c r="B728" s="9"/>
      <c r="L728" s="9"/>
    </row>
    <row r="729" ht="15.75" customHeight="1">
      <c r="A729" s="9"/>
      <c r="B729" s="9"/>
      <c r="L729" s="9"/>
    </row>
    <row r="730" ht="15.75" customHeight="1">
      <c r="A730" s="9"/>
      <c r="B730" s="9"/>
      <c r="L730" s="9"/>
    </row>
    <row r="731" ht="15.75" customHeight="1">
      <c r="A731" s="9"/>
      <c r="B731" s="9"/>
      <c r="L731" s="9"/>
    </row>
    <row r="732" ht="15.75" customHeight="1">
      <c r="A732" s="9"/>
      <c r="B732" s="9"/>
      <c r="L732" s="9"/>
    </row>
    <row r="733" ht="15.75" customHeight="1">
      <c r="A733" s="9"/>
      <c r="B733" s="9"/>
      <c r="L733" s="9"/>
    </row>
    <row r="734" ht="15.75" customHeight="1">
      <c r="A734" s="9"/>
      <c r="B734" s="9"/>
      <c r="L734" s="9"/>
    </row>
    <row r="735" ht="15.75" customHeight="1">
      <c r="A735" s="9"/>
      <c r="B735" s="9"/>
      <c r="L735" s="9"/>
    </row>
    <row r="736" ht="15.75" customHeight="1">
      <c r="A736" s="9"/>
      <c r="B736" s="9"/>
      <c r="L736" s="9"/>
    </row>
    <row r="737" ht="15.75" customHeight="1">
      <c r="A737" s="9"/>
      <c r="B737" s="9"/>
      <c r="L737" s="9"/>
    </row>
    <row r="738" ht="15.75" customHeight="1">
      <c r="A738" s="9"/>
      <c r="B738" s="9"/>
      <c r="L738" s="9"/>
    </row>
    <row r="739" ht="15.75" customHeight="1">
      <c r="A739" s="9"/>
      <c r="B739" s="9"/>
      <c r="L739" s="9"/>
    </row>
    <row r="740" ht="15.75" customHeight="1">
      <c r="A740" s="9"/>
      <c r="B740" s="9"/>
      <c r="L740" s="9"/>
    </row>
    <row r="741" ht="15.75" customHeight="1">
      <c r="A741" s="9"/>
      <c r="B741" s="9"/>
      <c r="L741" s="9"/>
    </row>
    <row r="742" ht="15.75" customHeight="1">
      <c r="A742" s="9"/>
      <c r="B742" s="9"/>
      <c r="L742" s="9"/>
    </row>
    <row r="743" ht="15.75" customHeight="1">
      <c r="A743" s="9"/>
      <c r="B743" s="9"/>
      <c r="L743" s="9"/>
    </row>
    <row r="744" ht="15.75" customHeight="1">
      <c r="A744" s="9"/>
      <c r="B744" s="9"/>
      <c r="L744" s="9"/>
    </row>
    <row r="745" ht="15.75" customHeight="1">
      <c r="A745" s="9"/>
      <c r="B745" s="9"/>
      <c r="L745" s="9"/>
    </row>
    <row r="746" ht="15.75" customHeight="1">
      <c r="A746" s="9"/>
      <c r="B746" s="9"/>
      <c r="L746" s="9"/>
    </row>
    <row r="747" ht="15.75" customHeight="1">
      <c r="A747" s="9"/>
      <c r="B747" s="9"/>
      <c r="L747" s="9"/>
    </row>
    <row r="748" ht="15.75" customHeight="1">
      <c r="A748" s="9"/>
      <c r="B748" s="9"/>
      <c r="L748" s="9"/>
    </row>
    <row r="749" ht="15.75" customHeight="1">
      <c r="A749" s="9"/>
      <c r="B749" s="9"/>
      <c r="L749" s="9"/>
    </row>
    <row r="750" ht="15.75" customHeight="1">
      <c r="A750" s="9"/>
      <c r="B750" s="9"/>
      <c r="L750" s="9"/>
    </row>
    <row r="751" ht="15.75" customHeight="1">
      <c r="A751" s="9"/>
      <c r="B751" s="9"/>
      <c r="L751" s="9"/>
    </row>
    <row r="752" ht="15.75" customHeight="1">
      <c r="A752" s="9"/>
      <c r="B752" s="9"/>
      <c r="L752" s="9"/>
    </row>
    <row r="753" ht="15.75" customHeight="1">
      <c r="A753" s="9"/>
      <c r="B753" s="9"/>
      <c r="L753" s="9"/>
    </row>
    <row r="754" ht="15.75" customHeight="1">
      <c r="A754" s="9"/>
      <c r="B754" s="9"/>
      <c r="L754" s="9"/>
    </row>
    <row r="755" ht="15.75" customHeight="1">
      <c r="A755" s="9"/>
      <c r="B755" s="9"/>
      <c r="L755" s="9"/>
    </row>
    <row r="756" ht="15.75" customHeight="1">
      <c r="A756" s="9"/>
      <c r="B756" s="9"/>
      <c r="L756" s="9"/>
    </row>
    <row r="757" ht="15.75" customHeight="1">
      <c r="A757" s="9"/>
      <c r="B757" s="9"/>
      <c r="L757" s="9"/>
    </row>
    <row r="758" ht="15.75" customHeight="1">
      <c r="A758" s="9"/>
      <c r="B758" s="9"/>
      <c r="L758" s="9"/>
    </row>
    <row r="759" ht="15.75" customHeight="1">
      <c r="A759" s="9"/>
      <c r="B759" s="9"/>
      <c r="L759" s="9"/>
    </row>
    <row r="760" ht="15.75" customHeight="1">
      <c r="A760" s="9"/>
      <c r="B760" s="9"/>
      <c r="L760" s="9"/>
    </row>
    <row r="761" ht="15.75" customHeight="1">
      <c r="A761" s="9"/>
      <c r="B761" s="9"/>
      <c r="L761" s="9"/>
    </row>
    <row r="762" ht="15.75" customHeight="1">
      <c r="A762" s="9"/>
      <c r="B762" s="9"/>
      <c r="L762" s="9"/>
    </row>
    <row r="763" ht="15.75" customHeight="1">
      <c r="A763" s="9"/>
      <c r="B763" s="9"/>
      <c r="L763" s="9"/>
    </row>
    <row r="764" ht="15.75" customHeight="1">
      <c r="A764" s="9"/>
      <c r="B764" s="9"/>
      <c r="L764" s="9"/>
    </row>
    <row r="765" ht="15.75" customHeight="1">
      <c r="A765" s="9"/>
      <c r="B765" s="9"/>
      <c r="L765" s="9"/>
    </row>
    <row r="766" ht="15.75" customHeight="1">
      <c r="A766" s="9"/>
      <c r="B766" s="9"/>
      <c r="L766" s="9"/>
    </row>
    <row r="767" ht="15.75" customHeight="1">
      <c r="A767" s="9"/>
      <c r="B767" s="9"/>
      <c r="L767" s="9"/>
    </row>
    <row r="768" ht="15.75" customHeight="1">
      <c r="A768" s="9"/>
      <c r="B768" s="9"/>
      <c r="L768" s="9"/>
    </row>
    <row r="769" ht="15.75" customHeight="1">
      <c r="A769" s="9"/>
      <c r="B769" s="9"/>
      <c r="L769" s="9"/>
    </row>
    <row r="770" ht="15.75" customHeight="1">
      <c r="A770" s="9"/>
      <c r="B770" s="9"/>
      <c r="L770" s="9"/>
    </row>
    <row r="771" ht="15.75" customHeight="1">
      <c r="A771" s="9"/>
      <c r="B771" s="9"/>
      <c r="L771" s="9"/>
    </row>
    <row r="772" ht="15.75" customHeight="1">
      <c r="A772" s="9"/>
      <c r="B772" s="9"/>
      <c r="L772" s="9"/>
    </row>
    <row r="773" ht="15.75" customHeight="1">
      <c r="A773" s="9"/>
      <c r="B773" s="9"/>
      <c r="L773" s="9"/>
    </row>
    <row r="774" ht="15.75" customHeight="1">
      <c r="A774" s="9"/>
      <c r="B774" s="9"/>
      <c r="L774" s="9"/>
    </row>
    <row r="775" ht="15.75" customHeight="1">
      <c r="A775" s="9"/>
      <c r="B775" s="9"/>
      <c r="L775" s="9"/>
    </row>
    <row r="776" ht="15.75" customHeight="1">
      <c r="A776" s="9"/>
      <c r="B776" s="9"/>
      <c r="L776" s="9"/>
    </row>
    <row r="777" ht="15.75" customHeight="1">
      <c r="A777" s="9"/>
      <c r="B777" s="9"/>
      <c r="L777" s="9"/>
    </row>
    <row r="778" ht="15.75" customHeight="1">
      <c r="A778" s="9"/>
      <c r="B778" s="9"/>
      <c r="L778" s="9"/>
    </row>
    <row r="779" ht="15.75" customHeight="1">
      <c r="A779" s="9"/>
      <c r="B779" s="9"/>
      <c r="L779" s="9"/>
    </row>
    <row r="780" ht="15.75" customHeight="1">
      <c r="A780" s="9"/>
      <c r="B780" s="9"/>
      <c r="L780" s="9"/>
    </row>
    <row r="781" ht="15.75" customHeight="1">
      <c r="A781" s="9"/>
      <c r="B781" s="9"/>
      <c r="L781" s="9"/>
    </row>
    <row r="782" ht="15.75" customHeight="1">
      <c r="A782" s="9"/>
      <c r="B782" s="9"/>
      <c r="L782" s="9"/>
    </row>
    <row r="783" ht="15.75" customHeight="1">
      <c r="A783" s="9"/>
      <c r="B783" s="9"/>
      <c r="L783" s="9"/>
    </row>
    <row r="784" ht="15.75" customHeight="1">
      <c r="A784" s="9"/>
      <c r="B784" s="9"/>
      <c r="L784" s="9"/>
    </row>
    <row r="785" ht="15.75" customHeight="1">
      <c r="A785" s="9"/>
      <c r="B785" s="9"/>
      <c r="L785" s="9"/>
    </row>
    <row r="786" ht="15.75" customHeight="1">
      <c r="A786" s="9"/>
      <c r="B786" s="9"/>
      <c r="L786" s="9"/>
    </row>
    <row r="787" ht="15.75" customHeight="1">
      <c r="A787" s="9"/>
      <c r="B787" s="9"/>
      <c r="L787" s="9"/>
    </row>
    <row r="788" ht="15.75" customHeight="1">
      <c r="A788" s="9"/>
      <c r="B788" s="9"/>
      <c r="L788" s="9"/>
    </row>
    <row r="789" ht="15.75" customHeight="1">
      <c r="A789" s="9"/>
      <c r="B789" s="9"/>
      <c r="L789" s="9"/>
    </row>
    <row r="790" ht="15.75" customHeight="1">
      <c r="A790" s="9"/>
      <c r="B790" s="9"/>
      <c r="L790" s="9"/>
    </row>
    <row r="791" ht="15.75" customHeight="1">
      <c r="A791" s="9"/>
      <c r="B791" s="9"/>
      <c r="L791" s="9"/>
    </row>
    <row r="792" ht="15.75" customHeight="1">
      <c r="A792" s="9"/>
      <c r="B792" s="9"/>
      <c r="L792" s="9"/>
    </row>
    <row r="793" ht="15.75" customHeight="1">
      <c r="A793" s="9"/>
      <c r="B793" s="9"/>
      <c r="L793" s="9"/>
    </row>
    <row r="794" ht="15.75" customHeight="1">
      <c r="A794" s="9"/>
      <c r="B794" s="9"/>
      <c r="L794" s="9"/>
    </row>
    <row r="795" ht="15.75" customHeight="1">
      <c r="A795" s="9"/>
      <c r="B795" s="9"/>
      <c r="L795" s="9"/>
    </row>
    <row r="796" ht="15.75" customHeight="1">
      <c r="A796" s="9"/>
      <c r="B796" s="9"/>
      <c r="L796" s="9"/>
    </row>
    <row r="797" ht="15.75" customHeight="1">
      <c r="A797" s="9"/>
      <c r="B797" s="9"/>
      <c r="L797" s="9"/>
    </row>
    <row r="798" ht="15.75" customHeight="1">
      <c r="A798" s="9"/>
      <c r="B798" s="9"/>
      <c r="L798" s="9"/>
    </row>
    <row r="799" ht="15.75" customHeight="1">
      <c r="A799" s="9"/>
      <c r="B799" s="9"/>
      <c r="L799" s="9"/>
    </row>
    <row r="800" ht="15.75" customHeight="1">
      <c r="A800" s="9"/>
      <c r="B800" s="9"/>
      <c r="L800" s="9"/>
    </row>
    <row r="801" ht="15.75" customHeight="1">
      <c r="A801" s="9"/>
      <c r="B801" s="9"/>
      <c r="L801" s="9"/>
    </row>
    <row r="802" ht="15.75" customHeight="1">
      <c r="A802" s="9"/>
      <c r="B802" s="9"/>
      <c r="L802" s="9"/>
    </row>
    <row r="803" ht="15.75" customHeight="1">
      <c r="A803" s="9"/>
      <c r="B803" s="9"/>
      <c r="L803" s="9"/>
    </row>
    <row r="804" ht="15.75" customHeight="1">
      <c r="A804" s="9"/>
      <c r="B804" s="9"/>
      <c r="L804" s="9"/>
    </row>
    <row r="805" ht="15.75" customHeight="1">
      <c r="A805" s="9"/>
      <c r="B805" s="9"/>
      <c r="L805" s="9"/>
    </row>
    <row r="806" ht="15.75" customHeight="1">
      <c r="A806" s="9"/>
      <c r="B806" s="9"/>
      <c r="L806" s="9"/>
    </row>
    <row r="807" ht="15.75" customHeight="1">
      <c r="A807" s="9"/>
      <c r="B807" s="9"/>
      <c r="L807" s="9"/>
    </row>
    <row r="808" ht="15.75" customHeight="1">
      <c r="A808" s="9"/>
      <c r="B808" s="9"/>
      <c r="L808" s="9"/>
    </row>
    <row r="809" ht="15.75" customHeight="1">
      <c r="A809" s="9"/>
      <c r="B809" s="9"/>
      <c r="L809" s="9"/>
    </row>
    <row r="810" ht="15.75" customHeight="1">
      <c r="A810" s="9"/>
      <c r="B810" s="9"/>
      <c r="L810" s="9"/>
    </row>
    <row r="811" ht="15.75" customHeight="1">
      <c r="A811" s="9"/>
      <c r="B811" s="9"/>
      <c r="L811" s="9"/>
    </row>
    <row r="812" ht="15.75" customHeight="1">
      <c r="A812" s="9"/>
      <c r="B812" s="9"/>
      <c r="L812" s="9"/>
    </row>
    <row r="813" ht="15.75" customHeight="1">
      <c r="A813" s="9"/>
      <c r="B813" s="9"/>
      <c r="L813" s="9"/>
    </row>
    <row r="814" ht="15.75" customHeight="1">
      <c r="A814" s="9"/>
      <c r="B814" s="9"/>
      <c r="L814" s="9"/>
    </row>
    <row r="815" ht="15.75" customHeight="1">
      <c r="A815" s="9"/>
      <c r="B815" s="9"/>
      <c r="L815" s="9"/>
    </row>
    <row r="816" ht="15.75" customHeight="1">
      <c r="A816" s="9"/>
      <c r="B816" s="9"/>
      <c r="L816" s="9"/>
    </row>
    <row r="817" ht="15.75" customHeight="1">
      <c r="A817" s="9"/>
      <c r="B817" s="9"/>
      <c r="L817" s="9"/>
    </row>
    <row r="818" ht="15.75" customHeight="1">
      <c r="A818" s="9"/>
      <c r="B818" s="9"/>
      <c r="L818" s="9"/>
    </row>
    <row r="819" ht="15.75" customHeight="1">
      <c r="A819" s="9"/>
      <c r="B819" s="9"/>
      <c r="L819" s="9"/>
    </row>
    <row r="820" ht="15.75" customHeight="1">
      <c r="A820" s="9"/>
      <c r="B820" s="9"/>
      <c r="L820" s="9"/>
    </row>
    <row r="821" ht="15.75" customHeight="1">
      <c r="A821" s="9"/>
      <c r="B821" s="9"/>
      <c r="L821" s="9"/>
    </row>
    <row r="822" ht="15.75" customHeight="1">
      <c r="A822" s="9"/>
      <c r="B822" s="9"/>
      <c r="L822" s="9"/>
    </row>
    <row r="823" ht="15.75" customHeight="1">
      <c r="A823" s="9"/>
      <c r="B823" s="9"/>
      <c r="L823" s="9"/>
    </row>
    <row r="824" ht="15.75" customHeight="1">
      <c r="A824" s="9"/>
      <c r="B824" s="9"/>
      <c r="L824" s="9"/>
    </row>
    <row r="825" ht="15.75" customHeight="1">
      <c r="A825" s="9"/>
      <c r="B825" s="9"/>
      <c r="L825" s="9"/>
    </row>
    <row r="826" ht="15.75" customHeight="1">
      <c r="A826" s="9"/>
      <c r="B826" s="9"/>
      <c r="L826" s="9"/>
    </row>
    <row r="827" ht="15.75" customHeight="1">
      <c r="A827" s="9"/>
      <c r="B827" s="9"/>
      <c r="L827" s="9"/>
    </row>
    <row r="828" ht="15.75" customHeight="1">
      <c r="A828" s="9"/>
      <c r="B828" s="9"/>
      <c r="L828" s="9"/>
    </row>
    <row r="829" ht="15.75" customHeight="1">
      <c r="A829" s="9"/>
      <c r="B829" s="9"/>
      <c r="L829" s="9"/>
    </row>
    <row r="830" ht="15.75" customHeight="1">
      <c r="A830" s="9"/>
      <c r="B830" s="9"/>
      <c r="L830" s="9"/>
    </row>
    <row r="831" ht="15.75" customHeight="1">
      <c r="A831" s="9"/>
      <c r="B831" s="9"/>
      <c r="L831" s="9"/>
    </row>
    <row r="832" ht="15.75" customHeight="1">
      <c r="A832" s="9"/>
      <c r="B832" s="9"/>
      <c r="L832" s="9"/>
    </row>
    <row r="833" ht="15.75" customHeight="1">
      <c r="A833" s="9"/>
      <c r="B833" s="9"/>
      <c r="L833" s="9"/>
    </row>
    <row r="834" ht="15.75" customHeight="1">
      <c r="A834" s="9"/>
      <c r="B834" s="9"/>
      <c r="L834" s="9"/>
    </row>
    <row r="835" ht="15.75" customHeight="1">
      <c r="A835" s="9"/>
      <c r="B835" s="9"/>
      <c r="L835" s="9"/>
    </row>
    <row r="836" ht="15.75" customHeight="1">
      <c r="A836" s="9"/>
      <c r="B836" s="9"/>
      <c r="L836" s="9"/>
    </row>
    <row r="837" ht="15.75" customHeight="1">
      <c r="A837" s="9"/>
      <c r="B837" s="9"/>
      <c r="L837" s="9"/>
    </row>
    <row r="838" ht="15.75" customHeight="1">
      <c r="A838" s="9"/>
      <c r="B838" s="9"/>
      <c r="L838" s="9"/>
    </row>
    <row r="839" ht="15.75" customHeight="1">
      <c r="A839" s="9"/>
      <c r="B839" s="9"/>
      <c r="L839" s="9"/>
    </row>
    <row r="840" ht="15.75" customHeight="1">
      <c r="A840" s="9"/>
      <c r="B840" s="9"/>
      <c r="L840" s="9"/>
    </row>
    <row r="841" ht="15.75" customHeight="1">
      <c r="A841" s="9"/>
      <c r="B841" s="9"/>
      <c r="L841" s="9"/>
    </row>
    <row r="842" ht="15.75" customHeight="1">
      <c r="A842" s="9"/>
      <c r="B842" s="9"/>
      <c r="L842" s="9"/>
    </row>
    <row r="843" ht="15.75" customHeight="1">
      <c r="A843" s="9"/>
      <c r="B843" s="9"/>
      <c r="L843" s="9"/>
    </row>
    <row r="844" ht="15.75" customHeight="1">
      <c r="A844" s="9"/>
      <c r="B844" s="9"/>
      <c r="L844" s="9"/>
    </row>
    <row r="845" ht="15.75" customHeight="1">
      <c r="A845" s="9"/>
      <c r="B845" s="9"/>
      <c r="L845" s="9"/>
    </row>
    <row r="846" ht="15.75" customHeight="1">
      <c r="A846" s="9"/>
      <c r="B846" s="9"/>
      <c r="L846" s="9"/>
    </row>
    <row r="847" ht="15.75" customHeight="1">
      <c r="A847" s="9"/>
      <c r="B847" s="9"/>
      <c r="L847" s="9"/>
    </row>
    <row r="848" ht="15.75" customHeight="1">
      <c r="A848" s="9"/>
      <c r="B848" s="9"/>
      <c r="L848" s="9"/>
    </row>
    <row r="849" ht="15.75" customHeight="1">
      <c r="A849" s="9"/>
      <c r="B849" s="9"/>
      <c r="L849" s="9"/>
    </row>
    <row r="850" ht="15.75" customHeight="1">
      <c r="A850" s="9"/>
      <c r="B850" s="9"/>
      <c r="L850" s="9"/>
    </row>
    <row r="851" ht="15.75" customHeight="1">
      <c r="A851" s="9"/>
      <c r="B851" s="9"/>
      <c r="L851" s="9"/>
    </row>
    <row r="852" ht="15.75" customHeight="1">
      <c r="A852" s="9"/>
      <c r="B852" s="9"/>
      <c r="L852" s="9"/>
    </row>
    <row r="853" ht="15.75" customHeight="1">
      <c r="A853" s="9"/>
      <c r="B853" s="9"/>
      <c r="L853" s="9"/>
    </row>
    <row r="854" ht="15.75" customHeight="1">
      <c r="A854" s="9"/>
      <c r="B854" s="9"/>
      <c r="L854" s="9"/>
    </row>
    <row r="855" ht="15.75" customHeight="1">
      <c r="A855" s="9"/>
      <c r="B855" s="9"/>
      <c r="L855" s="9"/>
    </row>
    <row r="856" ht="15.75" customHeight="1">
      <c r="A856" s="9"/>
      <c r="B856" s="9"/>
      <c r="L856" s="9"/>
    </row>
    <row r="857" ht="15.75" customHeight="1">
      <c r="A857" s="9"/>
      <c r="B857" s="9"/>
      <c r="L857" s="9"/>
    </row>
    <row r="858" ht="15.75" customHeight="1">
      <c r="A858" s="9"/>
      <c r="B858" s="9"/>
      <c r="L858" s="9"/>
    </row>
    <row r="859" ht="15.75" customHeight="1">
      <c r="A859" s="9"/>
      <c r="B859" s="9"/>
      <c r="L859" s="9"/>
    </row>
    <row r="860" ht="15.75" customHeight="1">
      <c r="A860" s="9"/>
      <c r="B860" s="9"/>
      <c r="L860" s="9"/>
    </row>
    <row r="861" ht="15.75" customHeight="1">
      <c r="A861" s="9"/>
      <c r="B861" s="9"/>
      <c r="L861" s="9"/>
    </row>
    <row r="862" ht="15.75" customHeight="1">
      <c r="A862" s="9"/>
      <c r="B862" s="9"/>
      <c r="L862" s="9"/>
    </row>
    <row r="863" ht="15.75" customHeight="1">
      <c r="A863" s="9"/>
      <c r="B863" s="9"/>
      <c r="L863" s="9"/>
    </row>
    <row r="864" ht="15.75" customHeight="1">
      <c r="A864" s="9"/>
      <c r="B864" s="9"/>
      <c r="L864" s="9"/>
    </row>
    <row r="865" ht="15.75" customHeight="1">
      <c r="A865" s="9"/>
      <c r="B865" s="9"/>
      <c r="L865" s="9"/>
    </row>
    <row r="866" ht="15.75" customHeight="1">
      <c r="A866" s="9"/>
      <c r="B866" s="9"/>
      <c r="L866" s="9"/>
    </row>
    <row r="867" ht="15.75" customHeight="1">
      <c r="A867" s="9"/>
      <c r="B867" s="9"/>
      <c r="L867" s="9"/>
    </row>
    <row r="868" ht="15.75" customHeight="1">
      <c r="A868" s="9"/>
      <c r="B868" s="9"/>
      <c r="L868" s="9"/>
    </row>
    <row r="869" ht="15.75" customHeight="1">
      <c r="A869" s="9"/>
      <c r="B869" s="9"/>
      <c r="L869" s="9"/>
    </row>
    <row r="870" ht="15.75" customHeight="1">
      <c r="A870" s="9"/>
      <c r="B870" s="9"/>
      <c r="L870" s="9"/>
    </row>
    <row r="871" ht="15.75" customHeight="1">
      <c r="A871" s="9"/>
      <c r="B871" s="9"/>
      <c r="L871" s="9"/>
    </row>
    <row r="872" ht="15.75" customHeight="1">
      <c r="A872" s="9"/>
      <c r="B872" s="9"/>
      <c r="L872" s="9"/>
    </row>
    <row r="873" ht="15.75" customHeight="1">
      <c r="A873" s="9"/>
      <c r="B873" s="9"/>
      <c r="L873" s="9"/>
    </row>
    <row r="874" ht="15.75" customHeight="1">
      <c r="A874" s="9"/>
      <c r="B874" s="9"/>
      <c r="L874" s="9"/>
    </row>
    <row r="875" ht="15.75" customHeight="1">
      <c r="A875" s="9"/>
      <c r="B875" s="9"/>
      <c r="L875" s="9"/>
    </row>
    <row r="876" ht="15.75" customHeight="1">
      <c r="A876" s="9"/>
      <c r="B876" s="9"/>
      <c r="L876" s="9"/>
    </row>
    <row r="877" ht="15.75" customHeight="1">
      <c r="A877" s="9"/>
      <c r="B877" s="9"/>
      <c r="L877" s="9"/>
    </row>
    <row r="878" ht="15.75" customHeight="1">
      <c r="A878" s="9"/>
      <c r="B878" s="9"/>
      <c r="L878" s="9"/>
    </row>
    <row r="879" ht="15.75" customHeight="1">
      <c r="A879" s="9"/>
      <c r="B879" s="9"/>
      <c r="L879" s="9"/>
    </row>
    <row r="880" ht="15.75" customHeight="1">
      <c r="A880" s="9"/>
      <c r="B880" s="9"/>
      <c r="L880" s="9"/>
    </row>
    <row r="881" ht="15.75" customHeight="1">
      <c r="A881" s="9"/>
      <c r="B881" s="9"/>
      <c r="L881" s="9"/>
    </row>
    <row r="882" ht="15.75" customHeight="1">
      <c r="A882" s="9"/>
      <c r="B882" s="9"/>
      <c r="L882" s="9"/>
    </row>
    <row r="883" ht="15.75" customHeight="1">
      <c r="A883" s="9"/>
      <c r="B883" s="9"/>
      <c r="L883" s="9"/>
    </row>
    <row r="884" ht="15.75" customHeight="1">
      <c r="A884" s="9"/>
      <c r="B884" s="9"/>
      <c r="L884" s="9"/>
    </row>
    <row r="885" ht="15.75" customHeight="1">
      <c r="A885" s="9"/>
      <c r="B885" s="9"/>
      <c r="L885" s="9"/>
    </row>
    <row r="886" ht="15.75" customHeight="1">
      <c r="A886" s="9"/>
      <c r="B886" s="9"/>
      <c r="L886" s="9"/>
    </row>
    <row r="887" ht="15.75" customHeight="1">
      <c r="A887" s="9"/>
      <c r="B887" s="9"/>
      <c r="L887" s="9"/>
    </row>
    <row r="888" ht="15.75" customHeight="1">
      <c r="A888" s="9"/>
      <c r="B888" s="9"/>
      <c r="L888" s="9"/>
    </row>
    <row r="889" ht="15.75" customHeight="1">
      <c r="A889" s="9"/>
      <c r="B889" s="9"/>
      <c r="L889" s="9"/>
    </row>
    <row r="890" ht="15.75" customHeight="1">
      <c r="A890" s="9"/>
      <c r="B890" s="9"/>
      <c r="L890" s="9"/>
    </row>
    <row r="891" ht="15.75" customHeight="1">
      <c r="A891" s="9"/>
      <c r="B891" s="9"/>
      <c r="L891" s="9"/>
    </row>
    <row r="892" ht="15.75" customHeight="1">
      <c r="A892" s="9"/>
      <c r="B892" s="9"/>
      <c r="L892" s="9"/>
    </row>
    <row r="893" ht="15.75" customHeight="1">
      <c r="A893" s="9"/>
      <c r="B893" s="9"/>
      <c r="L893" s="9"/>
    </row>
    <row r="894" ht="15.75" customHeight="1">
      <c r="A894" s="9"/>
      <c r="B894" s="9"/>
      <c r="L894" s="9"/>
    </row>
    <row r="895" ht="15.75" customHeight="1">
      <c r="A895" s="9"/>
      <c r="B895" s="9"/>
      <c r="L895" s="9"/>
    </row>
    <row r="896" ht="15.75" customHeight="1">
      <c r="A896" s="9"/>
      <c r="B896" s="9"/>
      <c r="L896" s="9"/>
    </row>
    <row r="897" ht="15.75" customHeight="1">
      <c r="A897" s="9"/>
      <c r="B897" s="9"/>
      <c r="L897" s="9"/>
    </row>
    <row r="898" ht="15.75" customHeight="1">
      <c r="A898" s="9"/>
      <c r="B898" s="9"/>
      <c r="L898" s="9"/>
    </row>
    <row r="899" ht="15.75" customHeight="1">
      <c r="A899" s="9"/>
      <c r="B899" s="9"/>
      <c r="L899" s="9"/>
    </row>
    <row r="900" ht="15.75" customHeight="1">
      <c r="A900" s="9"/>
      <c r="B900" s="9"/>
      <c r="L900" s="9"/>
    </row>
    <row r="901" ht="15.75" customHeight="1">
      <c r="A901" s="9"/>
      <c r="B901" s="9"/>
      <c r="L901" s="9"/>
    </row>
    <row r="902" ht="15.75" customHeight="1">
      <c r="A902" s="9"/>
      <c r="B902" s="9"/>
      <c r="L902" s="9"/>
    </row>
    <row r="903" ht="15.75" customHeight="1">
      <c r="A903" s="9"/>
      <c r="B903" s="9"/>
      <c r="L903" s="9"/>
    </row>
    <row r="904" ht="15.75" customHeight="1">
      <c r="A904" s="9"/>
      <c r="B904" s="9"/>
      <c r="L904" s="9"/>
    </row>
    <row r="905" ht="15.75" customHeight="1">
      <c r="A905" s="9"/>
      <c r="B905" s="9"/>
      <c r="L905" s="9"/>
    </row>
    <row r="906" ht="15.75" customHeight="1">
      <c r="A906" s="9"/>
      <c r="B906" s="9"/>
      <c r="L906" s="9"/>
    </row>
    <row r="907" ht="15.75" customHeight="1">
      <c r="A907" s="9"/>
      <c r="B907" s="9"/>
      <c r="L907" s="9"/>
    </row>
    <row r="908" ht="15.75" customHeight="1">
      <c r="A908" s="9"/>
      <c r="B908" s="9"/>
      <c r="L908" s="9"/>
    </row>
    <row r="909" ht="15.75" customHeight="1">
      <c r="A909" s="9"/>
      <c r="B909" s="9"/>
      <c r="L909" s="9"/>
    </row>
    <row r="910" ht="15.75" customHeight="1">
      <c r="A910" s="9"/>
      <c r="B910" s="9"/>
      <c r="L910" s="9"/>
    </row>
    <row r="911" ht="15.75" customHeight="1">
      <c r="A911" s="9"/>
      <c r="B911" s="9"/>
      <c r="L911" s="9"/>
    </row>
    <row r="912" ht="15.75" customHeight="1">
      <c r="A912" s="9"/>
      <c r="B912" s="9"/>
      <c r="L912" s="9"/>
    </row>
    <row r="913" ht="15.75" customHeight="1">
      <c r="A913" s="9"/>
      <c r="B913" s="9"/>
      <c r="L913" s="9"/>
    </row>
    <row r="914" ht="15.75" customHeight="1">
      <c r="A914" s="9"/>
      <c r="B914" s="9"/>
      <c r="L914" s="9"/>
    </row>
    <row r="915" ht="15.75" customHeight="1">
      <c r="A915" s="9"/>
      <c r="B915" s="9"/>
      <c r="L915" s="9"/>
    </row>
    <row r="916" ht="15.75" customHeight="1">
      <c r="A916" s="9"/>
      <c r="B916" s="9"/>
      <c r="L916" s="9"/>
    </row>
    <row r="917" ht="15.75" customHeight="1">
      <c r="A917" s="9"/>
      <c r="B917" s="9"/>
      <c r="L917" s="9"/>
    </row>
    <row r="918" ht="15.75" customHeight="1">
      <c r="A918" s="9"/>
      <c r="B918" s="9"/>
      <c r="L918" s="9"/>
    </row>
    <row r="919" ht="15.75" customHeight="1">
      <c r="A919" s="9"/>
      <c r="B919" s="9"/>
      <c r="L919" s="9"/>
    </row>
    <row r="920" ht="15.75" customHeight="1">
      <c r="A920" s="9"/>
      <c r="B920" s="9"/>
      <c r="L920" s="9"/>
    </row>
    <row r="921" ht="15.75" customHeight="1">
      <c r="A921" s="9"/>
      <c r="B921" s="9"/>
      <c r="L921" s="9"/>
    </row>
    <row r="922" ht="15.75" customHeight="1">
      <c r="A922" s="9"/>
      <c r="B922" s="9"/>
      <c r="L922" s="9"/>
    </row>
    <row r="923" ht="15.75" customHeight="1">
      <c r="A923" s="9"/>
      <c r="B923" s="9"/>
      <c r="L923" s="9"/>
    </row>
    <row r="924" ht="15.75" customHeight="1">
      <c r="A924" s="9"/>
      <c r="B924" s="9"/>
      <c r="L924" s="9"/>
    </row>
    <row r="925" ht="15.75" customHeight="1">
      <c r="A925" s="9"/>
      <c r="B925" s="9"/>
      <c r="L925" s="9"/>
    </row>
    <row r="926" ht="15.75" customHeight="1">
      <c r="A926" s="9"/>
      <c r="B926" s="9"/>
      <c r="L926" s="9"/>
    </row>
    <row r="927" ht="15.75" customHeight="1">
      <c r="A927" s="9"/>
      <c r="B927" s="9"/>
      <c r="L927" s="9"/>
    </row>
    <row r="928" ht="15.75" customHeight="1">
      <c r="A928" s="9"/>
      <c r="B928" s="9"/>
      <c r="L928" s="9"/>
    </row>
    <row r="929" ht="15.75" customHeight="1">
      <c r="A929" s="9"/>
      <c r="B929" s="9"/>
      <c r="L929" s="9"/>
    </row>
    <row r="930" ht="15.75" customHeight="1">
      <c r="A930" s="9"/>
      <c r="B930" s="9"/>
      <c r="L930" s="9"/>
    </row>
    <row r="931" ht="15.75" customHeight="1">
      <c r="A931" s="9"/>
      <c r="B931" s="9"/>
      <c r="L931" s="9"/>
    </row>
    <row r="932" ht="15.75" customHeight="1">
      <c r="A932" s="9"/>
      <c r="B932" s="9"/>
      <c r="L932" s="9"/>
    </row>
    <row r="933" ht="15.75" customHeight="1">
      <c r="A933" s="9"/>
      <c r="B933" s="9"/>
      <c r="L933" s="9"/>
    </row>
    <row r="934" ht="15.75" customHeight="1">
      <c r="A934" s="9"/>
      <c r="B934" s="9"/>
      <c r="L934" s="9"/>
    </row>
    <row r="935" ht="15.75" customHeight="1">
      <c r="A935" s="9"/>
      <c r="B935" s="9"/>
      <c r="L935" s="9"/>
    </row>
    <row r="936" ht="15.75" customHeight="1">
      <c r="A936" s="9"/>
      <c r="B936" s="9"/>
      <c r="L936" s="9"/>
    </row>
    <row r="937" ht="15.75" customHeight="1">
      <c r="A937" s="9"/>
      <c r="B937" s="9"/>
      <c r="L937" s="9"/>
    </row>
    <row r="938" ht="15.75" customHeight="1">
      <c r="A938" s="9"/>
      <c r="B938" s="9"/>
      <c r="L938" s="9"/>
    </row>
    <row r="939" ht="15.75" customHeight="1">
      <c r="A939" s="9"/>
      <c r="B939" s="9"/>
      <c r="L939" s="9"/>
    </row>
    <row r="940" ht="15.75" customHeight="1">
      <c r="A940" s="9"/>
      <c r="B940" s="9"/>
      <c r="L940" s="9"/>
    </row>
    <row r="941" ht="15.75" customHeight="1">
      <c r="A941" s="9"/>
      <c r="B941" s="9"/>
      <c r="L941" s="9"/>
    </row>
    <row r="942" ht="15.75" customHeight="1">
      <c r="A942" s="9"/>
      <c r="B942" s="9"/>
      <c r="L942" s="9"/>
    </row>
    <row r="943" ht="15.75" customHeight="1">
      <c r="A943" s="9"/>
      <c r="B943" s="9"/>
      <c r="L943" s="9"/>
    </row>
    <row r="944" ht="15.75" customHeight="1">
      <c r="A944" s="9"/>
      <c r="B944" s="9"/>
      <c r="L944" s="9"/>
    </row>
    <row r="945" ht="15.75" customHeight="1">
      <c r="A945" s="9"/>
      <c r="B945" s="9"/>
      <c r="L945" s="9"/>
    </row>
    <row r="946" ht="15.75" customHeight="1">
      <c r="A946" s="9"/>
      <c r="B946" s="9"/>
      <c r="L946" s="9"/>
    </row>
    <row r="947" ht="15.75" customHeight="1">
      <c r="A947" s="9"/>
      <c r="B947" s="9"/>
      <c r="L947" s="9"/>
    </row>
    <row r="948" ht="15.75" customHeight="1">
      <c r="A948" s="9"/>
      <c r="B948" s="9"/>
      <c r="L948" s="9"/>
    </row>
    <row r="949" ht="15.75" customHeight="1">
      <c r="A949" s="9"/>
      <c r="B949" s="9"/>
      <c r="L949" s="9"/>
    </row>
    <row r="950" ht="15.75" customHeight="1">
      <c r="A950" s="9"/>
      <c r="B950" s="9"/>
      <c r="L950" s="9"/>
    </row>
    <row r="951" ht="15.75" customHeight="1">
      <c r="A951" s="9"/>
      <c r="B951" s="9"/>
      <c r="L951" s="9"/>
    </row>
    <row r="952" ht="15.75" customHeight="1">
      <c r="A952" s="9"/>
      <c r="B952" s="9"/>
      <c r="L952" s="9"/>
    </row>
    <row r="953" ht="15.75" customHeight="1">
      <c r="A953" s="9"/>
      <c r="B953" s="9"/>
      <c r="L953" s="9"/>
    </row>
    <row r="954" ht="15.75" customHeight="1">
      <c r="A954" s="9"/>
      <c r="B954" s="9"/>
      <c r="L954" s="9"/>
    </row>
    <row r="955" ht="15.75" customHeight="1">
      <c r="A955" s="9"/>
      <c r="B955" s="9"/>
      <c r="L955" s="9"/>
    </row>
    <row r="956" ht="15.75" customHeight="1">
      <c r="A956" s="9"/>
      <c r="B956" s="9"/>
      <c r="L956" s="9"/>
    </row>
    <row r="957" ht="15.75" customHeight="1">
      <c r="A957" s="9"/>
      <c r="B957" s="9"/>
      <c r="L957" s="9"/>
    </row>
    <row r="958" ht="15.75" customHeight="1">
      <c r="A958" s="9"/>
      <c r="B958" s="9"/>
      <c r="L958" s="9"/>
    </row>
    <row r="959" ht="15.75" customHeight="1">
      <c r="A959" s="9"/>
      <c r="B959" s="9"/>
      <c r="L959" s="9"/>
    </row>
    <row r="960" ht="15.75" customHeight="1">
      <c r="A960" s="9"/>
      <c r="B960" s="9"/>
      <c r="L960" s="9"/>
    </row>
    <row r="961" ht="15.75" customHeight="1">
      <c r="A961" s="9"/>
      <c r="B961" s="9"/>
      <c r="L961" s="9"/>
    </row>
    <row r="962" ht="15.75" customHeight="1">
      <c r="A962" s="9"/>
      <c r="B962" s="9"/>
      <c r="L962" s="9"/>
    </row>
    <row r="963" ht="15.75" customHeight="1">
      <c r="A963" s="9"/>
      <c r="B963" s="9"/>
      <c r="L963" s="9"/>
    </row>
    <row r="964" ht="15.75" customHeight="1">
      <c r="A964" s="9"/>
      <c r="B964" s="9"/>
      <c r="L964" s="9"/>
    </row>
    <row r="965" ht="15.75" customHeight="1">
      <c r="A965" s="9"/>
      <c r="B965" s="9"/>
      <c r="L965" s="9"/>
    </row>
    <row r="966" ht="15.75" customHeight="1">
      <c r="A966" s="9"/>
      <c r="B966" s="9"/>
      <c r="L966" s="9"/>
    </row>
    <row r="967" ht="15.75" customHeight="1">
      <c r="A967" s="9"/>
      <c r="B967" s="9"/>
      <c r="L967" s="9"/>
    </row>
    <row r="968" ht="15.75" customHeight="1">
      <c r="A968" s="9"/>
      <c r="B968" s="9"/>
      <c r="L968" s="9"/>
    </row>
    <row r="969" ht="15.75" customHeight="1">
      <c r="A969" s="9"/>
      <c r="B969" s="9"/>
      <c r="L969" s="9"/>
    </row>
    <row r="970" ht="15.75" customHeight="1">
      <c r="A970" s="9"/>
      <c r="B970" s="9"/>
      <c r="L970" s="9"/>
    </row>
    <row r="971" ht="15.75" customHeight="1">
      <c r="A971" s="9"/>
      <c r="B971" s="9"/>
      <c r="L971" s="9"/>
    </row>
    <row r="972" ht="15.75" customHeight="1">
      <c r="A972" s="9"/>
      <c r="B972" s="9"/>
      <c r="L972" s="9"/>
    </row>
    <row r="973" ht="15.75" customHeight="1">
      <c r="A973" s="9"/>
      <c r="B973" s="9"/>
      <c r="L973" s="9"/>
    </row>
    <row r="974" ht="15.75" customHeight="1">
      <c r="A974" s="9"/>
      <c r="B974" s="9"/>
      <c r="L974" s="9"/>
    </row>
    <row r="975" ht="15.75" customHeight="1">
      <c r="A975" s="9"/>
      <c r="B975" s="9"/>
      <c r="L975" s="9"/>
    </row>
    <row r="976" ht="15.75" customHeight="1">
      <c r="A976" s="9"/>
      <c r="B976" s="9"/>
      <c r="L976" s="9"/>
    </row>
    <row r="977" ht="15.75" customHeight="1">
      <c r="A977" s="9"/>
      <c r="B977" s="9"/>
      <c r="L977" s="9"/>
    </row>
    <row r="978" ht="15.75" customHeight="1">
      <c r="A978" s="9"/>
      <c r="B978" s="9"/>
      <c r="L978" s="9"/>
    </row>
    <row r="979" ht="15.75" customHeight="1">
      <c r="A979" s="9"/>
      <c r="B979" s="9"/>
      <c r="L979" s="9"/>
    </row>
    <row r="980" ht="15.75" customHeight="1">
      <c r="A980" s="9"/>
      <c r="B980" s="9"/>
      <c r="L980" s="9"/>
    </row>
    <row r="981" ht="15.75" customHeight="1">
      <c r="A981" s="9"/>
      <c r="B981" s="9"/>
      <c r="L981" s="9"/>
    </row>
    <row r="982" ht="15.75" customHeight="1">
      <c r="A982" s="9"/>
      <c r="B982" s="9"/>
      <c r="L982" s="9"/>
    </row>
    <row r="983" ht="15.75" customHeight="1">
      <c r="A983" s="9"/>
      <c r="B983" s="9"/>
      <c r="L983" s="9"/>
    </row>
    <row r="984" ht="15.75" customHeight="1">
      <c r="A984" s="9"/>
      <c r="B984" s="9"/>
      <c r="L984" s="9"/>
    </row>
    <row r="985" ht="15.75" customHeight="1">
      <c r="A985" s="9"/>
      <c r="B985" s="9"/>
      <c r="L985" s="9"/>
    </row>
    <row r="986" ht="15.75" customHeight="1">
      <c r="A986" s="9"/>
      <c r="B986" s="9"/>
      <c r="L986" s="9"/>
    </row>
    <row r="987" ht="15.75" customHeight="1">
      <c r="A987" s="9"/>
      <c r="B987" s="9"/>
      <c r="L987" s="9"/>
    </row>
    <row r="988" ht="15.75" customHeight="1">
      <c r="A988" s="9"/>
      <c r="B988" s="9"/>
      <c r="L988" s="9"/>
    </row>
    <row r="989" ht="15.75" customHeight="1">
      <c r="A989" s="9"/>
      <c r="B989" s="9"/>
      <c r="L989" s="9"/>
    </row>
    <row r="990" ht="15.75" customHeight="1">
      <c r="A990" s="9"/>
      <c r="B990" s="9"/>
      <c r="L990" s="9"/>
    </row>
    <row r="991" ht="15.75" customHeight="1">
      <c r="A991" s="9"/>
      <c r="B991" s="9"/>
      <c r="L991" s="9"/>
    </row>
    <row r="992" ht="15.75" customHeight="1">
      <c r="A992" s="9"/>
      <c r="B992" s="9"/>
      <c r="L992" s="9"/>
    </row>
    <row r="993" ht="15.75" customHeight="1">
      <c r="A993" s="9"/>
      <c r="B993" s="9"/>
      <c r="L993" s="9"/>
    </row>
    <row r="994" ht="15.75" customHeight="1">
      <c r="A994" s="9"/>
      <c r="B994" s="9"/>
      <c r="L994" s="9"/>
    </row>
    <row r="995" ht="15.75" customHeight="1">
      <c r="A995" s="9"/>
      <c r="B995" s="9"/>
      <c r="L995" s="9"/>
    </row>
    <row r="996" ht="15.75" customHeight="1">
      <c r="A996" s="9"/>
      <c r="B996" s="9"/>
      <c r="L996" s="9"/>
    </row>
    <row r="997" ht="15.75" customHeight="1">
      <c r="A997" s="9"/>
      <c r="B997" s="9"/>
      <c r="L997" s="9"/>
    </row>
    <row r="998" ht="15.75" customHeight="1">
      <c r="A998" s="9"/>
      <c r="B998" s="9"/>
      <c r="L998" s="9"/>
    </row>
    <row r="999" ht="15.75" customHeight="1">
      <c r="A999" s="9"/>
      <c r="B999" s="9"/>
      <c r="L999" s="9"/>
    </row>
    <row r="1000" ht="15.75" customHeight="1">
      <c r="A1000" s="9"/>
      <c r="B1000" s="9"/>
      <c r="L1000" s="9"/>
    </row>
    <row r="1001" ht="15.75" customHeight="1">
      <c r="A1001" s="9"/>
      <c r="B1001" s="9"/>
      <c r="L1001" s="9"/>
    </row>
    <row r="1002" ht="15.75" customHeight="1">
      <c r="A1002" s="9"/>
      <c r="B1002" s="9"/>
      <c r="L1002" s="9"/>
    </row>
    <row r="1003" ht="15.75" customHeight="1">
      <c r="A1003" s="9"/>
      <c r="B1003" s="9"/>
      <c r="L1003" s="9"/>
    </row>
    <row r="1004" ht="15.75" customHeight="1">
      <c r="A1004" s="9"/>
      <c r="B1004" s="9"/>
      <c r="L1004" s="9"/>
    </row>
  </sheetData>
  <dataValidations>
    <dataValidation type="list" allowBlank="1" showErrorMessage="1" sqref="B2:B1004">
      <formula1>"Whiskey,Bourbon,Scotch,Vodka,Gin,Rum,Tequila,Mezcal,Draft Beer,Bottle Beer,Wine,Can Beer,Soda/Juice,Syrups / Garnish,Finest Call / Mixers"</formula1>
    </dataValidation>
    <dataValidation type="list" allowBlank="1" showErrorMessage="1" sqref="L2:L1004">
      <formula1>"Bar Cooler,Back Dry Storage,Bar Down Storage"</formula1>
    </dataValidation>
    <dataValidation type="list" allowBlank="1" showErrorMessage="1" sqref="C96">
      <formula1>Master_Items!$C$2:$C1100</formula1>
    </dataValidation>
    <dataValidation type="list" allowBlank="1" showErrorMessage="1" sqref="A2:A1004">
      <formula1>"Liquor,Beer,Extras"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2</v>
      </c>
      <c r="B1" s="2" t="s">
        <v>259</v>
      </c>
      <c r="C1" s="2" t="s">
        <v>260</v>
      </c>
      <c r="D1" s="2" t="s">
        <v>261</v>
      </c>
      <c r="E1" s="2" t="s">
        <v>262</v>
      </c>
      <c r="F1" s="2" t="s">
        <v>263</v>
      </c>
      <c r="G1" s="2" t="s">
        <v>264</v>
      </c>
      <c r="H1" s="2" t="s">
        <v>265</v>
      </c>
      <c r="I1" s="2" t="s">
        <v>10</v>
      </c>
    </row>
    <row r="2" ht="15.75" customHeight="1">
      <c r="A2" s="2"/>
      <c r="B2" s="2"/>
      <c r="I2" s="2" t="str">
        <f t="shared" ref="I2:I527" si="1">IF(E2=MINIFS(E:E, A:A, A2), "Yes", "")</f>
        <v>Yes</v>
      </c>
    </row>
    <row r="3" ht="15.75" customHeight="1">
      <c r="A3" s="2"/>
      <c r="B3" s="2"/>
      <c r="I3" s="2" t="str">
        <f t="shared" si="1"/>
        <v>Yes</v>
      </c>
    </row>
    <row r="4" ht="15.75" customHeight="1">
      <c r="A4" s="2"/>
      <c r="B4" s="2"/>
      <c r="I4" s="2" t="str">
        <f t="shared" si="1"/>
        <v>Yes</v>
      </c>
    </row>
    <row r="5" ht="15.75" customHeight="1">
      <c r="A5" s="2"/>
      <c r="B5" s="2"/>
      <c r="I5" s="2" t="str">
        <f t="shared" si="1"/>
        <v>Yes</v>
      </c>
    </row>
    <row r="6" ht="15.75" customHeight="1">
      <c r="A6" s="2"/>
      <c r="B6" s="2"/>
      <c r="I6" s="2" t="str">
        <f t="shared" si="1"/>
        <v>Yes</v>
      </c>
    </row>
    <row r="7" ht="15.75" customHeight="1">
      <c r="A7" s="2"/>
      <c r="B7" s="2"/>
      <c r="I7" s="2" t="str">
        <f t="shared" si="1"/>
        <v>Yes</v>
      </c>
    </row>
    <row r="8" ht="15.75" customHeight="1">
      <c r="A8" s="2"/>
      <c r="B8" s="2"/>
      <c r="I8" s="2" t="str">
        <f t="shared" si="1"/>
        <v>Yes</v>
      </c>
    </row>
    <row r="9" ht="15.75" customHeight="1">
      <c r="A9" s="2"/>
      <c r="B9" s="2"/>
      <c r="I9" s="2" t="str">
        <f t="shared" si="1"/>
        <v>Yes</v>
      </c>
    </row>
    <row r="10" ht="15.75" customHeight="1">
      <c r="A10" s="2"/>
      <c r="B10" s="2"/>
      <c r="I10" s="2" t="str">
        <f t="shared" si="1"/>
        <v>Yes</v>
      </c>
    </row>
    <row r="11" ht="15.75" customHeight="1">
      <c r="A11" s="2"/>
      <c r="B11" s="2"/>
      <c r="I11" s="2" t="str">
        <f t="shared" si="1"/>
        <v>Yes</v>
      </c>
    </row>
    <row r="12" ht="15.75" customHeight="1">
      <c r="A12" s="2"/>
      <c r="B12" s="2"/>
      <c r="I12" s="2" t="str">
        <f t="shared" si="1"/>
        <v>Yes</v>
      </c>
    </row>
    <row r="13" ht="15.75" customHeight="1">
      <c r="A13" s="2"/>
      <c r="B13" s="2"/>
      <c r="I13" s="2" t="str">
        <f t="shared" si="1"/>
        <v>Yes</v>
      </c>
    </row>
    <row r="14" ht="15.75" customHeight="1">
      <c r="A14" s="2"/>
      <c r="B14" s="2"/>
      <c r="I14" s="2" t="str">
        <f t="shared" si="1"/>
        <v>Yes</v>
      </c>
    </row>
    <row r="15" ht="15.75" customHeight="1">
      <c r="A15" s="2"/>
      <c r="B15" s="2"/>
      <c r="I15" s="2" t="str">
        <f t="shared" si="1"/>
        <v>Yes</v>
      </c>
    </row>
    <row r="16" ht="15.75" customHeight="1">
      <c r="A16" s="2"/>
      <c r="B16" s="2"/>
      <c r="I16" s="2" t="str">
        <f t="shared" si="1"/>
        <v>Yes</v>
      </c>
    </row>
    <row r="17" ht="15.75" customHeight="1">
      <c r="A17" s="2"/>
      <c r="B17" s="2"/>
      <c r="I17" s="2" t="str">
        <f t="shared" si="1"/>
        <v>Yes</v>
      </c>
    </row>
    <row r="18" ht="15.75" customHeight="1">
      <c r="A18" s="2"/>
      <c r="B18" s="2"/>
      <c r="I18" s="2" t="str">
        <f t="shared" si="1"/>
        <v>Yes</v>
      </c>
    </row>
    <row r="19" ht="15.75" customHeight="1">
      <c r="A19" s="2"/>
      <c r="B19" s="2"/>
      <c r="I19" s="2" t="str">
        <f t="shared" si="1"/>
        <v>Yes</v>
      </c>
    </row>
    <row r="20" ht="15.75" customHeight="1">
      <c r="A20" s="2"/>
      <c r="B20" s="2"/>
      <c r="I20" s="2" t="str">
        <f t="shared" si="1"/>
        <v>Yes</v>
      </c>
    </row>
    <row r="21" ht="15.75" customHeight="1">
      <c r="A21" s="2"/>
      <c r="B21" s="2"/>
      <c r="I21" s="2" t="str">
        <f t="shared" si="1"/>
        <v>Yes</v>
      </c>
    </row>
    <row r="22" ht="15.75" customHeight="1">
      <c r="A22" s="2"/>
      <c r="B22" s="2"/>
      <c r="I22" s="2" t="str">
        <f t="shared" si="1"/>
        <v>Yes</v>
      </c>
    </row>
    <row r="23" ht="15.75" customHeight="1">
      <c r="A23" s="2"/>
      <c r="B23" s="2"/>
      <c r="I23" s="2" t="str">
        <f t="shared" si="1"/>
        <v>Yes</v>
      </c>
    </row>
    <row r="24" ht="15.75" customHeight="1">
      <c r="A24" s="2"/>
      <c r="B24" s="2"/>
      <c r="I24" s="2" t="str">
        <f t="shared" si="1"/>
        <v>Yes</v>
      </c>
    </row>
    <row r="25" ht="15.75" customHeight="1">
      <c r="A25" s="2"/>
      <c r="B25" s="2"/>
      <c r="I25" s="2" t="str">
        <f t="shared" si="1"/>
        <v>Yes</v>
      </c>
    </row>
    <row r="26" ht="15.75" customHeight="1">
      <c r="A26" s="2"/>
      <c r="B26" s="2"/>
      <c r="I26" s="2" t="str">
        <f t="shared" si="1"/>
        <v>Yes</v>
      </c>
    </row>
    <row r="27" ht="15.75" customHeight="1">
      <c r="A27" s="2"/>
      <c r="B27" s="2"/>
      <c r="I27" s="2" t="str">
        <f t="shared" si="1"/>
        <v>Yes</v>
      </c>
    </row>
    <row r="28" ht="15.75" customHeight="1">
      <c r="A28" s="2"/>
      <c r="B28" s="2"/>
      <c r="I28" s="2" t="str">
        <f t="shared" si="1"/>
        <v>Yes</v>
      </c>
    </row>
    <row r="29" ht="15.75" customHeight="1">
      <c r="A29" s="2"/>
      <c r="B29" s="2"/>
      <c r="I29" s="2" t="str">
        <f t="shared" si="1"/>
        <v>Yes</v>
      </c>
    </row>
    <row r="30" ht="15.75" customHeight="1">
      <c r="A30" s="2"/>
      <c r="B30" s="2"/>
      <c r="I30" s="2" t="str">
        <f t="shared" si="1"/>
        <v>Yes</v>
      </c>
    </row>
    <row r="31" ht="15.75" customHeight="1">
      <c r="A31" s="2"/>
      <c r="B31" s="2"/>
      <c r="I31" s="2" t="str">
        <f t="shared" si="1"/>
        <v>Yes</v>
      </c>
    </row>
    <row r="32" ht="15.75" customHeight="1">
      <c r="A32" s="2"/>
      <c r="B32" s="2"/>
      <c r="I32" s="2" t="str">
        <f t="shared" si="1"/>
        <v>Yes</v>
      </c>
    </row>
    <row r="33" ht="15.75" customHeight="1">
      <c r="A33" s="2"/>
      <c r="B33" s="2"/>
      <c r="I33" s="2" t="str">
        <f t="shared" si="1"/>
        <v>Yes</v>
      </c>
    </row>
    <row r="34" ht="15.75" customHeight="1">
      <c r="A34" s="2"/>
      <c r="B34" s="2"/>
      <c r="I34" s="2" t="str">
        <f t="shared" si="1"/>
        <v>Yes</v>
      </c>
    </row>
    <row r="35" ht="15.75" customHeight="1">
      <c r="A35" s="2"/>
      <c r="B35" s="2"/>
      <c r="I35" s="2" t="str">
        <f t="shared" si="1"/>
        <v>Yes</v>
      </c>
    </row>
    <row r="36" ht="15.75" customHeight="1">
      <c r="A36" s="2"/>
      <c r="B36" s="2"/>
      <c r="I36" s="2" t="str">
        <f t="shared" si="1"/>
        <v>Yes</v>
      </c>
    </row>
    <row r="37" ht="15.75" customHeight="1">
      <c r="A37" s="2"/>
      <c r="B37" s="2"/>
      <c r="I37" s="2" t="str">
        <f t="shared" si="1"/>
        <v>Yes</v>
      </c>
    </row>
    <row r="38" ht="15.75" customHeight="1">
      <c r="A38" s="2"/>
      <c r="B38" s="2"/>
      <c r="I38" s="2" t="str">
        <f t="shared" si="1"/>
        <v>Yes</v>
      </c>
    </row>
    <row r="39" ht="15.75" customHeight="1">
      <c r="A39" s="2"/>
      <c r="B39" s="2"/>
      <c r="I39" s="2" t="str">
        <f t="shared" si="1"/>
        <v>Yes</v>
      </c>
    </row>
    <row r="40" ht="15.75" customHeight="1">
      <c r="A40" s="2"/>
      <c r="B40" s="2"/>
      <c r="I40" s="2" t="str">
        <f t="shared" si="1"/>
        <v>Yes</v>
      </c>
    </row>
    <row r="41" ht="15.75" customHeight="1">
      <c r="A41" s="2"/>
      <c r="B41" s="2"/>
      <c r="I41" s="2" t="str">
        <f t="shared" si="1"/>
        <v>Yes</v>
      </c>
    </row>
    <row r="42" ht="15.75" customHeight="1">
      <c r="A42" s="2"/>
      <c r="B42" s="2"/>
      <c r="I42" s="2" t="str">
        <f t="shared" si="1"/>
        <v>Yes</v>
      </c>
    </row>
    <row r="43" ht="15.75" customHeight="1">
      <c r="A43" s="2"/>
      <c r="B43" s="2"/>
      <c r="I43" s="2" t="str">
        <f t="shared" si="1"/>
        <v>Yes</v>
      </c>
    </row>
    <row r="44" ht="15.75" customHeight="1">
      <c r="A44" s="2"/>
      <c r="B44" s="2"/>
      <c r="I44" s="2" t="str">
        <f t="shared" si="1"/>
        <v>Yes</v>
      </c>
    </row>
    <row r="45" ht="15.75" customHeight="1">
      <c r="A45" s="2"/>
      <c r="B45" s="2"/>
      <c r="I45" s="2" t="str">
        <f t="shared" si="1"/>
        <v>Yes</v>
      </c>
    </row>
    <row r="46" ht="15.75" customHeight="1">
      <c r="A46" s="2"/>
      <c r="B46" s="2"/>
      <c r="I46" s="2" t="str">
        <f t="shared" si="1"/>
        <v>Yes</v>
      </c>
    </row>
    <row r="47" ht="15.75" customHeight="1">
      <c r="A47" s="2"/>
      <c r="B47" s="2"/>
      <c r="I47" s="2" t="str">
        <f t="shared" si="1"/>
        <v>Yes</v>
      </c>
    </row>
    <row r="48" ht="15.75" customHeight="1">
      <c r="A48" s="2"/>
      <c r="B48" s="2"/>
      <c r="I48" s="2" t="str">
        <f t="shared" si="1"/>
        <v>Yes</v>
      </c>
    </row>
    <row r="49" ht="15.75" customHeight="1">
      <c r="A49" s="2"/>
      <c r="B49" s="2"/>
      <c r="I49" s="2" t="str">
        <f t="shared" si="1"/>
        <v>Yes</v>
      </c>
    </row>
    <row r="50" ht="15.75" customHeight="1">
      <c r="A50" s="2"/>
      <c r="B50" s="2"/>
      <c r="I50" s="2" t="str">
        <f t="shared" si="1"/>
        <v>Yes</v>
      </c>
    </row>
    <row r="51" ht="15.75" customHeight="1">
      <c r="A51" s="2"/>
      <c r="B51" s="2"/>
      <c r="I51" s="2" t="str">
        <f t="shared" si="1"/>
        <v>Yes</v>
      </c>
    </row>
    <row r="52" ht="15.75" customHeight="1">
      <c r="A52" s="2"/>
      <c r="B52" s="2"/>
      <c r="I52" s="2" t="str">
        <f t="shared" si="1"/>
        <v>Yes</v>
      </c>
    </row>
    <row r="53" ht="15.75" customHeight="1">
      <c r="A53" s="2"/>
      <c r="B53" s="2"/>
      <c r="I53" s="2" t="str">
        <f t="shared" si="1"/>
        <v>Yes</v>
      </c>
    </row>
    <row r="54" ht="15.75" customHeight="1">
      <c r="A54" s="2"/>
      <c r="B54" s="2"/>
      <c r="I54" s="2" t="str">
        <f t="shared" si="1"/>
        <v>Yes</v>
      </c>
    </row>
    <row r="55" ht="15.75" customHeight="1">
      <c r="A55" s="2"/>
      <c r="B55" s="2"/>
      <c r="I55" s="2" t="str">
        <f t="shared" si="1"/>
        <v>Yes</v>
      </c>
    </row>
    <row r="56" ht="15.75" customHeight="1">
      <c r="A56" s="2"/>
      <c r="B56" s="2"/>
      <c r="I56" s="2" t="str">
        <f t="shared" si="1"/>
        <v>Yes</v>
      </c>
    </row>
    <row r="57" ht="15.75" customHeight="1">
      <c r="A57" s="2"/>
      <c r="B57" s="2"/>
      <c r="I57" s="2" t="str">
        <f t="shared" si="1"/>
        <v>Yes</v>
      </c>
    </row>
    <row r="58" ht="15.75" customHeight="1">
      <c r="A58" s="2"/>
      <c r="B58" s="2"/>
      <c r="I58" s="2" t="str">
        <f t="shared" si="1"/>
        <v>Yes</v>
      </c>
    </row>
    <row r="59" ht="15.75" customHeight="1">
      <c r="A59" s="2"/>
      <c r="B59" s="2"/>
      <c r="I59" s="2" t="str">
        <f t="shared" si="1"/>
        <v>Yes</v>
      </c>
    </row>
    <row r="60" ht="15.75" customHeight="1">
      <c r="A60" s="2"/>
      <c r="B60" s="2"/>
      <c r="I60" s="2" t="str">
        <f t="shared" si="1"/>
        <v>Yes</v>
      </c>
    </row>
    <row r="61" ht="15.75" customHeight="1">
      <c r="A61" s="2"/>
      <c r="B61" s="2"/>
      <c r="I61" s="2" t="str">
        <f t="shared" si="1"/>
        <v>Yes</v>
      </c>
    </row>
    <row r="62" ht="15.75" customHeight="1">
      <c r="A62" s="2"/>
      <c r="B62" s="2"/>
      <c r="I62" s="2" t="str">
        <f t="shared" si="1"/>
        <v>Yes</v>
      </c>
    </row>
    <row r="63" ht="15.75" customHeight="1">
      <c r="A63" s="2"/>
      <c r="B63" s="2"/>
      <c r="I63" s="2" t="str">
        <f t="shared" si="1"/>
        <v>Yes</v>
      </c>
    </row>
    <row r="64" ht="15.75" customHeight="1">
      <c r="A64" s="2"/>
      <c r="B64" s="2"/>
      <c r="I64" s="2" t="str">
        <f t="shared" si="1"/>
        <v>Yes</v>
      </c>
    </row>
    <row r="65" ht="15.75" customHeight="1">
      <c r="A65" s="2"/>
      <c r="B65" s="2"/>
      <c r="I65" s="2" t="str">
        <f t="shared" si="1"/>
        <v>Yes</v>
      </c>
    </row>
    <row r="66" ht="15.75" customHeight="1">
      <c r="A66" s="2"/>
      <c r="B66" s="2"/>
      <c r="I66" s="2" t="str">
        <f t="shared" si="1"/>
        <v>Yes</v>
      </c>
    </row>
    <row r="67" ht="15.75" customHeight="1">
      <c r="A67" s="2"/>
      <c r="B67" s="2"/>
      <c r="I67" s="2" t="str">
        <f t="shared" si="1"/>
        <v>Yes</v>
      </c>
    </row>
    <row r="68" ht="15.75" customHeight="1">
      <c r="A68" s="2"/>
      <c r="B68" s="2"/>
      <c r="I68" s="2" t="str">
        <f t="shared" si="1"/>
        <v>Yes</v>
      </c>
    </row>
    <row r="69" ht="15.75" customHeight="1">
      <c r="A69" s="2"/>
      <c r="B69" s="2"/>
      <c r="I69" s="2" t="str">
        <f t="shared" si="1"/>
        <v>Yes</v>
      </c>
    </row>
    <row r="70" ht="15.75" customHeight="1">
      <c r="A70" s="2"/>
      <c r="B70" s="2"/>
      <c r="I70" s="2" t="str">
        <f t="shared" si="1"/>
        <v>Yes</v>
      </c>
    </row>
    <row r="71" ht="15.75" customHeight="1">
      <c r="A71" s="2"/>
      <c r="B71" s="2"/>
      <c r="I71" s="2" t="str">
        <f t="shared" si="1"/>
        <v>Yes</v>
      </c>
    </row>
    <row r="72" ht="15.75" customHeight="1">
      <c r="A72" s="2"/>
      <c r="B72" s="2"/>
      <c r="I72" s="2" t="str">
        <f t="shared" si="1"/>
        <v>Yes</v>
      </c>
    </row>
    <row r="73" ht="15.75" customHeight="1">
      <c r="A73" s="2"/>
      <c r="B73" s="2"/>
      <c r="I73" s="2" t="str">
        <f t="shared" si="1"/>
        <v>Yes</v>
      </c>
    </row>
    <row r="74" ht="15.75" customHeight="1">
      <c r="A74" s="2"/>
      <c r="B74" s="2"/>
      <c r="I74" s="2" t="str">
        <f t="shared" si="1"/>
        <v>Yes</v>
      </c>
    </row>
    <row r="75" ht="15.75" customHeight="1">
      <c r="A75" s="2"/>
      <c r="B75" s="2"/>
      <c r="I75" s="2" t="str">
        <f t="shared" si="1"/>
        <v>Yes</v>
      </c>
    </row>
    <row r="76" ht="15.75" customHeight="1">
      <c r="A76" s="2"/>
      <c r="B76" s="2"/>
      <c r="I76" s="2" t="str">
        <f t="shared" si="1"/>
        <v>Yes</v>
      </c>
    </row>
    <row r="77" ht="15.75" customHeight="1">
      <c r="A77" s="2"/>
      <c r="B77" s="2"/>
      <c r="I77" s="2" t="str">
        <f t="shared" si="1"/>
        <v>Yes</v>
      </c>
    </row>
    <row r="78" ht="15.75" customHeight="1">
      <c r="A78" s="2"/>
      <c r="B78" s="2"/>
      <c r="I78" s="2" t="str">
        <f t="shared" si="1"/>
        <v>Yes</v>
      </c>
    </row>
    <row r="79" ht="15.75" customHeight="1">
      <c r="A79" s="2"/>
      <c r="B79" s="2"/>
      <c r="I79" s="2" t="str">
        <f t="shared" si="1"/>
        <v>Yes</v>
      </c>
    </row>
    <row r="80" ht="15.75" customHeight="1">
      <c r="A80" s="2"/>
      <c r="B80" s="2"/>
      <c r="I80" s="2" t="str">
        <f t="shared" si="1"/>
        <v>Yes</v>
      </c>
    </row>
    <row r="81" ht="15.75" customHeight="1">
      <c r="A81" s="2"/>
      <c r="B81" s="2"/>
      <c r="I81" s="2" t="str">
        <f t="shared" si="1"/>
        <v>Yes</v>
      </c>
    </row>
    <row r="82" ht="15.75" customHeight="1">
      <c r="A82" s="2"/>
      <c r="B82" s="2"/>
      <c r="I82" s="2" t="str">
        <f t="shared" si="1"/>
        <v>Yes</v>
      </c>
    </row>
    <row r="83" ht="15.75" customHeight="1">
      <c r="A83" s="2"/>
      <c r="B83" s="2"/>
      <c r="I83" s="2" t="str">
        <f t="shared" si="1"/>
        <v>Yes</v>
      </c>
    </row>
    <row r="84" ht="15.75" customHeight="1">
      <c r="A84" s="2"/>
      <c r="B84" s="2"/>
      <c r="I84" s="2" t="str">
        <f t="shared" si="1"/>
        <v>Yes</v>
      </c>
    </row>
    <row r="85" ht="15.75" customHeight="1">
      <c r="A85" s="2"/>
      <c r="B85" s="2"/>
      <c r="I85" s="2" t="str">
        <f t="shared" si="1"/>
        <v>Yes</v>
      </c>
    </row>
    <row r="86" ht="15.75" customHeight="1">
      <c r="A86" s="2"/>
      <c r="B86" s="2"/>
      <c r="I86" s="2" t="str">
        <f t="shared" si="1"/>
        <v>Yes</v>
      </c>
    </row>
    <row r="87" ht="15.75" customHeight="1">
      <c r="A87" s="2"/>
      <c r="B87" s="2"/>
      <c r="I87" s="2" t="str">
        <f t="shared" si="1"/>
        <v>Yes</v>
      </c>
    </row>
    <row r="88" ht="15.75" customHeight="1">
      <c r="A88" s="2"/>
      <c r="B88" s="2"/>
      <c r="I88" s="2" t="str">
        <f t="shared" si="1"/>
        <v>Yes</v>
      </c>
    </row>
    <row r="89" ht="15.75" customHeight="1">
      <c r="A89" s="2"/>
      <c r="B89" s="2"/>
      <c r="I89" s="2" t="str">
        <f t="shared" si="1"/>
        <v>Yes</v>
      </c>
    </row>
    <row r="90" ht="15.75" customHeight="1">
      <c r="A90" s="2"/>
      <c r="B90" s="2"/>
      <c r="I90" s="2" t="str">
        <f t="shared" si="1"/>
        <v>Yes</v>
      </c>
    </row>
    <row r="91" ht="15.75" customHeight="1">
      <c r="A91" s="2"/>
      <c r="B91" s="2"/>
      <c r="I91" s="2" t="str">
        <f t="shared" si="1"/>
        <v>Yes</v>
      </c>
    </row>
    <row r="92" ht="15.75" customHeight="1">
      <c r="A92" s="2"/>
      <c r="B92" s="2"/>
      <c r="I92" s="2" t="str">
        <f t="shared" si="1"/>
        <v>Yes</v>
      </c>
    </row>
    <row r="93" ht="15.75" customHeight="1">
      <c r="A93" s="2"/>
      <c r="B93" s="2"/>
      <c r="I93" s="2" t="str">
        <f t="shared" si="1"/>
        <v>Yes</v>
      </c>
    </row>
    <row r="94" ht="15.75" customHeight="1">
      <c r="A94" s="2"/>
      <c r="B94" s="2"/>
      <c r="I94" s="2" t="str">
        <f t="shared" si="1"/>
        <v>Yes</v>
      </c>
    </row>
    <row r="95" ht="15.75" customHeight="1">
      <c r="A95" s="2"/>
      <c r="B95" s="2"/>
      <c r="I95" s="2" t="str">
        <f t="shared" si="1"/>
        <v>Yes</v>
      </c>
    </row>
    <row r="96" ht="15.75" customHeight="1">
      <c r="A96" s="2"/>
      <c r="B96" s="2"/>
      <c r="I96" s="2" t="str">
        <f t="shared" si="1"/>
        <v>Yes</v>
      </c>
    </row>
    <row r="97" ht="15.75" customHeight="1">
      <c r="A97" s="2"/>
      <c r="B97" s="2"/>
      <c r="I97" s="2" t="str">
        <f t="shared" si="1"/>
        <v>Yes</v>
      </c>
    </row>
    <row r="98" ht="15.75" customHeight="1">
      <c r="A98" s="2"/>
      <c r="B98" s="2"/>
      <c r="I98" s="2" t="str">
        <f t="shared" si="1"/>
        <v>Yes</v>
      </c>
    </row>
    <row r="99" ht="15.75" customHeight="1">
      <c r="A99" s="2"/>
      <c r="B99" s="2"/>
      <c r="I99" s="2" t="str">
        <f t="shared" si="1"/>
        <v>Yes</v>
      </c>
    </row>
    <row r="100" ht="15.75" customHeight="1">
      <c r="A100" s="2"/>
      <c r="B100" s="2"/>
      <c r="I100" s="2" t="str">
        <f t="shared" si="1"/>
        <v>Yes</v>
      </c>
    </row>
    <row r="101" ht="15.75" customHeight="1">
      <c r="A101" s="2"/>
      <c r="B101" s="2"/>
      <c r="I101" s="2" t="str">
        <f t="shared" si="1"/>
        <v>Yes</v>
      </c>
    </row>
    <row r="102" ht="15.75" customHeight="1">
      <c r="A102" s="2"/>
      <c r="B102" s="2"/>
      <c r="I102" s="2" t="str">
        <f t="shared" si="1"/>
        <v>Yes</v>
      </c>
    </row>
    <row r="103" ht="15.75" customHeight="1">
      <c r="A103" s="2"/>
      <c r="B103" s="2"/>
      <c r="I103" s="2" t="str">
        <f t="shared" si="1"/>
        <v>Yes</v>
      </c>
    </row>
    <row r="104" ht="15.75" customHeight="1">
      <c r="A104" s="2"/>
      <c r="B104" s="2"/>
      <c r="I104" s="2" t="str">
        <f t="shared" si="1"/>
        <v>Yes</v>
      </c>
    </row>
    <row r="105" ht="15.75" customHeight="1">
      <c r="A105" s="2"/>
      <c r="B105" s="2"/>
      <c r="I105" s="2" t="str">
        <f t="shared" si="1"/>
        <v>Yes</v>
      </c>
    </row>
    <row r="106" ht="15.75" customHeight="1">
      <c r="A106" s="2"/>
      <c r="B106" s="2"/>
      <c r="I106" s="2" t="str">
        <f t="shared" si="1"/>
        <v>Yes</v>
      </c>
    </row>
    <row r="107" ht="15.75" customHeight="1">
      <c r="A107" s="2"/>
      <c r="B107" s="2"/>
      <c r="I107" s="2" t="str">
        <f t="shared" si="1"/>
        <v>Yes</v>
      </c>
    </row>
    <row r="108" ht="15.75" customHeight="1">
      <c r="A108" s="2"/>
      <c r="B108" s="2"/>
      <c r="I108" s="2" t="str">
        <f t="shared" si="1"/>
        <v>Yes</v>
      </c>
    </row>
    <row r="109" ht="15.75" customHeight="1">
      <c r="A109" s="2"/>
      <c r="B109" s="2"/>
      <c r="I109" s="2" t="str">
        <f t="shared" si="1"/>
        <v>Yes</v>
      </c>
    </row>
    <row r="110" ht="15.75" customHeight="1">
      <c r="A110" s="2"/>
      <c r="B110" s="2"/>
      <c r="I110" s="2" t="str">
        <f t="shared" si="1"/>
        <v>Yes</v>
      </c>
    </row>
    <row r="111" ht="15.75" customHeight="1">
      <c r="A111" s="2"/>
      <c r="B111" s="2"/>
      <c r="I111" s="2" t="str">
        <f t="shared" si="1"/>
        <v>Yes</v>
      </c>
    </row>
    <row r="112" ht="15.75" customHeight="1">
      <c r="A112" s="2"/>
      <c r="B112" s="2"/>
      <c r="I112" s="2" t="str">
        <f t="shared" si="1"/>
        <v>Yes</v>
      </c>
    </row>
    <row r="113" ht="15.75" customHeight="1">
      <c r="A113" s="2"/>
      <c r="B113" s="2"/>
      <c r="I113" s="2" t="str">
        <f t="shared" si="1"/>
        <v>Yes</v>
      </c>
    </row>
    <row r="114" ht="15.75" customHeight="1">
      <c r="A114" s="2"/>
      <c r="B114" s="2"/>
      <c r="I114" s="2" t="str">
        <f t="shared" si="1"/>
        <v>Yes</v>
      </c>
    </row>
    <row r="115" ht="15.75" customHeight="1">
      <c r="A115" s="2"/>
      <c r="B115" s="2"/>
      <c r="I115" s="2" t="str">
        <f t="shared" si="1"/>
        <v>Yes</v>
      </c>
    </row>
    <row r="116" ht="15.75" customHeight="1">
      <c r="A116" s="2"/>
      <c r="B116" s="2"/>
      <c r="I116" s="2" t="str">
        <f t="shared" si="1"/>
        <v>Yes</v>
      </c>
    </row>
    <row r="117" ht="15.75" customHeight="1">
      <c r="A117" s="2"/>
      <c r="B117" s="2"/>
      <c r="I117" s="2" t="str">
        <f t="shared" si="1"/>
        <v>Yes</v>
      </c>
    </row>
    <row r="118" ht="15.75" customHeight="1">
      <c r="A118" s="2"/>
      <c r="B118" s="2"/>
      <c r="I118" s="2" t="str">
        <f t="shared" si="1"/>
        <v>Yes</v>
      </c>
    </row>
    <row r="119" ht="15.75" customHeight="1">
      <c r="A119" s="2"/>
      <c r="B119" s="2"/>
      <c r="I119" s="2" t="str">
        <f t="shared" si="1"/>
        <v>Yes</v>
      </c>
    </row>
    <row r="120" ht="15.75" customHeight="1">
      <c r="A120" s="2"/>
      <c r="B120" s="2"/>
      <c r="I120" s="2" t="str">
        <f t="shared" si="1"/>
        <v>Yes</v>
      </c>
    </row>
    <row r="121" ht="15.75" customHeight="1">
      <c r="A121" s="2"/>
      <c r="B121" s="2"/>
      <c r="I121" s="2" t="str">
        <f t="shared" si="1"/>
        <v>Yes</v>
      </c>
    </row>
    <row r="122" ht="15.75" customHeight="1">
      <c r="A122" s="2"/>
      <c r="B122" s="2"/>
      <c r="I122" s="2" t="str">
        <f t="shared" si="1"/>
        <v>Yes</v>
      </c>
    </row>
    <row r="123" ht="15.75" customHeight="1">
      <c r="A123" s="2"/>
      <c r="B123" s="2"/>
      <c r="I123" s="2" t="str">
        <f t="shared" si="1"/>
        <v>Yes</v>
      </c>
    </row>
    <row r="124" ht="15.75" customHeight="1">
      <c r="A124" s="2"/>
      <c r="B124" s="2"/>
      <c r="I124" s="2" t="str">
        <f t="shared" si="1"/>
        <v>Yes</v>
      </c>
    </row>
    <row r="125" ht="15.75" customHeight="1">
      <c r="A125" s="2"/>
      <c r="B125" s="2"/>
      <c r="I125" s="2" t="str">
        <f t="shared" si="1"/>
        <v>Yes</v>
      </c>
    </row>
    <row r="126" ht="15.75" customHeight="1">
      <c r="A126" s="2"/>
      <c r="B126" s="2"/>
      <c r="I126" s="2" t="str">
        <f t="shared" si="1"/>
        <v>Yes</v>
      </c>
    </row>
    <row r="127" ht="15.75" customHeight="1">
      <c r="A127" s="2"/>
      <c r="B127" s="2"/>
      <c r="I127" s="2" t="str">
        <f t="shared" si="1"/>
        <v>Yes</v>
      </c>
    </row>
    <row r="128" ht="15.75" customHeight="1">
      <c r="A128" s="2"/>
      <c r="B128" s="2"/>
      <c r="I128" s="2" t="str">
        <f t="shared" si="1"/>
        <v>Yes</v>
      </c>
    </row>
    <row r="129" ht="15.75" customHeight="1">
      <c r="A129" s="2"/>
      <c r="B129" s="2"/>
      <c r="I129" s="2" t="str">
        <f t="shared" si="1"/>
        <v>Yes</v>
      </c>
    </row>
    <row r="130" ht="15.75" customHeight="1">
      <c r="A130" s="2"/>
      <c r="B130" s="2"/>
      <c r="I130" s="2" t="str">
        <f t="shared" si="1"/>
        <v>Yes</v>
      </c>
    </row>
    <row r="131" ht="15.75" customHeight="1">
      <c r="A131" s="2"/>
      <c r="B131" s="2"/>
      <c r="I131" s="2" t="str">
        <f t="shared" si="1"/>
        <v>Yes</v>
      </c>
    </row>
    <row r="132" ht="15.75" customHeight="1">
      <c r="A132" s="2"/>
      <c r="B132" s="2"/>
      <c r="I132" s="2" t="str">
        <f t="shared" si="1"/>
        <v>Yes</v>
      </c>
    </row>
    <row r="133" ht="15.75" customHeight="1">
      <c r="A133" s="2"/>
      <c r="B133" s="2"/>
      <c r="I133" s="2" t="str">
        <f t="shared" si="1"/>
        <v>Yes</v>
      </c>
    </row>
    <row r="134" ht="15.75" customHeight="1">
      <c r="A134" s="2"/>
      <c r="B134" s="2"/>
      <c r="I134" s="2" t="str">
        <f t="shared" si="1"/>
        <v>Yes</v>
      </c>
    </row>
    <row r="135" ht="15.75" customHeight="1">
      <c r="A135" s="2"/>
      <c r="B135" s="2"/>
      <c r="I135" s="2" t="str">
        <f t="shared" si="1"/>
        <v>Yes</v>
      </c>
    </row>
    <row r="136" ht="15.75" customHeight="1">
      <c r="A136" s="2"/>
      <c r="B136" s="2"/>
      <c r="I136" s="2" t="str">
        <f t="shared" si="1"/>
        <v>Yes</v>
      </c>
    </row>
    <row r="137" ht="15.75" customHeight="1">
      <c r="A137" s="2"/>
      <c r="B137" s="2"/>
      <c r="I137" s="2" t="str">
        <f t="shared" si="1"/>
        <v>Yes</v>
      </c>
    </row>
    <row r="138" ht="15.75" customHeight="1">
      <c r="A138" s="2"/>
      <c r="B138" s="2"/>
      <c r="I138" s="2" t="str">
        <f t="shared" si="1"/>
        <v>Yes</v>
      </c>
    </row>
    <row r="139" ht="15.75" customHeight="1">
      <c r="A139" s="2"/>
      <c r="B139" s="2"/>
      <c r="I139" s="2" t="str">
        <f t="shared" si="1"/>
        <v>Yes</v>
      </c>
    </row>
    <row r="140" ht="15.75" customHeight="1">
      <c r="A140" s="2"/>
      <c r="B140" s="2"/>
      <c r="I140" s="2" t="str">
        <f t="shared" si="1"/>
        <v>Yes</v>
      </c>
    </row>
    <row r="141" ht="15.75" customHeight="1">
      <c r="A141" s="2"/>
      <c r="B141" s="2"/>
      <c r="I141" s="2" t="str">
        <f t="shared" si="1"/>
        <v>Yes</v>
      </c>
    </row>
    <row r="142" ht="15.75" customHeight="1">
      <c r="A142" s="2"/>
      <c r="B142" s="2"/>
      <c r="I142" s="2" t="str">
        <f t="shared" si="1"/>
        <v>Yes</v>
      </c>
    </row>
    <row r="143" ht="15.75" customHeight="1">
      <c r="A143" s="2"/>
      <c r="B143" s="2"/>
      <c r="I143" s="2" t="str">
        <f t="shared" si="1"/>
        <v>Yes</v>
      </c>
    </row>
    <row r="144" ht="15.75" customHeight="1">
      <c r="A144" s="2"/>
      <c r="B144" s="2"/>
      <c r="I144" s="2" t="str">
        <f t="shared" si="1"/>
        <v>Yes</v>
      </c>
    </row>
    <row r="145" ht="15.75" customHeight="1">
      <c r="A145" s="2"/>
      <c r="B145" s="2"/>
      <c r="I145" s="2" t="str">
        <f t="shared" si="1"/>
        <v>Yes</v>
      </c>
    </row>
    <row r="146" ht="15.75" customHeight="1">
      <c r="A146" s="2"/>
      <c r="B146" s="2"/>
      <c r="I146" s="2" t="str">
        <f t="shared" si="1"/>
        <v>Yes</v>
      </c>
    </row>
    <row r="147" ht="15.75" customHeight="1">
      <c r="A147" s="2"/>
      <c r="B147" s="2"/>
      <c r="I147" s="2" t="str">
        <f t="shared" si="1"/>
        <v>Yes</v>
      </c>
    </row>
    <row r="148" ht="15.75" customHeight="1">
      <c r="A148" s="2"/>
      <c r="B148" s="2"/>
      <c r="I148" s="2" t="str">
        <f t="shared" si="1"/>
        <v>Yes</v>
      </c>
    </row>
    <row r="149" ht="15.75" customHeight="1">
      <c r="A149" s="2"/>
      <c r="B149" s="2"/>
      <c r="I149" s="2" t="str">
        <f t="shared" si="1"/>
        <v>Yes</v>
      </c>
    </row>
    <row r="150" ht="15.75" customHeight="1">
      <c r="A150" s="2"/>
      <c r="B150" s="2"/>
      <c r="I150" s="2" t="str">
        <f t="shared" si="1"/>
        <v>Yes</v>
      </c>
    </row>
    <row r="151" ht="15.75" customHeight="1">
      <c r="A151" s="2"/>
      <c r="B151" s="2"/>
      <c r="I151" s="2" t="str">
        <f t="shared" si="1"/>
        <v>Yes</v>
      </c>
    </row>
    <row r="152" ht="15.75" customHeight="1">
      <c r="A152" s="2"/>
      <c r="B152" s="2"/>
      <c r="I152" s="2" t="str">
        <f t="shared" si="1"/>
        <v>Yes</v>
      </c>
    </row>
    <row r="153" ht="15.75" customHeight="1">
      <c r="A153" s="2"/>
      <c r="B153" s="2"/>
      <c r="I153" s="2" t="str">
        <f t="shared" si="1"/>
        <v>Yes</v>
      </c>
    </row>
    <row r="154" ht="15.75" customHeight="1">
      <c r="A154" s="2"/>
      <c r="B154" s="2"/>
      <c r="I154" s="2" t="str">
        <f t="shared" si="1"/>
        <v>Yes</v>
      </c>
    </row>
    <row r="155" ht="15.75" customHeight="1">
      <c r="A155" s="2"/>
      <c r="B155" s="2"/>
      <c r="I155" s="2" t="str">
        <f t="shared" si="1"/>
        <v>Yes</v>
      </c>
    </row>
    <row r="156" ht="15.75" customHeight="1">
      <c r="A156" s="2"/>
      <c r="B156" s="2"/>
      <c r="I156" s="2" t="str">
        <f t="shared" si="1"/>
        <v>Yes</v>
      </c>
    </row>
    <row r="157" ht="15.75" customHeight="1">
      <c r="A157" s="2"/>
      <c r="B157" s="2"/>
      <c r="I157" s="2" t="str">
        <f t="shared" si="1"/>
        <v>Yes</v>
      </c>
    </row>
    <row r="158" ht="15.75" customHeight="1">
      <c r="A158" s="2"/>
      <c r="B158" s="2"/>
      <c r="I158" s="2" t="str">
        <f t="shared" si="1"/>
        <v>Yes</v>
      </c>
    </row>
    <row r="159" ht="15.75" customHeight="1">
      <c r="A159" s="2"/>
      <c r="B159" s="2"/>
      <c r="I159" s="2" t="str">
        <f t="shared" si="1"/>
        <v>Yes</v>
      </c>
    </row>
    <row r="160" ht="15.75" customHeight="1">
      <c r="A160" s="2"/>
      <c r="B160" s="2"/>
      <c r="I160" s="2" t="str">
        <f t="shared" si="1"/>
        <v>Yes</v>
      </c>
    </row>
    <row r="161" ht="15.75" customHeight="1">
      <c r="A161" s="2"/>
      <c r="B161" s="2"/>
      <c r="I161" s="2" t="str">
        <f t="shared" si="1"/>
        <v>Yes</v>
      </c>
    </row>
    <row r="162" ht="15.75" customHeight="1">
      <c r="A162" s="2"/>
      <c r="B162" s="2"/>
      <c r="I162" s="2" t="str">
        <f t="shared" si="1"/>
        <v>Yes</v>
      </c>
    </row>
    <row r="163" ht="15.75" customHeight="1">
      <c r="A163" s="2"/>
      <c r="B163" s="2"/>
      <c r="I163" s="2" t="str">
        <f t="shared" si="1"/>
        <v>Yes</v>
      </c>
    </row>
    <row r="164" ht="15.75" customHeight="1">
      <c r="A164" s="2"/>
      <c r="B164" s="2"/>
      <c r="I164" s="2" t="str">
        <f t="shared" si="1"/>
        <v>Yes</v>
      </c>
    </row>
    <row r="165" ht="15.75" customHeight="1">
      <c r="A165" s="2"/>
      <c r="B165" s="2"/>
      <c r="I165" s="2" t="str">
        <f t="shared" si="1"/>
        <v>Yes</v>
      </c>
    </row>
    <row r="166" ht="15.75" customHeight="1">
      <c r="A166" s="2"/>
      <c r="B166" s="2"/>
      <c r="I166" s="2" t="str">
        <f t="shared" si="1"/>
        <v>Yes</v>
      </c>
    </row>
    <row r="167" ht="15.75" customHeight="1">
      <c r="A167" s="2"/>
      <c r="B167" s="2"/>
      <c r="I167" s="2" t="str">
        <f t="shared" si="1"/>
        <v>Yes</v>
      </c>
    </row>
    <row r="168" ht="15.75" customHeight="1">
      <c r="A168" s="2"/>
      <c r="B168" s="2"/>
      <c r="I168" s="2" t="str">
        <f t="shared" si="1"/>
        <v>Yes</v>
      </c>
    </row>
    <row r="169" ht="15.75" customHeight="1">
      <c r="A169" s="2"/>
      <c r="B169" s="2"/>
      <c r="I169" s="2" t="str">
        <f t="shared" si="1"/>
        <v>Yes</v>
      </c>
    </row>
    <row r="170" ht="15.75" customHeight="1">
      <c r="A170" s="2"/>
      <c r="B170" s="2"/>
      <c r="I170" s="2" t="str">
        <f t="shared" si="1"/>
        <v>Yes</v>
      </c>
    </row>
    <row r="171" ht="15.75" customHeight="1">
      <c r="A171" s="2"/>
      <c r="B171" s="2"/>
      <c r="I171" s="2" t="str">
        <f t="shared" si="1"/>
        <v>Yes</v>
      </c>
    </row>
    <row r="172" ht="15.75" customHeight="1">
      <c r="A172" s="2"/>
      <c r="B172" s="2"/>
      <c r="I172" s="2" t="str">
        <f t="shared" si="1"/>
        <v>Yes</v>
      </c>
    </row>
    <row r="173" ht="15.75" customHeight="1">
      <c r="A173" s="2"/>
      <c r="B173" s="2"/>
      <c r="I173" s="2" t="str">
        <f t="shared" si="1"/>
        <v>Yes</v>
      </c>
    </row>
    <row r="174" ht="15.75" customHeight="1">
      <c r="A174" s="2"/>
      <c r="B174" s="2"/>
      <c r="I174" s="2" t="str">
        <f t="shared" si="1"/>
        <v>Yes</v>
      </c>
    </row>
    <row r="175" ht="15.75" customHeight="1">
      <c r="A175" s="2"/>
      <c r="B175" s="2"/>
      <c r="I175" s="2" t="str">
        <f t="shared" si="1"/>
        <v>Yes</v>
      </c>
    </row>
    <row r="176" ht="15.75" customHeight="1">
      <c r="A176" s="2"/>
      <c r="B176" s="2"/>
      <c r="I176" s="2" t="str">
        <f t="shared" si="1"/>
        <v>Yes</v>
      </c>
    </row>
    <row r="177" ht="15.75" customHeight="1">
      <c r="A177" s="2"/>
      <c r="B177" s="2"/>
      <c r="I177" s="2" t="str">
        <f t="shared" si="1"/>
        <v>Yes</v>
      </c>
    </row>
    <row r="178" ht="15.75" customHeight="1">
      <c r="A178" s="2"/>
      <c r="B178" s="2"/>
      <c r="I178" s="2" t="str">
        <f t="shared" si="1"/>
        <v>Yes</v>
      </c>
    </row>
    <row r="179" ht="15.75" customHeight="1">
      <c r="A179" s="2"/>
      <c r="B179" s="2"/>
      <c r="I179" s="2" t="str">
        <f t="shared" si="1"/>
        <v>Yes</v>
      </c>
    </row>
    <row r="180" ht="15.75" customHeight="1">
      <c r="A180" s="2"/>
      <c r="B180" s="2"/>
      <c r="I180" s="2" t="str">
        <f t="shared" si="1"/>
        <v>Yes</v>
      </c>
    </row>
    <row r="181" ht="15.75" customHeight="1">
      <c r="A181" s="2"/>
      <c r="B181" s="2"/>
      <c r="I181" s="2" t="str">
        <f t="shared" si="1"/>
        <v>Yes</v>
      </c>
    </row>
    <row r="182" ht="15.75" customHeight="1">
      <c r="A182" s="2"/>
      <c r="B182" s="2"/>
      <c r="I182" s="2" t="str">
        <f t="shared" si="1"/>
        <v>Yes</v>
      </c>
    </row>
    <row r="183" ht="15.75" customHeight="1">
      <c r="A183" s="2"/>
      <c r="B183" s="2"/>
      <c r="I183" s="2" t="str">
        <f t="shared" si="1"/>
        <v>Yes</v>
      </c>
    </row>
    <row r="184" ht="15.75" customHeight="1">
      <c r="A184" s="2"/>
      <c r="B184" s="2"/>
      <c r="I184" s="2" t="str">
        <f t="shared" si="1"/>
        <v>Yes</v>
      </c>
    </row>
    <row r="185" ht="15.75" customHeight="1">
      <c r="A185" s="2"/>
      <c r="B185" s="2"/>
      <c r="I185" s="2" t="str">
        <f t="shared" si="1"/>
        <v>Yes</v>
      </c>
    </row>
    <row r="186" ht="15.75" customHeight="1">
      <c r="A186" s="2"/>
      <c r="B186" s="2"/>
      <c r="I186" s="2" t="str">
        <f t="shared" si="1"/>
        <v>Yes</v>
      </c>
    </row>
    <row r="187" ht="15.75" customHeight="1">
      <c r="A187" s="2"/>
      <c r="B187" s="2"/>
      <c r="I187" s="2" t="str">
        <f t="shared" si="1"/>
        <v>Yes</v>
      </c>
    </row>
    <row r="188" ht="15.75" customHeight="1">
      <c r="A188" s="2"/>
      <c r="B188" s="2"/>
      <c r="I188" s="2" t="str">
        <f t="shared" si="1"/>
        <v>Yes</v>
      </c>
    </row>
    <row r="189" ht="15.75" customHeight="1">
      <c r="A189" s="2"/>
      <c r="B189" s="2"/>
      <c r="I189" s="2" t="str">
        <f t="shared" si="1"/>
        <v>Yes</v>
      </c>
    </row>
    <row r="190" ht="15.75" customHeight="1">
      <c r="A190" s="2"/>
      <c r="B190" s="2"/>
      <c r="I190" s="2" t="str">
        <f t="shared" si="1"/>
        <v>Yes</v>
      </c>
    </row>
    <row r="191" ht="15.75" customHeight="1">
      <c r="A191" s="2"/>
      <c r="B191" s="2"/>
      <c r="I191" s="2" t="str">
        <f t="shared" si="1"/>
        <v>Yes</v>
      </c>
    </row>
    <row r="192" ht="15.75" customHeight="1">
      <c r="A192" s="2"/>
      <c r="B192" s="2"/>
      <c r="I192" s="2" t="str">
        <f t="shared" si="1"/>
        <v>Yes</v>
      </c>
    </row>
    <row r="193" ht="15.75" customHeight="1">
      <c r="A193" s="2"/>
      <c r="B193" s="2"/>
      <c r="I193" s="2" t="str">
        <f t="shared" si="1"/>
        <v>Yes</v>
      </c>
    </row>
    <row r="194" ht="15.75" customHeight="1">
      <c r="A194" s="2"/>
      <c r="B194" s="2"/>
      <c r="I194" s="2" t="str">
        <f t="shared" si="1"/>
        <v>Yes</v>
      </c>
    </row>
    <row r="195" ht="15.75" customHeight="1">
      <c r="A195" s="2"/>
      <c r="B195" s="2"/>
      <c r="I195" s="2" t="str">
        <f t="shared" si="1"/>
        <v>Yes</v>
      </c>
    </row>
    <row r="196" ht="15.75" customHeight="1">
      <c r="A196" s="2"/>
      <c r="B196" s="2"/>
      <c r="I196" s="2" t="str">
        <f t="shared" si="1"/>
        <v>Yes</v>
      </c>
    </row>
    <row r="197" ht="15.75" customHeight="1">
      <c r="A197" s="2"/>
      <c r="B197" s="2"/>
      <c r="I197" s="2" t="str">
        <f t="shared" si="1"/>
        <v>Yes</v>
      </c>
    </row>
    <row r="198" ht="15.75" customHeight="1">
      <c r="A198" s="2"/>
      <c r="B198" s="2"/>
      <c r="I198" s="2" t="str">
        <f t="shared" si="1"/>
        <v>Yes</v>
      </c>
    </row>
    <row r="199" ht="15.75" customHeight="1">
      <c r="A199" s="2"/>
      <c r="B199" s="2"/>
      <c r="I199" s="2" t="str">
        <f t="shared" si="1"/>
        <v>Yes</v>
      </c>
    </row>
    <row r="200" ht="15.75" customHeight="1">
      <c r="A200" s="2"/>
      <c r="B200" s="2"/>
      <c r="I200" s="2" t="str">
        <f t="shared" si="1"/>
        <v>Yes</v>
      </c>
    </row>
    <row r="201" ht="15.75" customHeight="1">
      <c r="A201" s="2"/>
      <c r="B201" s="2"/>
      <c r="I201" s="2" t="str">
        <f t="shared" si="1"/>
        <v>Yes</v>
      </c>
    </row>
    <row r="202" ht="15.75" customHeight="1">
      <c r="A202" s="2"/>
      <c r="B202" s="2"/>
      <c r="I202" s="2" t="str">
        <f t="shared" si="1"/>
        <v>Yes</v>
      </c>
    </row>
    <row r="203" ht="15.75" customHeight="1">
      <c r="A203" s="2"/>
      <c r="B203" s="2"/>
      <c r="I203" s="2" t="str">
        <f t="shared" si="1"/>
        <v>Yes</v>
      </c>
    </row>
    <row r="204" ht="15.75" customHeight="1">
      <c r="A204" s="2"/>
      <c r="B204" s="2"/>
      <c r="I204" s="2" t="str">
        <f t="shared" si="1"/>
        <v>Yes</v>
      </c>
    </row>
    <row r="205" ht="15.75" customHeight="1">
      <c r="A205" s="2"/>
      <c r="B205" s="2"/>
      <c r="I205" s="2" t="str">
        <f t="shared" si="1"/>
        <v>Yes</v>
      </c>
    </row>
    <row r="206" ht="15.75" customHeight="1">
      <c r="A206" s="2"/>
      <c r="B206" s="2"/>
      <c r="I206" s="2" t="str">
        <f t="shared" si="1"/>
        <v>Yes</v>
      </c>
    </row>
    <row r="207" ht="15.75" customHeight="1">
      <c r="A207" s="2"/>
      <c r="B207" s="2"/>
      <c r="I207" s="2" t="str">
        <f t="shared" si="1"/>
        <v>Yes</v>
      </c>
    </row>
    <row r="208" ht="15.75" customHeight="1">
      <c r="A208" s="2"/>
      <c r="B208" s="2"/>
      <c r="I208" s="2" t="str">
        <f t="shared" si="1"/>
        <v>Yes</v>
      </c>
    </row>
    <row r="209" ht="15.75" customHeight="1">
      <c r="A209" s="2"/>
      <c r="B209" s="2"/>
      <c r="I209" s="2" t="str">
        <f t="shared" si="1"/>
        <v>Yes</v>
      </c>
    </row>
    <row r="210" ht="15.75" customHeight="1">
      <c r="A210" s="2"/>
      <c r="B210" s="2"/>
      <c r="I210" s="2" t="str">
        <f t="shared" si="1"/>
        <v>Yes</v>
      </c>
    </row>
    <row r="211" ht="15.75" customHeight="1">
      <c r="A211" s="2"/>
      <c r="B211" s="2"/>
      <c r="I211" s="2" t="str">
        <f t="shared" si="1"/>
        <v>Yes</v>
      </c>
    </row>
    <row r="212" ht="15.75" customHeight="1">
      <c r="A212" s="2"/>
      <c r="B212" s="2"/>
      <c r="I212" s="2" t="str">
        <f t="shared" si="1"/>
        <v>Yes</v>
      </c>
    </row>
    <row r="213" ht="15.75" customHeight="1">
      <c r="A213" s="2"/>
      <c r="B213" s="2"/>
      <c r="I213" s="2" t="str">
        <f t="shared" si="1"/>
        <v>Yes</v>
      </c>
    </row>
    <row r="214" ht="15.75" customHeight="1">
      <c r="A214" s="2"/>
      <c r="B214" s="2"/>
      <c r="I214" s="2" t="str">
        <f t="shared" si="1"/>
        <v>Yes</v>
      </c>
    </row>
    <row r="215" ht="15.75" customHeight="1">
      <c r="A215" s="2"/>
      <c r="B215" s="2"/>
      <c r="I215" s="2" t="str">
        <f t="shared" si="1"/>
        <v>Yes</v>
      </c>
    </row>
    <row r="216" ht="15.75" customHeight="1">
      <c r="A216" s="2"/>
      <c r="B216" s="2"/>
      <c r="I216" s="2" t="str">
        <f t="shared" si="1"/>
        <v>Yes</v>
      </c>
    </row>
    <row r="217" ht="15.75" customHeight="1">
      <c r="A217" s="2"/>
      <c r="B217" s="2"/>
      <c r="I217" s="2" t="str">
        <f t="shared" si="1"/>
        <v>Yes</v>
      </c>
    </row>
    <row r="218" ht="15.75" customHeight="1">
      <c r="A218" s="2"/>
      <c r="B218" s="2"/>
      <c r="I218" s="2" t="str">
        <f t="shared" si="1"/>
        <v>Yes</v>
      </c>
    </row>
    <row r="219" ht="15.75" customHeight="1">
      <c r="A219" s="2"/>
      <c r="B219" s="2"/>
      <c r="I219" s="2" t="str">
        <f t="shared" si="1"/>
        <v>Yes</v>
      </c>
    </row>
    <row r="220" ht="15.75" customHeight="1">
      <c r="A220" s="2"/>
      <c r="B220" s="2"/>
      <c r="I220" s="2" t="str">
        <f t="shared" si="1"/>
        <v>Yes</v>
      </c>
    </row>
    <row r="221" ht="15.75" customHeight="1">
      <c r="A221" s="2"/>
      <c r="B221" s="2"/>
      <c r="I221" s="2" t="str">
        <f t="shared" si="1"/>
        <v>Yes</v>
      </c>
    </row>
    <row r="222" ht="15.75" customHeight="1">
      <c r="A222" s="2"/>
      <c r="B222" s="2"/>
      <c r="I222" s="2" t="str">
        <f t="shared" si="1"/>
        <v>Yes</v>
      </c>
    </row>
    <row r="223" ht="15.75" customHeight="1">
      <c r="A223" s="2"/>
      <c r="B223" s="2"/>
      <c r="I223" s="2" t="str">
        <f t="shared" si="1"/>
        <v>Yes</v>
      </c>
    </row>
    <row r="224" ht="15.75" customHeight="1">
      <c r="A224" s="2"/>
      <c r="B224" s="2"/>
      <c r="I224" s="2" t="str">
        <f t="shared" si="1"/>
        <v>Yes</v>
      </c>
    </row>
    <row r="225" ht="15.75" customHeight="1">
      <c r="A225" s="2"/>
      <c r="B225" s="2"/>
      <c r="I225" s="2" t="str">
        <f t="shared" si="1"/>
        <v>Yes</v>
      </c>
    </row>
    <row r="226" ht="15.75" customHeight="1">
      <c r="A226" s="2"/>
      <c r="B226" s="2"/>
      <c r="I226" s="2" t="str">
        <f t="shared" si="1"/>
        <v>Yes</v>
      </c>
    </row>
    <row r="227" ht="15.75" customHeight="1">
      <c r="A227" s="2"/>
      <c r="B227" s="2"/>
      <c r="I227" s="2" t="str">
        <f t="shared" si="1"/>
        <v>Yes</v>
      </c>
    </row>
    <row r="228" ht="15.75" customHeight="1">
      <c r="A228" s="2"/>
      <c r="B228" s="2"/>
      <c r="I228" s="2" t="str">
        <f t="shared" si="1"/>
        <v>Yes</v>
      </c>
    </row>
    <row r="229" ht="15.75" customHeight="1">
      <c r="A229" s="2"/>
      <c r="B229" s="2"/>
      <c r="I229" s="2" t="str">
        <f t="shared" si="1"/>
        <v>Yes</v>
      </c>
    </row>
    <row r="230" ht="15.75" customHeight="1">
      <c r="A230" s="2"/>
      <c r="B230" s="2"/>
      <c r="I230" s="2" t="str">
        <f t="shared" si="1"/>
        <v>Yes</v>
      </c>
    </row>
    <row r="231" ht="15.75" customHeight="1">
      <c r="A231" s="2"/>
      <c r="B231" s="2"/>
      <c r="I231" s="2" t="str">
        <f t="shared" si="1"/>
        <v>Yes</v>
      </c>
    </row>
    <row r="232" ht="15.75" customHeight="1">
      <c r="A232" s="2"/>
      <c r="B232" s="2"/>
      <c r="I232" s="2" t="str">
        <f t="shared" si="1"/>
        <v>Yes</v>
      </c>
    </row>
    <row r="233" ht="15.75" customHeight="1">
      <c r="A233" s="2"/>
      <c r="B233" s="2"/>
      <c r="I233" s="2" t="str">
        <f t="shared" si="1"/>
        <v>Yes</v>
      </c>
    </row>
    <row r="234" ht="15.75" customHeight="1">
      <c r="A234" s="2"/>
      <c r="B234" s="2"/>
      <c r="I234" s="2" t="str">
        <f t="shared" si="1"/>
        <v>Yes</v>
      </c>
    </row>
    <row r="235" ht="15.75" customHeight="1">
      <c r="A235" s="2"/>
      <c r="B235" s="2"/>
      <c r="I235" s="2" t="str">
        <f t="shared" si="1"/>
        <v>Yes</v>
      </c>
    </row>
    <row r="236" ht="15.75" customHeight="1">
      <c r="A236" s="2"/>
      <c r="B236" s="2"/>
      <c r="I236" s="2" t="str">
        <f t="shared" si="1"/>
        <v>Yes</v>
      </c>
    </row>
    <row r="237" ht="15.75" customHeight="1">
      <c r="A237" s="2"/>
      <c r="B237" s="2"/>
      <c r="I237" s="2" t="str">
        <f t="shared" si="1"/>
        <v>Yes</v>
      </c>
    </row>
    <row r="238" ht="15.75" customHeight="1">
      <c r="A238" s="2"/>
      <c r="B238" s="2"/>
      <c r="I238" s="2" t="str">
        <f t="shared" si="1"/>
        <v>Yes</v>
      </c>
    </row>
    <row r="239" ht="15.75" customHeight="1">
      <c r="A239" s="2"/>
      <c r="B239" s="2"/>
      <c r="I239" s="2" t="str">
        <f t="shared" si="1"/>
        <v>Yes</v>
      </c>
    </row>
    <row r="240" ht="15.75" customHeight="1">
      <c r="A240" s="2"/>
      <c r="B240" s="2"/>
      <c r="I240" s="2" t="str">
        <f t="shared" si="1"/>
        <v>Yes</v>
      </c>
    </row>
    <row r="241" ht="15.75" customHeight="1">
      <c r="A241" s="2"/>
      <c r="B241" s="2"/>
      <c r="I241" s="2" t="str">
        <f t="shared" si="1"/>
        <v>Yes</v>
      </c>
    </row>
    <row r="242" ht="15.75" customHeight="1">
      <c r="A242" s="2"/>
      <c r="B242" s="2"/>
      <c r="I242" s="2" t="str">
        <f t="shared" si="1"/>
        <v>Yes</v>
      </c>
    </row>
    <row r="243" ht="15.75" customHeight="1">
      <c r="A243" s="2"/>
      <c r="B243" s="2"/>
      <c r="I243" s="2" t="str">
        <f t="shared" si="1"/>
        <v>Yes</v>
      </c>
    </row>
    <row r="244" ht="15.75" customHeight="1">
      <c r="A244" s="2"/>
      <c r="B244" s="2"/>
      <c r="I244" s="2" t="str">
        <f t="shared" si="1"/>
        <v>Yes</v>
      </c>
    </row>
    <row r="245" ht="15.75" customHeight="1">
      <c r="A245" s="2"/>
      <c r="B245" s="2"/>
      <c r="I245" s="2" t="str">
        <f t="shared" si="1"/>
        <v>Yes</v>
      </c>
    </row>
    <row r="246" ht="15.75" customHeight="1">
      <c r="A246" s="2"/>
      <c r="B246" s="2"/>
      <c r="I246" s="2" t="str">
        <f t="shared" si="1"/>
        <v>Yes</v>
      </c>
    </row>
    <row r="247" ht="15.75" customHeight="1">
      <c r="A247" s="2"/>
      <c r="B247" s="2"/>
      <c r="I247" s="2" t="str">
        <f t="shared" si="1"/>
        <v>Yes</v>
      </c>
    </row>
    <row r="248" ht="15.75" customHeight="1">
      <c r="A248" s="2"/>
      <c r="B248" s="2"/>
      <c r="I248" s="2" t="str">
        <f t="shared" si="1"/>
        <v>Yes</v>
      </c>
    </row>
    <row r="249" ht="15.75" customHeight="1">
      <c r="A249" s="2"/>
      <c r="B249" s="2"/>
      <c r="I249" s="2" t="str">
        <f t="shared" si="1"/>
        <v>Yes</v>
      </c>
    </row>
    <row r="250" ht="15.75" customHeight="1">
      <c r="A250" s="2"/>
      <c r="B250" s="2"/>
      <c r="I250" s="2" t="str">
        <f t="shared" si="1"/>
        <v>Yes</v>
      </c>
    </row>
    <row r="251" ht="15.75" customHeight="1">
      <c r="A251" s="2"/>
      <c r="B251" s="2"/>
      <c r="I251" s="2" t="str">
        <f t="shared" si="1"/>
        <v>Yes</v>
      </c>
    </row>
    <row r="252" ht="15.75" customHeight="1">
      <c r="A252" s="2"/>
      <c r="B252" s="2"/>
      <c r="I252" s="2" t="str">
        <f t="shared" si="1"/>
        <v>Yes</v>
      </c>
    </row>
    <row r="253" ht="15.75" customHeight="1">
      <c r="A253" s="2"/>
      <c r="B253" s="2"/>
      <c r="I253" s="2" t="str">
        <f t="shared" si="1"/>
        <v>Yes</v>
      </c>
    </row>
    <row r="254" ht="15.75" customHeight="1">
      <c r="A254" s="2"/>
      <c r="B254" s="2"/>
      <c r="I254" s="2" t="str">
        <f t="shared" si="1"/>
        <v>Yes</v>
      </c>
    </row>
    <row r="255" ht="15.75" customHeight="1">
      <c r="A255" s="2"/>
      <c r="B255" s="2"/>
      <c r="I255" s="2" t="str">
        <f t="shared" si="1"/>
        <v>Yes</v>
      </c>
    </row>
    <row r="256" ht="15.75" customHeight="1">
      <c r="A256" s="2"/>
      <c r="B256" s="2"/>
      <c r="I256" s="2" t="str">
        <f t="shared" si="1"/>
        <v>Yes</v>
      </c>
    </row>
    <row r="257" ht="15.75" customHeight="1">
      <c r="A257" s="2"/>
      <c r="B257" s="2"/>
      <c r="I257" s="2" t="str">
        <f t="shared" si="1"/>
        <v>Yes</v>
      </c>
    </row>
    <row r="258" ht="15.75" customHeight="1">
      <c r="A258" s="2"/>
      <c r="B258" s="2"/>
      <c r="I258" s="2" t="str">
        <f t="shared" si="1"/>
        <v>Yes</v>
      </c>
    </row>
    <row r="259" ht="15.75" customHeight="1">
      <c r="A259" s="2"/>
      <c r="B259" s="2"/>
      <c r="I259" s="2" t="str">
        <f t="shared" si="1"/>
        <v>Yes</v>
      </c>
    </row>
    <row r="260" ht="15.75" customHeight="1">
      <c r="A260" s="2"/>
      <c r="B260" s="2"/>
      <c r="I260" s="2" t="str">
        <f t="shared" si="1"/>
        <v>Yes</v>
      </c>
    </row>
    <row r="261" ht="15.75" customHeight="1">
      <c r="A261" s="2"/>
      <c r="B261" s="2"/>
      <c r="I261" s="2" t="str">
        <f t="shared" si="1"/>
        <v>Yes</v>
      </c>
    </row>
    <row r="262" ht="15.75" customHeight="1">
      <c r="A262" s="2"/>
      <c r="B262" s="2"/>
      <c r="I262" s="2" t="str">
        <f t="shared" si="1"/>
        <v>Yes</v>
      </c>
    </row>
    <row r="263" ht="15.75" customHeight="1">
      <c r="A263" s="2"/>
      <c r="B263" s="2"/>
      <c r="I263" s="2" t="str">
        <f t="shared" si="1"/>
        <v>Yes</v>
      </c>
    </row>
    <row r="264" ht="15.75" customHeight="1">
      <c r="A264" s="2"/>
      <c r="B264" s="2"/>
      <c r="I264" s="2" t="str">
        <f t="shared" si="1"/>
        <v>Yes</v>
      </c>
    </row>
    <row r="265" ht="15.75" customHeight="1">
      <c r="A265" s="2"/>
      <c r="B265" s="2"/>
      <c r="I265" s="2" t="str">
        <f t="shared" si="1"/>
        <v>Yes</v>
      </c>
    </row>
    <row r="266" ht="15.75" customHeight="1">
      <c r="A266" s="2"/>
      <c r="B266" s="2"/>
      <c r="I266" s="2" t="str">
        <f t="shared" si="1"/>
        <v>Yes</v>
      </c>
    </row>
    <row r="267" ht="15.75" customHeight="1">
      <c r="A267" s="2"/>
      <c r="B267" s="2"/>
      <c r="I267" s="2" t="str">
        <f t="shared" si="1"/>
        <v>Yes</v>
      </c>
    </row>
    <row r="268" ht="15.75" customHeight="1">
      <c r="A268" s="2"/>
      <c r="B268" s="2"/>
      <c r="I268" s="2" t="str">
        <f t="shared" si="1"/>
        <v>Yes</v>
      </c>
    </row>
    <row r="269" ht="15.75" customHeight="1">
      <c r="A269" s="2"/>
      <c r="B269" s="2"/>
      <c r="I269" s="2" t="str">
        <f t="shared" si="1"/>
        <v>Yes</v>
      </c>
    </row>
    <row r="270" ht="15.75" customHeight="1">
      <c r="A270" s="2"/>
      <c r="B270" s="2"/>
      <c r="I270" s="2" t="str">
        <f t="shared" si="1"/>
        <v>Yes</v>
      </c>
    </row>
    <row r="271" ht="15.75" customHeight="1">
      <c r="A271" s="2"/>
      <c r="B271" s="2"/>
      <c r="I271" s="2" t="str">
        <f t="shared" si="1"/>
        <v>Yes</v>
      </c>
    </row>
    <row r="272" ht="15.75" customHeight="1">
      <c r="A272" s="2"/>
      <c r="B272" s="2"/>
      <c r="I272" s="2" t="str">
        <f t="shared" si="1"/>
        <v>Yes</v>
      </c>
    </row>
    <row r="273" ht="15.75" customHeight="1">
      <c r="A273" s="2"/>
      <c r="B273" s="2"/>
      <c r="I273" s="2" t="str">
        <f t="shared" si="1"/>
        <v>Yes</v>
      </c>
    </row>
    <row r="274" ht="15.75" customHeight="1">
      <c r="A274" s="2"/>
      <c r="B274" s="2"/>
      <c r="I274" s="2" t="str">
        <f t="shared" si="1"/>
        <v>Yes</v>
      </c>
    </row>
    <row r="275" ht="15.75" customHeight="1">
      <c r="A275" s="2"/>
      <c r="B275" s="2"/>
      <c r="I275" s="2" t="str">
        <f t="shared" si="1"/>
        <v>Yes</v>
      </c>
    </row>
    <row r="276" ht="15.75" customHeight="1">
      <c r="A276" s="2"/>
      <c r="B276" s="2"/>
      <c r="I276" s="2" t="str">
        <f t="shared" si="1"/>
        <v>Yes</v>
      </c>
    </row>
    <row r="277" ht="15.75" customHeight="1">
      <c r="A277" s="2"/>
      <c r="B277" s="2"/>
      <c r="I277" s="2" t="str">
        <f t="shared" si="1"/>
        <v>Yes</v>
      </c>
    </row>
    <row r="278" ht="15.75" customHeight="1">
      <c r="A278" s="2"/>
      <c r="B278" s="2"/>
      <c r="I278" s="2" t="str">
        <f t="shared" si="1"/>
        <v>Yes</v>
      </c>
    </row>
    <row r="279" ht="15.75" customHeight="1">
      <c r="A279" s="2"/>
      <c r="B279" s="2"/>
      <c r="I279" s="2" t="str">
        <f t="shared" si="1"/>
        <v>Yes</v>
      </c>
    </row>
    <row r="280" ht="15.75" customHeight="1">
      <c r="A280" s="2"/>
      <c r="B280" s="2"/>
      <c r="I280" s="2" t="str">
        <f t="shared" si="1"/>
        <v>Yes</v>
      </c>
    </row>
    <row r="281" ht="15.75" customHeight="1">
      <c r="A281" s="2"/>
      <c r="B281" s="2"/>
      <c r="I281" s="2" t="str">
        <f t="shared" si="1"/>
        <v>Yes</v>
      </c>
    </row>
    <row r="282" ht="15.75" customHeight="1">
      <c r="A282" s="2"/>
      <c r="B282" s="2"/>
      <c r="I282" s="2" t="str">
        <f t="shared" si="1"/>
        <v>Yes</v>
      </c>
    </row>
    <row r="283" ht="15.75" customHeight="1">
      <c r="A283" s="2"/>
      <c r="B283" s="2"/>
      <c r="I283" s="2" t="str">
        <f t="shared" si="1"/>
        <v>Yes</v>
      </c>
    </row>
    <row r="284" ht="15.75" customHeight="1">
      <c r="A284" s="2"/>
      <c r="B284" s="2"/>
      <c r="I284" s="2" t="str">
        <f t="shared" si="1"/>
        <v>Yes</v>
      </c>
    </row>
    <row r="285" ht="15.75" customHeight="1">
      <c r="A285" s="2"/>
      <c r="B285" s="2"/>
      <c r="I285" s="2" t="str">
        <f t="shared" si="1"/>
        <v>Yes</v>
      </c>
    </row>
    <row r="286" ht="15.75" customHeight="1">
      <c r="A286" s="2"/>
      <c r="B286" s="2"/>
      <c r="I286" s="2" t="str">
        <f t="shared" si="1"/>
        <v>Yes</v>
      </c>
    </row>
    <row r="287" ht="15.75" customHeight="1">
      <c r="A287" s="2"/>
      <c r="B287" s="2"/>
      <c r="I287" s="2" t="str">
        <f t="shared" si="1"/>
        <v>Yes</v>
      </c>
    </row>
    <row r="288" ht="15.75" customHeight="1">
      <c r="A288" s="2"/>
      <c r="B288" s="2"/>
      <c r="I288" s="2" t="str">
        <f t="shared" si="1"/>
        <v>Yes</v>
      </c>
    </row>
    <row r="289" ht="15.75" customHeight="1">
      <c r="A289" s="2"/>
      <c r="B289" s="2"/>
      <c r="I289" s="2" t="str">
        <f t="shared" si="1"/>
        <v>Yes</v>
      </c>
    </row>
    <row r="290" ht="15.75" customHeight="1">
      <c r="A290" s="2"/>
      <c r="B290" s="2"/>
      <c r="I290" s="2" t="str">
        <f t="shared" si="1"/>
        <v>Yes</v>
      </c>
    </row>
    <row r="291" ht="15.75" customHeight="1">
      <c r="A291" s="2"/>
      <c r="B291" s="2"/>
      <c r="I291" s="2" t="str">
        <f t="shared" si="1"/>
        <v>Yes</v>
      </c>
    </row>
    <row r="292" ht="15.75" customHeight="1">
      <c r="A292" s="2"/>
      <c r="B292" s="2"/>
      <c r="I292" s="2" t="str">
        <f t="shared" si="1"/>
        <v>Yes</v>
      </c>
    </row>
    <row r="293" ht="15.75" customHeight="1">
      <c r="A293" s="2"/>
      <c r="B293" s="2"/>
      <c r="I293" s="2" t="str">
        <f t="shared" si="1"/>
        <v>Yes</v>
      </c>
    </row>
    <row r="294" ht="15.75" customHeight="1">
      <c r="A294" s="2"/>
      <c r="B294" s="2"/>
      <c r="I294" s="2" t="str">
        <f t="shared" si="1"/>
        <v>Yes</v>
      </c>
    </row>
    <row r="295" ht="15.75" customHeight="1">
      <c r="A295" s="2"/>
      <c r="B295" s="2"/>
      <c r="I295" s="2" t="str">
        <f t="shared" si="1"/>
        <v>Yes</v>
      </c>
    </row>
    <row r="296" ht="15.75" customHeight="1">
      <c r="A296" s="2"/>
      <c r="B296" s="2"/>
      <c r="I296" s="2" t="str">
        <f t="shared" si="1"/>
        <v>Yes</v>
      </c>
    </row>
    <row r="297" ht="15.75" customHeight="1">
      <c r="A297" s="2"/>
      <c r="B297" s="2"/>
      <c r="I297" s="2" t="str">
        <f t="shared" si="1"/>
        <v>Yes</v>
      </c>
    </row>
    <row r="298" ht="15.75" customHeight="1">
      <c r="A298" s="2"/>
      <c r="B298" s="2"/>
      <c r="I298" s="2" t="str">
        <f t="shared" si="1"/>
        <v>Yes</v>
      </c>
    </row>
    <row r="299" ht="15.75" customHeight="1">
      <c r="A299" s="2"/>
      <c r="B299" s="2"/>
      <c r="I299" s="2" t="str">
        <f t="shared" si="1"/>
        <v>Yes</v>
      </c>
    </row>
    <row r="300" ht="15.75" customHeight="1">
      <c r="A300" s="2"/>
      <c r="B300" s="2"/>
      <c r="I300" s="2" t="str">
        <f t="shared" si="1"/>
        <v>Yes</v>
      </c>
    </row>
    <row r="301" ht="15.75" customHeight="1">
      <c r="A301" s="2"/>
      <c r="B301" s="2"/>
      <c r="I301" s="2" t="str">
        <f t="shared" si="1"/>
        <v>Yes</v>
      </c>
    </row>
    <row r="302" ht="15.75" customHeight="1">
      <c r="A302" s="2"/>
      <c r="B302" s="2"/>
      <c r="I302" s="2" t="str">
        <f t="shared" si="1"/>
        <v>Yes</v>
      </c>
    </row>
    <row r="303" ht="15.75" customHeight="1">
      <c r="A303" s="2"/>
      <c r="B303" s="2"/>
      <c r="I303" s="2" t="str">
        <f t="shared" si="1"/>
        <v>Yes</v>
      </c>
    </row>
    <row r="304" ht="15.75" customHeight="1">
      <c r="A304" s="2"/>
      <c r="B304" s="2"/>
      <c r="I304" s="2" t="str">
        <f t="shared" si="1"/>
        <v>Yes</v>
      </c>
    </row>
    <row r="305" ht="15.75" customHeight="1">
      <c r="A305" s="2"/>
      <c r="B305" s="2"/>
      <c r="I305" s="2" t="str">
        <f t="shared" si="1"/>
        <v>Yes</v>
      </c>
    </row>
    <row r="306" ht="15.75" customHeight="1">
      <c r="A306" s="2"/>
      <c r="B306" s="2"/>
      <c r="I306" s="2" t="str">
        <f t="shared" si="1"/>
        <v>Yes</v>
      </c>
    </row>
    <row r="307" ht="15.75" customHeight="1">
      <c r="A307" s="2"/>
      <c r="B307" s="2"/>
      <c r="I307" s="2" t="str">
        <f t="shared" si="1"/>
        <v>Yes</v>
      </c>
    </row>
    <row r="308" ht="15.75" customHeight="1">
      <c r="A308" s="2"/>
      <c r="B308" s="2"/>
      <c r="I308" s="2" t="str">
        <f t="shared" si="1"/>
        <v>Yes</v>
      </c>
    </row>
    <row r="309" ht="15.75" customHeight="1">
      <c r="A309" s="2"/>
      <c r="B309" s="2"/>
      <c r="I309" s="2" t="str">
        <f t="shared" si="1"/>
        <v>Yes</v>
      </c>
    </row>
    <row r="310" ht="15.75" customHeight="1">
      <c r="A310" s="2"/>
      <c r="B310" s="2"/>
      <c r="I310" s="2" t="str">
        <f t="shared" si="1"/>
        <v>Yes</v>
      </c>
    </row>
    <row r="311" ht="15.75" customHeight="1">
      <c r="A311" s="2"/>
      <c r="B311" s="2"/>
      <c r="I311" s="2" t="str">
        <f t="shared" si="1"/>
        <v>Yes</v>
      </c>
    </row>
    <row r="312" ht="15.75" customHeight="1">
      <c r="A312" s="2"/>
      <c r="B312" s="2"/>
      <c r="I312" s="2" t="str">
        <f t="shared" si="1"/>
        <v>Yes</v>
      </c>
    </row>
    <row r="313" ht="15.75" customHeight="1">
      <c r="A313" s="2"/>
      <c r="B313" s="2"/>
      <c r="I313" s="2" t="str">
        <f t="shared" si="1"/>
        <v>Yes</v>
      </c>
    </row>
    <row r="314" ht="15.75" customHeight="1">
      <c r="A314" s="2"/>
      <c r="B314" s="2"/>
      <c r="I314" s="2" t="str">
        <f t="shared" si="1"/>
        <v>Yes</v>
      </c>
    </row>
    <row r="315" ht="15.75" customHeight="1">
      <c r="A315" s="2"/>
      <c r="B315" s="2"/>
      <c r="I315" s="2" t="str">
        <f t="shared" si="1"/>
        <v>Yes</v>
      </c>
    </row>
    <row r="316" ht="15.75" customHeight="1">
      <c r="A316" s="2"/>
      <c r="B316" s="2"/>
      <c r="I316" s="2" t="str">
        <f t="shared" si="1"/>
        <v>Yes</v>
      </c>
    </row>
    <row r="317" ht="15.75" customHeight="1">
      <c r="A317" s="2"/>
      <c r="B317" s="2"/>
      <c r="I317" s="2" t="str">
        <f t="shared" si="1"/>
        <v>Yes</v>
      </c>
    </row>
    <row r="318" ht="15.75" customHeight="1">
      <c r="A318" s="2"/>
      <c r="B318" s="2"/>
      <c r="I318" s="2" t="str">
        <f t="shared" si="1"/>
        <v>Yes</v>
      </c>
    </row>
    <row r="319" ht="15.75" customHeight="1">
      <c r="A319" s="2"/>
      <c r="B319" s="2"/>
      <c r="I319" s="2" t="str">
        <f t="shared" si="1"/>
        <v>Yes</v>
      </c>
    </row>
    <row r="320" ht="15.75" customHeight="1">
      <c r="A320" s="2"/>
      <c r="B320" s="2"/>
      <c r="I320" s="2" t="str">
        <f t="shared" si="1"/>
        <v>Yes</v>
      </c>
    </row>
    <row r="321" ht="15.75" customHeight="1">
      <c r="A321" s="2"/>
      <c r="B321" s="2"/>
      <c r="I321" s="2" t="str">
        <f t="shared" si="1"/>
        <v>Yes</v>
      </c>
    </row>
    <row r="322" ht="15.75" customHeight="1">
      <c r="A322" s="2"/>
      <c r="B322" s="2"/>
      <c r="I322" s="2" t="str">
        <f t="shared" si="1"/>
        <v>Yes</v>
      </c>
    </row>
    <row r="323" ht="15.75" customHeight="1">
      <c r="A323" s="2"/>
      <c r="B323" s="2"/>
      <c r="I323" s="2" t="str">
        <f t="shared" si="1"/>
        <v>Yes</v>
      </c>
    </row>
    <row r="324" ht="15.75" customHeight="1">
      <c r="A324" s="2"/>
      <c r="B324" s="2"/>
      <c r="I324" s="2" t="str">
        <f t="shared" si="1"/>
        <v>Yes</v>
      </c>
    </row>
    <row r="325" ht="15.75" customHeight="1">
      <c r="A325" s="2"/>
      <c r="B325" s="2"/>
      <c r="I325" s="2" t="str">
        <f t="shared" si="1"/>
        <v>Yes</v>
      </c>
    </row>
    <row r="326" ht="15.75" customHeight="1">
      <c r="A326" s="2"/>
      <c r="B326" s="2"/>
      <c r="I326" s="2" t="str">
        <f t="shared" si="1"/>
        <v>Yes</v>
      </c>
    </row>
    <row r="327" ht="15.75" customHeight="1">
      <c r="A327" s="2"/>
      <c r="B327" s="2"/>
      <c r="I327" s="2" t="str">
        <f t="shared" si="1"/>
        <v>Yes</v>
      </c>
    </row>
    <row r="328" ht="15.75" customHeight="1">
      <c r="A328" s="2"/>
      <c r="B328" s="2"/>
      <c r="I328" s="2" t="str">
        <f t="shared" si="1"/>
        <v>Yes</v>
      </c>
    </row>
    <row r="329" ht="15.75" customHeight="1">
      <c r="A329" s="2"/>
      <c r="B329" s="2"/>
      <c r="I329" s="2" t="str">
        <f t="shared" si="1"/>
        <v>Yes</v>
      </c>
    </row>
    <row r="330" ht="15.75" customHeight="1">
      <c r="A330" s="2"/>
      <c r="B330" s="2"/>
      <c r="I330" s="2" t="str">
        <f t="shared" si="1"/>
        <v>Yes</v>
      </c>
    </row>
    <row r="331" ht="15.75" customHeight="1">
      <c r="A331" s="2"/>
      <c r="B331" s="2"/>
      <c r="I331" s="2" t="str">
        <f t="shared" si="1"/>
        <v>Yes</v>
      </c>
    </row>
    <row r="332" ht="15.75" customHeight="1">
      <c r="A332" s="2"/>
      <c r="B332" s="2"/>
      <c r="I332" s="2" t="str">
        <f t="shared" si="1"/>
        <v>Yes</v>
      </c>
    </row>
    <row r="333" ht="15.75" customHeight="1">
      <c r="A333" s="2"/>
      <c r="B333" s="2"/>
      <c r="I333" s="2" t="str">
        <f t="shared" si="1"/>
        <v>Yes</v>
      </c>
    </row>
    <row r="334" ht="15.75" customHeight="1">
      <c r="A334" s="2"/>
      <c r="B334" s="2"/>
      <c r="I334" s="2" t="str">
        <f t="shared" si="1"/>
        <v>Yes</v>
      </c>
    </row>
    <row r="335" ht="15.75" customHeight="1">
      <c r="A335" s="2"/>
      <c r="B335" s="2"/>
      <c r="I335" s="2" t="str">
        <f t="shared" si="1"/>
        <v>Yes</v>
      </c>
    </row>
    <row r="336" ht="15.75" customHeight="1">
      <c r="A336" s="2"/>
      <c r="B336" s="2"/>
      <c r="I336" s="2" t="str">
        <f t="shared" si="1"/>
        <v>Yes</v>
      </c>
    </row>
    <row r="337" ht="15.75" customHeight="1">
      <c r="A337" s="2"/>
      <c r="B337" s="2"/>
      <c r="I337" s="2" t="str">
        <f t="shared" si="1"/>
        <v>Yes</v>
      </c>
    </row>
    <row r="338" ht="15.75" customHeight="1">
      <c r="A338" s="2"/>
      <c r="B338" s="2"/>
      <c r="I338" s="2" t="str">
        <f t="shared" si="1"/>
        <v>Yes</v>
      </c>
    </row>
    <row r="339" ht="15.75" customHeight="1">
      <c r="A339" s="2"/>
      <c r="B339" s="2"/>
      <c r="I339" s="2" t="str">
        <f t="shared" si="1"/>
        <v>Yes</v>
      </c>
    </row>
    <row r="340" ht="15.75" customHeight="1">
      <c r="A340" s="2"/>
      <c r="B340" s="2"/>
      <c r="I340" s="2" t="str">
        <f t="shared" si="1"/>
        <v>Yes</v>
      </c>
    </row>
    <row r="341" ht="15.75" customHeight="1">
      <c r="A341" s="2"/>
      <c r="B341" s="2"/>
      <c r="I341" s="2" t="str">
        <f t="shared" si="1"/>
        <v>Yes</v>
      </c>
    </row>
    <row r="342" ht="15.75" customHeight="1">
      <c r="A342" s="2"/>
      <c r="B342" s="2"/>
      <c r="I342" s="2" t="str">
        <f t="shared" si="1"/>
        <v>Yes</v>
      </c>
    </row>
    <row r="343" ht="15.75" customHeight="1">
      <c r="A343" s="2"/>
      <c r="B343" s="2"/>
      <c r="I343" s="2" t="str">
        <f t="shared" si="1"/>
        <v>Yes</v>
      </c>
    </row>
    <row r="344" ht="15.75" customHeight="1">
      <c r="A344" s="2"/>
      <c r="B344" s="2"/>
      <c r="I344" s="2" t="str">
        <f t="shared" si="1"/>
        <v>Yes</v>
      </c>
    </row>
    <row r="345" ht="15.75" customHeight="1">
      <c r="A345" s="2"/>
      <c r="B345" s="2"/>
      <c r="I345" s="2" t="str">
        <f t="shared" si="1"/>
        <v>Yes</v>
      </c>
    </row>
    <row r="346" ht="15.75" customHeight="1">
      <c r="A346" s="2"/>
      <c r="B346" s="2"/>
      <c r="I346" s="2" t="str">
        <f t="shared" si="1"/>
        <v>Yes</v>
      </c>
    </row>
    <row r="347" ht="15.75" customHeight="1">
      <c r="A347" s="2"/>
      <c r="B347" s="2"/>
      <c r="I347" s="2" t="str">
        <f t="shared" si="1"/>
        <v>Yes</v>
      </c>
    </row>
    <row r="348" ht="15.75" customHeight="1">
      <c r="A348" s="2"/>
      <c r="B348" s="2"/>
      <c r="I348" s="2" t="str">
        <f t="shared" si="1"/>
        <v>Yes</v>
      </c>
    </row>
    <row r="349" ht="15.75" customHeight="1">
      <c r="A349" s="2"/>
      <c r="B349" s="2"/>
      <c r="I349" s="2" t="str">
        <f t="shared" si="1"/>
        <v>Yes</v>
      </c>
    </row>
    <row r="350" ht="15.75" customHeight="1">
      <c r="A350" s="2"/>
      <c r="B350" s="2"/>
      <c r="I350" s="2" t="str">
        <f t="shared" si="1"/>
        <v>Yes</v>
      </c>
    </row>
    <row r="351" ht="15.75" customHeight="1">
      <c r="A351" s="2"/>
      <c r="B351" s="2"/>
      <c r="I351" s="2" t="str">
        <f t="shared" si="1"/>
        <v>Yes</v>
      </c>
    </row>
    <row r="352" ht="15.75" customHeight="1">
      <c r="A352" s="2"/>
      <c r="B352" s="2"/>
      <c r="I352" s="2" t="str">
        <f t="shared" si="1"/>
        <v>Yes</v>
      </c>
    </row>
    <row r="353" ht="15.75" customHeight="1">
      <c r="A353" s="2"/>
      <c r="B353" s="2"/>
      <c r="I353" s="2" t="str">
        <f t="shared" si="1"/>
        <v>Yes</v>
      </c>
    </row>
    <row r="354" ht="15.75" customHeight="1">
      <c r="A354" s="2"/>
      <c r="B354" s="2"/>
      <c r="I354" s="2" t="str">
        <f t="shared" si="1"/>
        <v>Yes</v>
      </c>
    </row>
    <row r="355" ht="15.75" customHeight="1">
      <c r="A355" s="2"/>
      <c r="B355" s="2"/>
      <c r="I355" s="2" t="str">
        <f t="shared" si="1"/>
        <v>Yes</v>
      </c>
    </row>
    <row r="356" ht="15.75" customHeight="1">
      <c r="A356" s="2"/>
      <c r="B356" s="2"/>
      <c r="I356" s="2" t="str">
        <f t="shared" si="1"/>
        <v>Yes</v>
      </c>
    </row>
    <row r="357" ht="15.75" customHeight="1">
      <c r="A357" s="2"/>
      <c r="B357" s="2"/>
      <c r="I357" s="2" t="str">
        <f t="shared" si="1"/>
        <v>Yes</v>
      </c>
    </row>
    <row r="358" ht="15.75" customHeight="1">
      <c r="A358" s="2"/>
      <c r="B358" s="2"/>
      <c r="I358" s="2" t="str">
        <f t="shared" si="1"/>
        <v>Yes</v>
      </c>
    </row>
    <row r="359" ht="15.75" customHeight="1">
      <c r="A359" s="2"/>
      <c r="B359" s="2"/>
      <c r="I359" s="2" t="str">
        <f t="shared" si="1"/>
        <v>Yes</v>
      </c>
    </row>
    <row r="360" ht="15.75" customHeight="1">
      <c r="A360" s="2"/>
      <c r="B360" s="2"/>
      <c r="I360" s="2" t="str">
        <f t="shared" si="1"/>
        <v>Yes</v>
      </c>
    </row>
    <row r="361" ht="15.75" customHeight="1">
      <c r="A361" s="2"/>
      <c r="B361" s="2"/>
      <c r="I361" s="2" t="str">
        <f t="shared" si="1"/>
        <v>Yes</v>
      </c>
    </row>
    <row r="362" ht="15.75" customHeight="1">
      <c r="A362" s="2"/>
      <c r="B362" s="2"/>
      <c r="I362" s="2" t="str">
        <f t="shared" si="1"/>
        <v>Yes</v>
      </c>
    </row>
    <row r="363" ht="15.75" customHeight="1">
      <c r="A363" s="2"/>
      <c r="B363" s="2"/>
      <c r="I363" s="2" t="str">
        <f t="shared" si="1"/>
        <v>Yes</v>
      </c>
    </row>
    <row r="364" ht="15.75" customHeight="1">
      <c r="A364" s="2"/>
      <c r="B364" s="2"/>
      <c r="I364" s="2" t="str">
        <f t="shared" si="1"/>
        <v>Yes</v>
      </c>
    </row>
    <row r="365" ht="15.75" customHeight="1">
      <c r="A365" s="2"/>
      <c r="B365" s="2"/>
      <c r="I365" s="2" t="str">
        <f t="shared" si="1"/>
        <v>Yes</v>
      </c>
    </row>
    <row r="366" ht="15.75" customHeight="1">
      <c r="A366" s="2"/>
      <c r="B366" s="2"/>
      <c r="I366" s="2" t="str">
        <f t="shared" si="1"/>
        <v>Yes</v>
      </c>
    </row>
    <row r="367" ht="15.75" customHeight="1">
      <c r="A367" s="2"/>
      <c r="B367" s="2"/>
      <c r="I367" s="2" t="str">
        <f t="shared" si="1"/>
        <v>Yes</v>
      </c>
    </row>
    <row r="368" ht="15.75" customHeight="1">
      <c r="A368" s="2"/>
      <c r="B368" s="2"/>
      <c r="I368" s="2" t="str">
        <f t="shared" si="1"/>
        <v>Yes</v>
      </c>
    </row>
    <row r="369" ht="15.75" customHeight="1">
      <c r="A369" s="2"/>
      <c r="B369" s="2"/>
      <c r="I369" s="2" t="str">
        <f t="shared" si="1"/>
        <v>Yes</v>
      </c>
    </row>
    <row r="370" ht="15.75" customHeight="1">
      <c r="A370" s="2"/>
      <c r="B370" s="2"/>
      <c r="I370" s="2" t="str">
        <f t="shared" si="1"/>
        <v>Yes</v>
      </c>
    </row>
    <row r="371" ht="15.75" customHeight="1">
      <c r="A371" s="2"/>
      <c r="B371" s="2"/>
      <c r="I371" s="2" t="str">
        <f t="shared" si="1"/>
        <v>Yes</v>
      </c>
    </row>
    <row r="372" ht="15.75" customHeight="1">
      <c r="A372" s="2"/>
      <c r="B372" s="2"/>
      <c r="I372" s="2" t="str">
        <f t="shared" si="1"/>
        <v>Yes</v>
      </c>
    </row>
    <row r="373" ht="15.75" customHeight="1">
      <c r="A373" s="2"/>
      <c r="B373" s="2"/>
      <c r="I373" s="2" t="str">
        <f t="shared" si="1"/>
        <v>Yes</v>
      </c>
    </row>
    <row r="374" ht="15.75" customHeight="1">
      <c r="A374" s="2"/>
      <c r="B374" s="2"/>
      <c r="I374" s="2" t="str">
        <f t="shared" si="1"/>
        <v>Yes</v>
      </c>
    </row>
    <row r="375" ht="15.75" customHeight="1">
      <c r="A375" s="2"/>
      <c r="B375" s="2"/>
      <c r="I375" s="2" t="str">
        <f t="shared" si="1"/>
        <v>Yes</v>
      </c>
    </row>
    <row r="376" ht="15.75" customHeight="1">
      <c r="A376" s="2"/>
      <c r="B376" s="2"/>
      <c r="I376" s="2" t="str">
        <f t="shared" si="1"/>
        <v>Yes</v>
      </c>
    </row>
    <row r="377" ht="15.75" customHeight="1">
      <c r="A377" s="2"/>
      <c r="B377" s="2"/>
      <c r="I377" s="2" t="str">
        <f t="shared" si="1"/>
        <v>Yes</v>
      </c>
    </row>
    <row r="378" ht="15.75" customHeight="1">
      <c r="A378" s="2"/>
      <c r="B378" s="2"/>
      <c r="I378" s="2" t="str">
        <f t="shared" si="1"/>
        <v>Yes</v>
      </c>
    </row>
    <row r="379" ht="15.75" customHeight="1">
      <c r="A379" s="2"/>
      <c r="B379" s="2"/>
      <c r="I379" s="2" t="str">
        <f t="shared" si="1"/>
        <v>Yes</v>
      </c>
    </row>
    <row r="380" ht="15.75" customHeight="1">
      <c r="A380" s="2"/>
      <c r="B380" s="2"/>
      <c r="I380" s="2" t="str">
        <f t="shared" si="1"/>
        <v>Yes</v>
      </c>
    </row>
    <row r="381" ht="15.75" customHeight="1">
      <c r="A381" s="2"/>
      <c r="B381" s="2"/>
      <c r="I381" s="2" t="str">
        <f t="shared" si="1"/>
        <v>Yes</v>
      </c>
    </row>
    <row r="382" ht="15.75" customHeight="1">
      <c r="A382" s="2"/>
      <c r="B382" s="2"/>
      <c r="I382" s="2" t="str">
        <f t="shared" si="1"/>
        <v>Yes</v>
      </c>
    </row>
    <row r="383" ht="15.75" customHeight="1">
      <c r="A383" s="2"/>
      <c r="B383" s="2"/>
      <c r="I383" s="2" t="str">
        <f t="shared" si="1"/>
        <v>Yes</v>
      </c>
    </row>
    <row r="384" ht="15.75" customHeight="1">
      <c r="A384" s="2"/>
      <c r="B384" s="2"/>
      <c r="I384" s="2" t="str">
        <f t="shared" si="1"/>
        <v>Yes</v>
      </c>
    </row>
    <row r="385" ht="15.75" customHeight="1">
      <c r="A385" s="2"/>
      <c r="B385" s="2"/>
      <c r="I385" s="2" t="str">
        <f t="shared" si="1"/>
        <v>Yes</v>
      </c>
    </row>
    <row r="386" ht="15.75" customHeight="1">
      <c r="A386" s="2"/>
      <c r="B386" s="2"/>
      <c r="I386" s="2" t="str">
        <f t="shared" si="1"/>
        <v>Yes</v>
      </c>
    </row>
    <row r="387" ht="15.75" customHeight="1">
      <c r="A387" s="2"/>
      <c r="B387" s="2"/>
      <c r="I387" s="2" t="str">
        <f t="shared" si="1"/>
        <v>Yes</v>
      </c>
    </row>
    <row r="388" ht="15.75" customHeight="1">
      <c r="A388" s="2"/>
      <c r="B388" s="2"/>
      <c r="I388" s="2" t="str">
        <f t="shared" si="1"/>
        <v>Yes</v>
      </c>
    </row>
    <row r="389" ht="15.75" customHeight="1">
      <c r="A389" s="2"/>
      <c r="B389" s="2"/>
      <c r="I389" s="2" t="str">
        <f t="shared" si="1"/>
        <v>Yes</v>
      </c>
    </row>
    <row r="390" ht="15.75" customHeight="1">
      <c r="A390" s="2"/>
      <c r="B390" s="2"/>
      <c r="I390" s="2" t="str">
        <f t="shared" si="1"/>
        <v>Yes</v>
      </c>
    </row>
    <row r="391" ht="15.75" customHeight="1">
      <c r="A391" s="2"/>
      <c r="B391" s="2"/>
      <c r="I391" s="2" t="str">
        <f t="shared" si="1"/>
        <v>Yes</v>
      </c>
    </row>
    <row r="392" ht="15.75" customHeight="1">
      <c r="A392" s="2"/>
      <c r="B392" s="2"/>
      <c r="I392" s="2" t="str">
        <f t="shared" si="1"/>
        <v>Yes</v>
      </c>
    </row>
    <row r="393" ht="15.75" customHeight="1">
      <c r="A393" s="2"/>
      <c r="B393" s="2"/>
      <c r="I393" s="2" t="str">
        <f t="shared" si="1"/>
        <v>Yes</v>
      </c>
    </row>
    <row r="394" ht="15.75" customHeight="1">
      <c r="A394" s="2"/>
      <c r="B394" s="2"/>
      <c r="I394" s="2" t="str">
        <f t="shared" si="1"/>
        <v>Yes</v>
      </c>
    </row>
    <row r="395" ht="15.75" customHeight="1">
      <c r="A395" s="2"/>
      <c r="B395" s="2"/>
      <c r="I395" s="2" t="str">
        <f t="shared" si="1"/>
        <v>Yes</v>
      </c>
    </row>
    <row r="396" ht="15.75" customHeight="1">
      <c r="A396" s="2"/>
      <c r="B396" s="2"/>
      <c r="I396" s="2" t="str">
        <f t="shared" si="1"/>
        <v>Yes</v>
      </c>
    </row>
    <row r="397" ht="15.75" customHeight="1">
      <c r="A397" s="2"/>
      <c r="B397" s="2"/>
      <c r="I397" s="2" t="str">
        <f t="shared" si="1"/>
        <v>Yes</v>
      </c>
    </row>
    <row r="398" ht="15.75" customHeight="1">
      <c r="A398" s="2"/>
      <c r="B398" s="2"/>
      <c r="I398" s="2" t="str">
        <f t="shared" si="1"/>
        <v>Yes</v>
      </c>
    </row>
    <row r="399" ht="15.75" customHeight="1">
      <c r="A399" s="2"/>
      <c r="B399" s="2"/>
      <c r="I399" s="2" t="str">
        <f t="shared" si="1"/>
        <v>Yes</v>
      </c>
    </row>
    <row r="400" ht="15.75" customHeight="1">
      <c r="A400" s="2"/>
      <c r="B400" s="2"/>
      <c r="I400" s="2" t="str">
        <f t="shared" si="1"/>
        <v>Yes</v>
      </c>
    </row>
    <row r="401" ht="15.75" customHeight="1">
      <c r="A401" s="2"/>
      <c r="B401" s="2"/>
      <c r="I401" s="2" t="str">
        <f t="shared" si="1"/>
        <v>Yes</v>
      </c>
    </row>
    <row r="402" ht="15.75" customHeight="1">
      <c r="A402" s="2"/>
      <c r="B402" s="2"/>
      <c r="I402" s="2" t="str">
        <f t="shared" si="1"/>
        <v>Yes</v>
      </c>
    </row>
    <row r="403" ht="15.75" customHeight="1">
      <c r="A403" s="2"/>
      <c r="B403" s="2"/>
      <c r="I403" s="2" t="str">
        <f t="shared" si="1"/>
        <v>Yes</v>
      </c>
    </row>
    <row r="404" ht="15.75" customHeight="1">
      <c r="A404" s="2"/>
      <c r="B404" s="2"/>
      <c r="I404" s="2" t="str">
        <f t="shared" si="1"/>
        <v>Yes</v>
      </c>
    </row>
    <row r="405" ht="15.75" customHeight="1">
      <c r="A405" s="2"/>
      <c r="B405" s="2"/>
      <c r="I405" s="2" t="str">
        <f t="shared" si="1"/>
        <v>Yes</v>
      </c>
    </row>
    <row r="406" ht="15.75" customHeight="1">
      <c r="A406" s="2"/>
      <c r="B406" s="2"/>
      <c r="I406" s="2" t="str">
        <f t="shared" si="1"/>
        <v>Yes</v>
      </c>
    </row>
    <row r="407" ht="15.75" customHeight="1">
      <c r="A407" s="2"/>
      <c r="B407" s="2"/>
      <c r="I407" s="2" t="str">
        <f t="shared" si="1"/>
        <v>Yes</v>
      </c>
    </row>
    <row r="408" ht="15.75" customHeight="1">
      <c r="A408" s="2"/>
      <c r="B408" s="2"/>
      <c r="I408" s="2" t="str">
        <f t="shared" si="1"/>
        <v>Yes</v>
      </c>
    </row>
    <row r="409" ht="15.75" customHeight="1">
      <c r="A409" s="2"/>
      <c r="B409" s="2"/>
      <c r="I409" s="2" t="str">
        <f t="shared" si="1"/>
        <v>Yes</v>
      </c>
    </row>
    <row r="410" ht="15.75" customHeight="1">
      <c r="A410" s="2"/>
      <c r="B410" s="2"/>
      <c r="I410" s="2" t="str">
        <f t="shared" si="1"/>
        <v>Yes</v>
      </c>
    </row>
    <row r="411" ht="15.75" customHeight="1">
      <c r="A411" s="2"/>
      <c r="B411" s="2"/>
      <c r="I411" s="2" t="str">
        <f t="shared" si="1"/>
        <v>Yes</v>
      </c>
    </row>
    <row r="412" ht="15.75" customHeight="1">
      <c r="A412" s="2"/>
      <c r="B412" s="2"/>
      <c r="I412" s="2" t="str">
        <f t="shared" si="1"/>
        <v>Yes</v>
      </c>
    </row>
    <row r="413" ht="15.75" customHeight="1">
      <c r="A413" s="2"/>
      <c r="B413" s="2"/>
      <c r="I413" s="2" t="str">
        <f t="shared" si="1"/>
        <v>Yes</v>
      </c>
    </row>
    <row r="414" ht="15.75" customHeight="1">
      <c r="A414" s="2"/>
      <c r="B414" s="2"/>
      <c r="I414" s="2" t="str">
        <f t="shared" si="1"/>
        <v>Yes</v>
      </c>
    </row>
    <row r="415" ht="15.75" customHeight="1">
      <c r="A415" s="2"/>
      <c r="B415" s="2"/>
      <c r="I415" s="2" t="str">
        <f t="shared" si="1"/>
        <v>Yes</v>
      </c>
    </row>
    <row r="416" ht="15.75" customHeight="1">
      <c r="A416" s="2"/>
      <c r="B416" s="2"/>
      <c r="I416" s="2" t="str">
        <f t="shared" si="1"/>
        <v>Yes</v>
      </c>
    </row>
    <row r="417" ht="15.75" customHeight="1">
      <c r="A417" s="2"/>
      <c r="B417" s="2"/>
      <c r="I417" s="2" t="str">
        <f t="shared" si="1"/>
        <v>Yes</v>
      </c>
    </row>
    <row r="418" ht="15.75" customHeight="1">
      <c r="A418" s="2"/>
      <c r="B418" s="2"/>
      <c r="I418" s="2" t="str">
        <f t="shared" si="1"/>
        <v>Yes</v>
      </c>
    </row>
    <row r="419" ht="15.75" customHeight="1">
      <c r="A419" s="2"/>
      <c r="B419" s="2"/>
      <c r="I419" s="2" t="str">
        <f t="shared" si="1"/>
        <v>Yes</v>
      </c>
    </row>
    <row r="420" ht="15.75" customHeight="1">
      <c r="A420" s="2"/>
      <c r="B420" s="2"/>
      <c r="I420" s="2" t="str">
        <f t="shared" si="1"/>
        <v>Yes</v>
      </c>
    </row>
    <row r="421" ht="15.75" customHeight="1">
      <c r="A421" s="2"/>
      <c r="B421" s="2"/>
      <c r="I421" s="2" t="str">
        <f t="shared" si="1"/>
        <v>Yes</v>
      </c>
    </row>
    <row r="422" ht="15.75" customHeight="1">
      <c r="A422" s="2"/>
      <c r="B422" s="2"/>
      <c r="I422" s="2" t="str">
        <f t="shared" si="1"/>
        <v>Yes</v>
      </c>
    </row>
    <row r="423" ht="15.75" customHeight="1">
      <c r="A423" s="2"/>
      <c r="B423" s="2"/>
      <c r="I423" s="2" t="str">
        <f t="shared" si="1"/>
        <v>Yes</v>
      </c>
    </row>
    <row r="424" ht="15.75" customHeight="1">
      <c r="A424" s="2"/>
      <c r="B424" s="2"/>
      <c r="I424" s="2" t="str">
        <f t="shared" si="1"/>
        <v>Yes</v>
      </c>
    </row>
    <row r="425" ht="15.75" customHeight="1">
      <c r="A425" s="2"/>
      <c r="B425" s="2"/>
      <c r="I425" s="2" t="str">
        <f t="shared" si="1"/>
        <v>Yes</v>
      </c>
    </row>
    <row r="426" ht="15.75" customHeight="1">
      <c r="A426" s="2"/>
      <c r="B426" s="2"/>
      <c r="I426" s="2" t="str">
        <f t="shared" si="1"/>
        <v>Yes</v>
      </c>
    </row>
    <row r="427" ht="15.75" customHeight="1">
      <c r="A427" s="2"/>
      <c r="B427" s="2"/>
      <c r="I427" s="2" t="str">
        <f t="shared" si="1"/>
        <v>Yes</v>
      </c>
    </row>
    <row r="428" ht="15.75" customHeight="1">
      <c r="A428" s="2"/>
      <c r="B428" s="2"/>
      <c r="I428" s="2" t="str">
        <f t="shared" si="1"/>
        <v>Yes</v>
      </c>
    </row>
    <row r="429" ht="15.75" customHeight="1">
      <c r="A429" s="2"/>
      <c r="B429" s="2"/>
      <c r="I429" s="2" t="str">
        <f t="shared" si="1"/>
        <v>Yes</v>
      </c>
    </row>
    <row r="430" ht="15.75" customHeight="1">
      <c r="A430" s="2"/>
      <c r="B430" s="2"/>
      <c r="I430" s="2" t="str">
        <f t="shared" si="1"/>
        <v>Yes</v>
      </c>
    </row>
    <row r="431" ht="15.75" customHeight="1">
      <c r="A431" s="2"/>
      <c r="B431" s="2"/>
      <c r="I431" s="2" t="str">
        <f t="shared" si="1"/>
        <v>Yes</v>
      </c>
    </row>
    <row r="432" ht="15.75" customHeight="1">
      <c r="A432" s="2"/>
      <c r="B432" s="2"/>
      <c r="I432" s="2" t="str">
        <f t="shared" si="1"/>
        <v>Yes</v>
      </c>
    </row>
    <row r="433" ht="15.75" customHeight="1">
      <c r="A433" s="2"/>
      <c r="B433" s="2"/>
      <c r="I433" s="2" t="str">
        <f t="shared" si="1"/>
        <v>Yes</v>
      </c>
    </row>
    <row r="434" ht="15.75" customHeight="1">
      <c r="A434" s="2"/>
      <c r="B434" s="2"/>
      <c r="I434" s="2" t="str">
        <f t="shared" si="1"/>
        <v>Yes</v>
      </c>
    </row>
    <row r="435" ht="15.75" customHeight="1">
      <c r="A435" s="2"/>
      <c r="B435" s="2"/>
      <c r="I435" s="2" t="str">
        <f t="shared" si="1"/>
        <v>Yes</v>
      </c>
    </row>
    <row r="436" ht="15.75" customHeight="1">
      <c r="A436" s="2"/>
      <c r="B436" s="2"/>
      <c r="I436" s="2" t="str">
        <f t="shared" si="1"/>
        <v>Yes</v>
      </c>
    </row>
    <row r="437" ht="15.75" customHeight="1">
      <c r="A437" s="2"/>
      <c r="B437" s="2"/>
      <c r="I437" s="2" t="str">
        <f t="shared" si="1"/>
        <v>Yes</v>
      </c>
    </row>
    <row r="438" ht="15.75" customHeight="1">
      <c r="A438" s="2"/>
      <c r="B438" s="2"/>
      <c r="I438" s="2" t="str">
        <f t="shared" si="1"/>
        <v>Yes</v>
      </c>
    </row>
    <row r="439" ht="15.75" customHeight="1">
      <c r="A439" s="2"/>
      <c r="B439" s="2"/>
      <c r="I439" s="2" t="str">
        <f t="shared" si="1"/>
        <v>Yes</v>
      </c>
    </row>
    <row r="440" ht="15.75" customHeight="1">
      <c r="A440" s="2"/>
      <c r="B440" s="2"/>
      <c r="I440" s="2" t="str">
        <f t="shared" si="1"/>
        <v>Yes</v>
      </c>
    </row>
    <row r="441" ht="15.75" customHeight="1">
      <c r="A441" s="2"/>
      <c r="B441" s="2"/>
      <c r="I441" s="2" t="str">
        <f t="shared" si="1"/>
        <v>Yes</v>
      </c>
    </row>
    <row r="442" ht="15.75" customHeight="1">
      <c r="A442" s="2"/>
      <c r="B442" s="2"/>
      <c r="I442" s="2" t="str">
        <f t="shared" si="1"/>
        <v>Yes</v>
      </c>
    </row>
    <row r="443" ht="15.75" customHeight="1">
      <c r="A443" s="2"/>
      <c r="B443" s="2"/>
      <c r="I443" s="2" t="str">
        <f t="shared" si="1"/>
        <v>Yes</v>
      </c>
    </row>
    <row r="444" ht="15.75" customHeight="1">
      <c r="A444" s="2"/>
      <c r="B444" s="2"/>
      <c r="I444" s="2" t="str">
        <f t="shared" si="1"/>
        <v>Yes</v>
      </c>
    </row>
    <row r="445" ht="15.75" customHeight="1">
      <c r="A445" s="2"/>
      <c r="B445" s="2"/>
      <c r="I445" s="2" t="str">
        <f t="shared" si="1"/>
        <v>Yes</v>
      </c>
    </row>
    <row r="446" ht="15.75" customHeight="1">
      <c r="A446" s="2"/>
      <c r="B446" s="2"/>
      <c r="I446" s="2" t="str">
        <f t="shared" si="1"/>
        <v>Yes</v>
      </c>
    </row>
    <row r="447" ht="15.75" customHeight="1">
      <c r="A447" s="2"/>
      <c r="B447" s="2"/>
      <c r="I447" s="2" t="str">
        <f t="shared" si="1"/>
        <v>Yes</v>
      </c>
    </row>
    <row r="448" ht="15.75" customHeight="1">
      <c r="A448" s="2"/>
      <c r="B448" s="2"/>
      <c r="I448" s="2" t="str">
        <f t="shared" si="1"/>
        <v>Yes</v>
      </c>
    </row>
    <row r="449" ht="15.75" customHeight="1">
      <c r="A449" s="2"/>
      <c r="B449" s="2"/>
      <c r="I449" s="2" t="str">
        <f t="shared" si="1"/>
        <v>Yes</v>
      </c>
    </row>
    <row r="450" ht="15.75" customHeight="1">
      <c r="A450" s="2"/>
      <c r="B450" s="2"/>
      <c r="I450" s="2" t="str">
        <f t="shared" si="1"/>
        <v>Yes</v>
      </c>
    </row>
    <row r="451" ht="15.75" customHeight="1">
      <c r="A451" s="2"/>
      <c r="B451" s="2"/>
      <c r="I451" s="2" t="str">
        <f t="shared" si="1"/>
        <v>Yes</v>
      </c>
    </row>
    <row r="452" ht="15.75" customHeight="1">
      <c r="A452" s="2"/>
      <c r="B452" s="2"/>
      <c r="I452" s="2" t="str">
        <f t="shared" si="1"/>
        <v>Yes</v>
      </c>
    </row>
    <row r="453" ht="15.75" customHeight="1">
      <c r="A453" s="2"/>
      <c r="B453" s="2"/>
      <c r="I453" s="2" t="str">
        <f t="shared" si="1"/>
        <v>Yes</v>
      </c>
    </row>
    <row r="454" ht="15.75" customHeight="1">
      <c r="A454" s="2"/>
      <c r="B454" s="2"/>
      <c r="I454" s="2" t="str">
        <f t="shared" si="1"/>
        <v>Yes</v>
      </c>
    </row>
    <row r="455" ht="15.75" customHeight="1">
      <c r="A455" s="2"/>
      <c r="B455" s="2"/>
      <c r="I455" s="2" t="str">
        <f t="shared" si="1"/>
        <v>Yes</v>
      </c>
    </row>
    <row r="456" ht="15.75" customHeight="1">
      <c r="A456" s="2"/>
      <c r="B456" s="2"/>
      <c r="I456" s="2" t="str">
        <f t="shared" si="1"/>
        <v>Yes</v>
      </c>
    </row>
    <row r="457" ht="15.75" customHeight="1">
      <c r="A457" s="2"/>
      <c r="B457" s="2"/>
      <c r="I457" s="2" t="str">
        <f t="shared" si="1"/>
        <v>Yes</v>
      </c>
    </row>
    <row r="458" ht="15.75" customHeight="1">
      <c r="A458" s="2"/>
      <c r="B458" s="2"/>
      <c r="I458" s="2" t="str">
        <f t="shared" si="1"/>
        <v>Yes</v>
      </c>
    </row>
    <row r="459" ht="15.75" customHeight="1">
      <c r="A459" s="2"/>
      <c r="B459" s="2"/>
      <c r="I459" s="2" t="str">
        <f t="shared" si="1"/>
        <v>Yes</v>
      </c>
    </row>
    <row r="460" ht="15.75" customHeight="1">
      <c r="A460" s="2"/>
      <c r="B460" s="2"/>
      <c r="I460" s="2" t="str">
        <f t="shared" si="1"/>
        <v>Yes</v>
      </c>
    </row>
    <row r="461" ht="15.75" customHeight="1">
      <c r="A461" s="2"/>
      <c r="B461" s="2"/>
      <c r="I461" s="2" t="str">
        <f t="shared" si="1"/>
        <v>Yes</v>
      </c>
    </row>
    <row r="462" ht="15.75" customHeight="1">
      <c r="A462" s="2"/>
      <c r="B462" s="2"/>
      <c r="I462" s="2" t="str">
        <f t="shared" si="1"/>
        <v>Yes</v>
      </c>
    </row>
    <row r="463" ht="15.75" customHeight="1">
      <c r="A463" s="2"/>
      <c r="B463" s="2"/>
      <c r="I463" s="2" t="str">
        <f t="shared" si="1"/>
        <v>Yes</v>
      </c>
    </row>
    <row r="464" ht="15.75" customHeight="1">
      <c r="A464" s="2"/>
      <c r="B464" s="2"/>
      <c r="I464" s="2" t="str">
        <f t="shared" si="1"/>
        <v>Yes</v>
      </c>
    </row>
    <row r="465" ht="15.75" customHeight="1">
      <c r="A465" s="2"/>
      <c r="B465" s="2"/>
      <c r="I465" s="2" t="str">
        <f t="shared" si="1"/>
        <v>Yes</v>
      </c>
    </row>
    <row r="466" ht="15.75" customHeight="1">
      <c r="A466" s="2"/>
      <c r="B466" s="2"/>
      <c r="I466" s="2" t="str">
        <f t="shared" si="1"/>
        <v>Yes</v>
      </c>
    </row>
    <row r="467" ht="15.75" customHeight="1">
      <c r="A467" s="2"/>
      <c r="B467" s="2"/>
      <c r="I467" s="2" t="str">
        <f t="shared" si="1"/>
        <v>Yes</v>
      </c>
    </row>
    <row r="468" ht="15.75" customHeight="1">
      <c r="A468" s="2"/>
      <c r="B468" s="2"/>
      <c r="I468" s="2" t="str">
        <f t="shared" si="1"/>
        <v>Yes</v>
      </c>
    </row>
    <row r="469" ht="15.75" customHeight="1">
      <c r="A469" s="2"/>
      <c r="B469" s="2"/>
      <c r="I469" s="2" t="str">
        <f t="shared" si="1"/>
        <v>Yes</v>
      </c>
    </row>
    <row r="470" ht="15.75" customHeight="1">
      <c r="A470" s="2"/>
      <c r="B470" s="2"/>
      <c r="I470" s="2" t="str">
        <f t="shared" si="1"/>
        <v>Yes</v>
      </c>
    </row>
    <row r="471" ht="15.75" customHeight="1">
      <c r="A471" s="2"/>
      <c r="B471" s="2"/>
      <c r="I471" s="2" t="str">
        <f t="shared" si="1"/>
        <v>Yes</v>
      </c>
    </row>
    <row r="472" ht="15.75" customHeight="1">
      <c r="A472" s="2"/>
      <c r="B472" s="2"/>
      <c r="I472" s="2" t="str">
        <f t="shared" si="1"/>
        <v>Yes</v>
      </c>
    </row>
    <row r="473" ht="15.75" customHeight="1">
      <c r="A473" s="2"/>
      <c r="B473" s="2"/>
      <c r="I473" s="2" t="str">
        <f t="shared" si="1"/>
        <v>Yes</v>
      </c>
    </row>
    <row r="474" ht="15.75" customHeight="1">
      <c r="A474" s="2"/>
      <c r="B474" s="2"/>
      <c r="I474" s="2" t="str">
        <f t="shared" si="1"/>
        <v>Yes</v>
      </c>
    </row>
    <row r="475" ht="15.75" customHeight="1">
      <c r="A475" s="2"/>
      <c r="B475" s="2"/>
      <c r="I475" s="2" t="str">
        <f t="shared" si="1"/>
        <v>Yes</v>
      </c>
    </row>
    <row r="476" ht="15.75" customHeight="1">
      <c r="A476" s="2"/>
      <c r="B476" s="2"/>
      <c r="I476" s="2" t="str">
        <f t="shared" si="1"/>
        <v>Yes</v>
      </c>
    </row>
    <row r="477" ht="15.75" customHeight="1">
      <c r="A477" s="2"/>
      <c r="B477" s="2"/>
      <c r="I477" s="2" t="str">
        <f t="shared" si="1"/>
        <v>Yes</v>
      </c>
    </row>
    <row r="478" ht="15.75" customHeight="1">
      <c r="A478" s="2"/>
      <c r="B478" s="2"/>
      <c r="I478" s="2" t="str">
        <f t="shared" si="1"/>
        <v>Yes</v>
      </c>
    </row>
    <row r="479" ht="15.75" customHeight="1">
      <c r="A479" s="2"/>
      <c r="B479" s="2"/>
      <c r="I479" s="2" t="str">
        <f t="shared" si="1"/>
        <v>Yes</v>
      </c>
    </row>
    <row r="480" ht="15.75" customHeight="1">
      <c r="A480" s="2"/>
      <c r="B480" s="2"/>
      <c r="I480" s="2" t="str">
        <f t="shared" si="1"/>
        <v>Yes</v>
      </c>
    </row>
    <row r="481" ht="15.75" customHeight="1">
      <c r="A481" s="2"/>
      <c r="B481" s="2"/>
      <c r="I481" s="2" t="str">
        <f t="shared" si="1"/>
        <v>Yes</v>
      </c>
    </row>
    <row r="482" ht="15.75" customHeight="1">
      <c r="A482" s="2"/>
      <c r="B482" s="2"/>
      <c r="I482" s="2" t="str">
        <f t="shared" si="1"/>
        <v>Yes</v>
      </c>
    </row>
    <row r="483" ht="15.75" customHeight="1">
      <c r="A483" s="2"/>
      <c r="B483" s="2"/>
      <c r="I483" s="2" t="str">
        <f t="shared" si="1"/>
        <v>Yes</v>
      </c>
    </row>
    <row r="484" ht="15.75" customHeight="1">
      <c r="A484" s="2"/>
      <c r="B484" s="2"/>
      <c r="I484" s="2" t="str">
        <f t="shared" si="1"/>
        <v>Yes</v>
      </c>
    </row>
    <row r="485" ht="15.75" customHeight="1">
      <c r="A485" s="2"/>
      <c r="B485" s="2"/>
      <c r="I485" s="2" t="str">
        <f t="shared" si="1"/>
        <v>Yes</v>
      </c>
    </row>
    <row r="486" ht="15.75" customHeight="1">
      <c r="A486" s="2"/>
      <c r="B486" s="2"/>
      <c r="I486" s="2" t="str">
        <f t="shared" si="1"/>
        <v>Yes</v>
      </c>
    </row>
    <row r="487" ht="15.75" customHeight="1">
      <c r="A487" s="2"/>
      <c r="B487" s="2"/>
      <c r="I487" s="2" t="str">
        <f t="shared" si="1"/>
        <v>Yes</v>
      </c>
    </row>
    <row r="488" ht="15.75" customHeight="1">
      <c r="A488" s="2"/>
      <c r="B488" s="2"/>
      <c r="I488" s="2" t="str">
        <f t="shared" si="1"/>
        <v>Yes</v>
      </c>
    </row>
    <row r="489" ht="15.75" customHeight="1">
      <c r="A489" s="2"/>
      <c r="B489" s="2"/>
      <c r="I489" s="2" t="str">
        <f t="shared" si="1"/>
        <v>Yes</v>
      </c>
    </row>
    <row r="490" ht="15.75" customHeight="1">
      <c r="A490" s="2"/>
      <c r="B490" s="2"/>
      <c r="I490" s="2" t="str">
        <f t="shared" si="1"/>
        <v>Yes</v>
      </c>
    </row>
    <row r="491" ht="15.75" customHeight="1">
      <c r="A491" s="2"/>
      <c r="B491" s="2"/>
      <c r="I491" s="2" t="str">
        <f t="shared" si="1"/>
        <v>Yes</v>
      </c>
    </row>
    <row r="492" ht="15.75" customHeight="1">
      <c r="A492" s="2"/>
      <c r="B492" s="2"/>
      <c r="I492" s="2" t="str">
        <f t="shared" si="1"/>
        <v>Yes</v>
      </c>
    </row>
    <row r="493" ht="15.75" customHeight="1">
      <c r="A493" s="2"/>
      <c r="B493" s="2"/>
      <c r="I493" s="2" t="str">
        <f t="shared" si="1"/>
        <v>Yes</v>
      </c>
    </row>
    <row r="494" ht="15.75" customHeight="1">
      <c r="A494" s="2"/>
      <c r="B494" s="2"/>
      <c r="I494" s="2" t="str">
        <f t="shared" si="1"/>
        <v>Yes</v>
      </c>
    </row>
    <row r="495" ht="15.75" customHeight="1">
      <c r="A495" s="2"/>
      <c r="B495" s="2"/>
      <c r="I495" s="2" t="str">
        <f t="shared" si="1"/>
        <v>Yes</v>
      </c>
    </row>
    <row r="496" ht="15.75" customHeight="1">
      <c r="A496" s="2"/>
      <c r="B496" s="2"/>
      <c r="I496" s="2" t="str">
        <f t="shared" si="1"/>
        <v>Yes</v>
      </c>
    </row>
    <row r="497" ht="15.75" customHeight="1">
      <c r="A497" s="2"/>
      <c r="B497" s="2"/>
      <c r="I497" s="2" t="str">
        <f t="shared" si="1"/>
        <v>Yes</v>
      </c>
    </row>
    <row r="498" ht="15.75" customHeight="1">
      <c r="A498" s="2"/>
      <c r="B498" s="2"/>
      <c r="I498" s="2" t="str">
        <f t="shared" si="1"/>
        <v>Yes</v>
      </c>
    </row>
    <row r="499" ht="15.75" customHeight="1">
      <c r="A499" s="2"/>
      <c r="B499" s="2"/>
      <c r="I499" s="2" t="str">
        <f t="shared" si="1"/>
        <v>Yes</v>
      </c>
    </row>
    <row r="500" ht="15.75" customHeight="1">
      <c r="A500" s="2"/>
      <c r="B500" s="2"/>
      <c r="I500" s="2" t="str">
        <f t="shared" si="1"/>
        <v>Yes</v>
      </c>
    </row>
    <row r="501" ht="15.75" customHeight="1">
      <c r="A501" s="2"/>
      <c r="B501" s="2"/>
      <c r="I501" s="2" t="str">
        <f t="shared" si="1"/>
        <v>Yes</v>
      </c>
    </row>
    <row r="502" ht="15.75" customHeight="1">
      <c r="A502" s="2"/>
      <c r="B502" s="2"/>
      <c r="I502" s="2" t="str">
        <f t="shared" si="1"/>
        <v>Yes</v>
      </c>
    </row>
    <row r="503" ht="15.75" customHeight="1">
      <c r="A503" s="2"/>
      <c r="B503" s="2"/>
      <c r="I503" s="2" t="str">
        <f t="shared" si="1"/>
        <v>Yes</v>
      </c>
    </row>
    <row r="504" ht="15.75" customHeight="1">
      <c r="A504" s="2"/>
      <c r="B504" s="2"/>
      <c r="I504" s="2" t="str">
        <f t="shared" si="1"/>
        <v>Yes</v>
      </c>
    </row>
    <row r="505" ht="15.75" customHeight="1">
      <c r="A505" s="2"/>
      <c r="B505" s="2"/>
      <c r="I505" s="2" t="str">
        <f t="shared" si="1"/>
        <v>Yes</v>
      </c>
    </row>
    <row r="506" ht="15.75" customHeight="1">
      <c r="A506" s="2"/>
      <c r="B506" s="2"/>
      <c r="I506" s="2" t="str">
        <f t="shared" si="1"/>
        <v>Yes</v>
      </c>
    </row>
    <row r="507" ht="15.75" customHeight="1">
      <c r="A507" s="2"/>
      <c r="B507" s="2"/>
      <c r="I507" s="2" t="str">
        <f t="shared" si="1"/>
        <v>Yes</v>
      </c>
    </row>
    <row r="508" ht="15.75" customHeight="1">
      <c r="A508" s="2"/>
      <c r="B508" s="2"/>
      <c r="I508" s="2" t="str">
        <f t="shared" si="1"/>
        <v>Yes</v>
      </c>
    </row>
    <row r="509" ht="15.75" customHeight="1">
      <c r="A509" s="2"/>
      <c r="B509" s="2"/>
      <c r="I509" s="2" t="str">
        <f t="shared" si="1"/>
        <v>Yes</v>
      </c>
    </row>
    <row r="510" ht="15.75" customHeight="1">
      <c r="A510" s="2"/>
      <c r="B510" s="2"/>
      <c r="I510" s="2" t="str">
        <f t="shared" si="1"/>
        <v>Yes</v>
      </c>
    </row>
    <row r="511" ht="15.75" customHeight="1">
      <c r="A511" s="2"/>
      <c r="B511" s="2"/>
      <c r="I511" s="2" t="str">
        <f t="shared" si="1"/>
        <v>Yes</v>
      </c>
    </row>
    <row r="512" ht="15.75" customHeight="1">
      <c r="A512" s="2"/>
      <c r="B512" s="2"/>
      <c r="I512" s="2" t="str">
        <f t="shared" si="1"/>
        <v>Yes</v>
      </c>
    </row>
    <row r="513" ht="15.75" customHeight="1">
      <c r="A513" s="2"/>
      <c r="B513" s="2"/>
      <c r="I513" s="2" t="str">
        <f t="shared" si="1"/>
        <v>Yes</v>
      </c>
    </row>
    <row r="514" ht="15.75" customHeight="1">
      <c r="A514" s="2"/>
      <c r="B514" s="2"/>
      <c r="I514" s="2" t="str">
        <f t="shared" si="1"/>
        <v>Yes</v>
      </c>
    </row>
    <row r="515" ht="15.75" customHeight="1">
      <c r="A515" s="2"/>
      <c r="B515" s="2"/>
      <c r="I515" s="2" t="str">
        <f t="shared" si="1"/>
        <v>Yes</v>
      </c>
    </row>
    <row r="516" ht="15.75" customHeight="1">
      <c r="A516" s="2"/>
      <c r="B516" s="2"/>
      <c r="I516" s="2" t="str">
        <f t="shared" si="1"/>
        <v>Yes</v>
      </c>
    </row>
    <row r="517" ht="15.75" customHeight="1">
      <c r="A517" s="2"/>
      <c r="B517" s="2"/>
      <c r="I517" s="2" t="str">
        <f t="shared" si="1"/>
        <v>Yes</v>
      </c>
    </row>
    <row r="518" ht="15.75" customHeight="1">
      <c r="A518" s="2"/>
      <c r="B518" s="2"/>
      <c r="I518" s="2" t="str">
        <f t="shared" si="1"/>
        <v>Yes</v>
      </c>
    </row>
    <row r="519" ht="15.75" customHeight="1">
      <c r="A519" s="2"/>
      <c r="B519" s="2"/>
      <c r="I519" s="2" t="str">
        <f t="shared" si="1"/>
        <v>Yes</v>
      </c>
    </row>
    <row r="520" ht="15.75" customHeight="1">
      <c r="A520" s="2"/>
      <c r="B520" s="2"/>
      <c r="I520" s="2" t="str">
        <f t="shared" si="1"/>
        <v>Yes</v>
      </c>
    </row>
    <row r="521" ht="15.75" customHeight="1">
      <c r="A521" s="2"/>
      <c r="B521" s="2"/>
      <c r="I521" s="2" t="str">
        <f t="shared" si="1"/>
        <v>Yes</v>
      </c>
    </row>
    <row r="522" ht="15.75" customHeight="1">
      <c r="A522" s="2"/>
      <c r="B522" s="2"/>
      <c r="I522" s="2" t="str">
        <f t="shared" si="1"/>
        <v>Yes</v>
      </c>
    </row>
    <row r="523" ht="15.75" customHeight="1">
      <c r="A523" s="2"/>
      <c r="B523" s="2"/>
      <c r="I523" s="2" t="str">
        <f t="shared" si="1"/>
        <v>Yes</v>
      </c>
    </row>
    <row r="524" ht="15.75" customHeight="1">
      <c r="A524" s="2"/>
      <c r="B524" s="2"/>
      <c r="I524" s="2" t="str">
        <f t="shared" si="1"/>
        <v>Yes</v>
      </c>
    </row>
    <row r="525" ht="15.75" customHeight="1">
      <c r="A525" s="2"/>
      <c r="B525" s="2"/>
      <c r="I525" s="2" t="str">
        <f t="shared" si="1"/>
        <v>Yes</v>
      </c>
    </row>
    <row r="526" ht="15.75" customHeight="1">
      <c r="A526" s="2"/>
      <c r="B526" s="2"/>
      <c r="I526" s="2" t="str">
        <f t="shared" si="1"/>
        <v>Yes</v>
      </c>
    </row>
    <row r="527" ht="15.75" customHeight="1">
      <c r="A527" s="2"/>
      <c r="B527" s="2"/>
      <c r="I527" s="2" t="str">
        <f t="shared" si="1"/>
        <v>Yes</v>
      </c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9"/>
      <c r="B728" s="9"/>
    </row>
    <row r="729" ht="15.75" customHeight="1">
      <c r="A729" s="9"/>
      <c r="B729" s="9"/>
    </row>
    <row r="730" ht="15.75" customHeight="1">
      <c r="A730" s="9"/>
      <c r="B730" s="9"/>
    </row>
    <row r="731" ht="15.75" customHeight="1">
      <c r="A731" s="9"/>
      <c r="B731" s="9"/>
    </row>
    <row r="732" ht="15.75" customHeight="1">
      <c r="A732" s="9"/>
      <c r="B732" s="9"/>
    </row>
    <row r="733" ht="15.75" customHeight="1">
      <c r="A733" s="9"/>
      <c r="B733" s="9"/>
    </row>
    <row r="734" ht="15.75" customHeight="1">
      <c r="A734" s="9"/>
      <c r="B734" s="9"/>
    </row>
    <row r="735" ht="15.75" customHeight="1">
      <c r="A735" s="9"/>
      <c r="B735" s="9"/>
    </row>
    <row r="736" ht="15.75" customHeight="1">
      <c r="A736" s="9"/>
      <c r="B736" s="9"/>
    </row>
    <row r="737" ht="15.75" customHeight="1">
      <c r="A737" s="9"/>
      <c r="B737" s="9"/>
    </row>
    <row r="738" ht="15.75" customHeight="1">
      <c r="A738" s="9"/>
      <c r="B738" s="9"/>
    </row>
    <row r="739" ht="15.75" customHeight="1">
      <c r="A739" s="9"/>
      <c r="B739" s="9"/>
    </row>
    <row r="740" ht="15.75" customHeight="1">
      <c r="A740" s="9"/>
      <c r="B740" s="9"/>
    </row>
    <row r="741" ht="15.75" customHeight="1">
      <c r="A741" s="9"/>
      <c r="B741" s="9"/>
    </row>
    <row r="742" ht="15.75" customHeight="1">
      <c r="A742" s="9"/>
      <c r="B742" s="9"/>
    </row>
    <row r="743" ht="15.75" customHeight="1">
      <c r="A743" s="9"/>
      <c r="B743" s="9"/>
    </row>
    <row r="744" ht="15.75" customHeight="1">
      <c r="A744" s="9"/>
      <c r="B744" s="9"/>
    </row>
    <row r="745" ht="15.75" customHeight="1">
      <c r="A745" s="9"/>
      <c r="B745" s="9"/>
    </row>
    <row r="746" ht="15.75" customHeight="1">
      <c r="A746" s="9"/>
      <c r="B746" s="9"/>
    </row>
    <row r="747" ht="15.75" customHeight="1">
      <c r="A747" s="9"/>
      <c r="B747" s="9"/>
    </row>
    <row r="748" ht="15.75" customHeight="1">
      <c r="A748" s="9"/>
      <c r="B748" s="9"/>
    </row>
    <row r="749" ht="15.75" customHeight="1">
      <c r="A749" s="9"/>
      <c r="B749" s="9"/>
    </row>
    <row r="750" ht="15.75" customHeight="1">
      <c r="A750" s="9"/>
      <c r="B750" s="9"/>
    </row>
    <row r="751" ht="15.75" customHeight="1">
      <c r="A751" s="9"/>
      <c r="B751" s="9"/>
    </row>
    <row r="752" ht="15.75" customHeight="1">
      <c r="A752" s="9"/>
      <c r="B752" s="9"/>
    </row>
    <row r="753" ht="15.75" customHeight="1">
      <c r="A753" s="9"/>
      <c r="B753" s="9"/>
    </row>
    <row r="754" ht="15.75" customHeight="1">
      <c r="A754" s="9"/>
      <c r="B754" s="9"/>
    </row>
    <row r="755" ht="15.75" customHeight="1">
      <c r="A755" s="9"/>
      <c r="B755" s="9"/>
    </row>
    <row r="756" ht="15.75" customHeight="1">
      <c r="A756" s="9"/>
      <c r="B756" s="9"/>
    </row>
    <row r="757" ht="15.75" customHeight="1">
      <c r="A757" s="9"/>
      <c r="B757" s="9"/>
    </row>
    <row r="758" ht="15.75" customHeight="1">
      <c r="A758" s="9"/>
      <c r="B758" s="9"/>
    </row>
    <row r="759" ht="15.75" customHeight="1">
      <c r="A759" s="9"/>
      <c r="B759" s="9"/>
    </row>
    <row r="760" ht="15.75" customHeight="1">
      <c r="A760" s="9"/>
      <c r="B760" s="9"/>
    </row>
    <row r="761" ht="15.75" customHeight="1">
      <c r="A761" s="9"/>
      <c r="B761" s="9"/>
    </row>
    <row r="762" ht="15.75" customHeight="1">
      <c r="A762" s="9"/>
      <c r="B762" s="9"/>
    </row>
    <row r="763" ht="15.75" customHeight="1">
      <c r="A763" s="9"/>
      <c r="B763" s="9"/>
    </row>
    <row r="764" ht="15.75" customHeight="1">
      <c r="A764" s="9"/>
      <c r="B764" s="9"/>
    </row>
    <row r="765" ht="15.75" customHeight="1">
      <c r="A765" s="9"/>
      <c r="B765" s="9"/>
    </row>
    <row r="766" ht="15.75" customHeight="1">
      <c r="A766" s="9"/>
      <c r="B766" s="9"/>
    </row>
    <row r="767" ht="15.75" customHeight="1">
      <c r="A767" s="9"/>
      <c r="B767" s="9"/>
    </row>
    <row r="768" ht="15.75" customHeight="1">
      <c r="A768" s="9"/>
      <c r="B768" s="9"/>
    </row>
    <row r="769" ht="15.75" customHeight="1">
      <c r="A769" s="9"/>
      <c r="B769" s="9"/>
    </row>
    <row r="770" ht="15.75" customHeight="1">
      <c r="A770" s="9"/>
      <c r="B770" s="9"/>
    </row>
    <row r="771" ht="15.75" customHeight="1">
      <c r="A771" s="9"/>
      <c r="B771" s="9"/>
    </row>
    <row r="772" ht="15.75" customHeight="1">
      <c r="A772" s="9"/>
      <c r="B772" s="9"/>
    </row>
    <row r="773" ht="15.75" customHeight="1">
      <c r="A773" s="9"/>
      <c r="B773" s="9"/>
    </row>
    <row r="774" ht="15.75" customHeight="1">
      <c r="A774" s="9"/>
      <c r="B774" s="9"/>
    </row>
    <row r="775" ht="15.75" customHeight="1">
      <c r="A775" s="9"/>
      <c r="B775" s="9"/>
    </row>
    <row r="776" ht="15.75" customHeight="1">
      <c r="A776" s="9"/>
      <c r="B776" s="9"/>
    </row>
    <row r="777" ht="15.75" customHeight="1">
      <c r="A777" s="9"/>
      <c r="B777" s="9"/>
    </row>
    <row r="778" ht="15.75" customHeight="1">
      <c r="A778" s="9"/>
      <c r="B778" s="9"/>
    </row>
    <row r="779" ht="15.75" customHeight="1">
      <c r="A779" s="9"/>
      <c r="B779" s="9"/>
    </row>
    <row r="780" ht="15.75" customHeight="1">
      <c r="A780" s="9"/>
      <c r="B780" s="9"/>
    </row>
    <row r="781" ht="15.75" customHeight="1">
      <c r="A781" s="9"/>
      <c r="B781" s="9"/>
    </row>
    <row r="782" ht="15.75" customHeight="1">
      <c r="A782" s="9"/>
      <c r="B782" s="9"/>
    </row>
    <row r="783" ht="15.75" customHeight="1">
      <c r="A783" s="9"/>
      <c r="B783" s="9"/>
    </row>
    <row r="784" ht="15.75" customHeight="1">
      <c r="A784" s="9"/>
      <c r="B784" s="9"/>
    </row>
    <row r="785" ht="15.75" customHeight="1">
      <c r="A785" s="9"/>
      <c r="B785" s="9"/>
    </row>
    <row r="786" ht="15.75" customHeight="1">
      <c r="A786" s="9"/>
      <c r="B786" s="9"/>
    </row>
    <row r="787" ht="15.75" customHeight="1">
      <c r="A787" s="9"/>
      <c r="B787" s="9"/>
    </row>
    <row r="788" ht="15.75" customHeight="1">
      <c r="A788" s="9"/>
      <c r="B788" s="9"/>
    </row>
    <row r="789" ht="15.75" customHeight="1">
      <c r="A789" s="9"/>
      <c r="B789" s="9"/>
    </row>
    <row r="790" ht="15.75" customHeight="1">
      <c r="A790" s="9"/>
      <c r="B790" s="9"/>
    </row>
    <row r="791" ht="15.75" customHeight="1">
      <c r="A791" s="9"/>
      <c r="B791" s="9"/>
    </row>
    <row r="792" ht="15.75" customHeight="1">
      <c r="A792" s="9"/>
      <c r="B792" s="9"/>
    </row>
    <row r="793" ht="15.75" customHeight="1">
      <c r="A793" s="9"/>
      <c r="B793" s="9"/>
    </row>
    <row r="794" ht="15.75" customHeight="1">
      <c r="A794" s="9"/>
      <c r="B794" s="9"/>
    </row>
    <row r="795" ht="15.75" customHeight="1">
      <c r="A795" s="9"/>
      <c r="B795" s="9"/>
    </row>
    <row r="796" ht="15.75" customHeight="1">
      <c r="A796" s="9"/>
      <c r="B796" s="9"/>
    </row>
    <row r="797" ht="15.75" customHeight="1">
      <c r="A797" s="9"/>
      <c r="B797" s="9"/>
    </row>
    <row r="798" ht="15.75" customHeight="1">
      <c r="A798" s="9"/>
      <c r="B798" s="9"/>
    </row>
    <row r="799" ht="15.75" customHeight="1">
      <c r="A799" s="9"/>
      <c r="B799" s="9"/>
    </row>
    <row r="800" ht="15.75" customHeight="1">
      <c r="A800" s="9"/>
      <c r="B800" s="9"/>
    </row>
    <row r="801" ht="15.75" customHeight="1">
      <c r="A801" s="9"/>
      <c r="B801" s="9"/>
    </row>
    <row r="802" ht="15.75" customHeight="1">
      <c r="A802" s="9"/>
      <c r="B802" s="9"/>
    </row>
    <row r="803" ht="15.75" customHeight="1">
      <c r="A803" s="9"/>
      <c r="B803" s="9"/>
    </row>
    <row r="804" ht="15.75" customHeight="1">
      <c r="A804" s="9"/>
      <c r="B804" s="9"/>
    </row>
    <row r="805" ht="15.75" customHeight="1">
      <c r="A805" s="9"/>
      <c r="B805" s="9"/>
    </row>
    <row r="806" ht="15.75" customHeight="1">
      <c r="A806" s="9"/>
      <c r="B806" s="9"/>
    </row>
    <row r="807" ht="15.75" customHeight="1">
      <c r="A807" s="9"/>
      <c r="B807" s="9"/>
    </row>
    <row r="808" ht="15.75" customHeight="1">
      <c r="A808" s="9"/>
      <c r="B808" s="9"/>
    </row>
    <row r="809" ht="15.75" customHeight="1">
      <c r="A809" s="9"/>
      <c r="B809" s="9"/>
    </row>
    <row r="810" ht="15.75" customHeight="1">
      <c r="A810" s="9"/>
      <c r="B810" s="9"/>
    </row>
    <row r="811" ht="15.75" customHeight="1">
      <c r="A811" s="9"/>
      <c r="B811" s="9"/>
    </row>
    <row r="812" ht="15.75" customHeight="1">
      <c r="A812" s="9"/>
      <c r="B812" s="9"/>
    </row>
    <row r="813" ht="15.75" customHeight="1">
      <c r="A813" s="9"/>
      <c r="B813" s="9"/>
    </row>
    <row r="814" ht="15.75" customHeight="1">
      <c r="A814" s="9"/>
      <c r="B814" s="9"/>
    </row>
    <row r="815" ht="15.75" customHeight="1">
      <c r="A815" s="9"/>
      <c r="B815" s="9"/>
    </row>
    <row r="816" ht="15.75" customHeight="1">
      <c r="A816" s="9"/>
      <c r="B816" s="9"/>
    </row>
    <row r="817" ht="15.75" customHeight="1">
      <c r="A817" s="9"/>
      <c r="B817" s="9"/>
    </row>
    <row r="818" ht="15.75" customHeight="1">
      <c r="A818" s="9"/>
      <c r="B818" s="9"/>
    </row>
    <row r="819" ht="15.75" customHeight="1">
      <c r="A819" s="9"/>
      <c r="B819" s="9"/>
    </row>
    <row r="820" ht="15.75" customHeight="1">
      <c r="A820" s="9"/>
      <c r="B820" s="9"/>
    </row>
    <row r="821" ht="15.75" customHeight="1">
      <c r="A821" s="9"/>
      <c r="B821" s="9"/>
    </row>
    <row r="822" ht="15.75" customHeight="1">
      <c r="A822" s="9"/>
      <c r="B822" s="9"/>
    </row>
    <row r="823" ht="15.75" customHeight="1">
      <c r="A823" s="9"/>
      <c r="B823" s="9"/>
    </row>
    <row r="824" ht="15.75" customHeight="1">
      <c r="A824" s="9"/>
      <c r="B824" s="9"/>
    </row>
    <row r="825" ht="15.75" customHeight="1">
      <c r="A825" s="9"/>
      <c r="B825" s="9"/>
    </row>
    <row r="826" ht="15.75" customHeight="1">
      <c r="A826" s="9"/>
      <c r="B826" s="9"/>
    </row>
    <row r="827" ht="15.75" customHeight="1">
      <c r="A827" s="9"/>
      <c r="B827" s="9"/>
    </row>
    <row r="828" ht="15.75" customHeight="1">
      <c r="A828" s="9"/>
      <c r="B828" s="9"/>
    </row>
    <row r="829" ht="15.75" customHeight="1">
      <c r="A829" s="9"/>
      <c r="B829" s="9"/>
    </row>
    <row r="830" ht="15.75" customHeight="1">
      <c r="A830" s="9"/>
      <c r="B830" s="9"/>
    </row>
    <row r="831" ht="15.75" customHeight="1">
      <c r="A831" s="9"/>
      <c r="B831" s="9"/>
    </row>
    <row r="832" ht="15.75" customHeight="1">
      <c r="A832" s="9"/>
      <c r="B832" s="9"/>
    </row>
    <row r="833" ht="15.75" customHeight="1">
      <c r="A833" s="9"/>
      <c r="B833" s="9"/>
    </row>
    <row r="834" ht="15.75" customHeight="1">
      <c r="A834" s="9"/>
      <c r="B834" s="9"/>
    </row>
    <row r="835" ht="15.75" customHeight="1">
      <c r="A835" s="9"/>
      <c r="B835" s="9"/>
    </row>
    <row r="836" ht="15.75" customHeight="1">
      <c r="A836" s="9"/>
      <c r="B836" s="9"/>
    </row>
    <row r="837" ht="15.75" customHeight="1">
      <c r="A837" s="9"/>
      <c r="B837" s="9"/>
    </row>
    <row r="838" ht="15.75" customHeight="1">
      <c r="A838" s="9"/>
      <c r="B838" s="9"/>
    </row>
    <row r="839" ht="15.75" customHeight="1">
      <c r="A839" s="9"/>
      <c r="B839" s="9"/>
    </row>
    <row r="840" ht="15.75" customHeight="1">
      <c r="A840" s="9"/>
      <c r="B840" s="9"/>
    </row>
    <row r="841" ht="15.75" customHeight="1">
      <c r="A841" s="9"/>
      <c r="B841" s="9"/>
    </row>
    <row r="842" ht="15.75" customHeight="1">
      <c r="A842" s="9"/>
      <c r="B842" s="9"/>
    </row>
    <row r="843" ht="15.75" customHeight="1">
      <c r="A843" s="9"/>
      <c r="B843" s="9"/>
    </row>
    <row r="844" ht="15.75" customHeight="1">
      <c r="A844" s="9"/>
      <c r="B844" s="9"/>
    </row>
    <row r="845" ht="15.75" customHeight="1">
      <c r="A845" s="9"/>
      <c r="B845" s="9"/>
    </row>
    <row r="846" ht="15.75" customHeight="1">
      <c r="A846" s="9"/>
      <c r="B846" s="9"/>
    </row>
    <row r="847" ht="15.75" customHeight="1">
      <c r="A847" s="9"/>
      <c r="B847" s="9"/>
    </row>
    <row r="848" ht="15.75" customHeight="1">
      <c r="A848" s="9"/>
      <c r="B848" s="9"/>
    </row>
    <row r="849" ht="15.75" customHeight="1">
      <c r="A849" s="9"/>
      <c r="B849" s="9"/>
    </row>
    <row r="850" ht="15.75" customHeight="1">
      <c r="A850" s="9"/>
      <c r="B850" s="9"/>
    </row>
    <row r="851" ht="15.75" customHeight="1">
      <c r="A851" s="9"/>
      <c r="B851" s="9"/>
    </row>
    <row r="852" ht="15.75" customHeight="1">
      <c r="A852" s="9"/>
      <c r="B852" s="9"/>
    </row>
    <row r="853" ht="15.75" customHeight="1">
      <c r="A853" s="9"/>
      <c r="B853" s="9"/>
    </row>
    <row r="854" ht="15.75" customHeight="1">
      <c r="A854" s="9"/>
      <c r="B854" s="9"/>
    </row>
    <row r="855" ht="15.75" customHeight="1">
      <c r="A855" s="9"/>
      <c r="B855" s="9"/>
    </row>
    <row r="856" ht="15.75" customHeight="1">
      <c r="A856" s="9"/>
      <c r="B856" s="9"/>
    </row>
    <row r="857" ht="15.75" customHeight="1">
      <c r="A857" s="9"/>
      <c r="B857" s="9"/>
    </row>
    <row r="858" ht="15.75" customHeight="1">
      <c r="A858" s="9"/>
      <c r="B858" s="9"/>
    </row>
    <row r="859" ht="15.75" customHeight="1">
      <c r="A859" s="9"/>
      <c r="B859" s="9"/>
    </row>
    <row r="860" ht="15.75" customHeight="1">
      <c r="A860" s="9"/>
      <c r="B860" s="9"/>
    </row>
    <row r="861" ht="15.75" customHeight="1">
      <c r="A861" s="9"/>
      <c r="B861" s="9"/>
    </row>
    <row r="862" ht="15.75" customHeight="1">
      <c r="A862" s="9"/>
      <c r="B862" s="9"/>
    </row>
    <row r="863" ht="15.75" customHeight="1">
      <c r="A863" s="9"/>
      <c r="B863" s="9"/>
    </row>
    <row r="864" ht="15.75" customHeight="1">
      <c r="A864" s="9"/>
      <c r="B864" s="9"/>
    </row>
    <row r="865" ht="15.75" customHeight="1">
      <c r="A865" s="9"/>
      <c r="B865" s="9"/>
    </row>
    <row r="866" ht="15.75" customHeight="1">
      <c r="A866" s="9"/>
      <c r="B866" s="9"/>
    </row>
    <row r="867" ht="15.75" customHeight="1">
      <c r="A867" s="9"/>
      <c r="B867" s="9"/>
    </row>
    <row r="868" ht="15.75" customHeight="1">
      <c r="A868" s="9"/>
      <c r="B868" s="9"/>
    </row>
    <row r="869" ht="15.75" customHeight="1">
      <c r="A869" s="9"/>
      <c r="B869" s="9"/>
    </row>
    <row r="870" ht="15.75" customHeight="1">
      <c r="A870" s="9"/>
      <c r="B870" s="9"/>
    </row>
    <row r="871" ht="15.75" customHeight="1">
      <c r="A871" s="9"/>
      <c r="B871" s="9"/>
    </row>
    <row r="872" ht="15.75" customHeight="1">
      <c r="A872" s="9"/>
      <c r="B872" s="9"/>
    </row>
    <row r="873" ht="15.75" customHeight="1">
      <c r="A873" s="9"/>
      <c r="B873" s="9"/>
    </row>
    <row r="874" ht="15.75" customHeight="1">
      <c r="A874" s="9"/>
      <c r="B874" s="9"/>
    </row>
    <row r="875" ht="15.75" customHeight="1">
      <c r="A875" s="9"/>
      <c r="B875" s="9"/>
    </row>
    <row r="876" ht="15.75" customHeight="1">
      <c r="A876" s="9"/>
      <c r="B876" s="9"/>
    </row>
    <row r="877" ht="15.75" customHeight="1">
      <c r="A877" s="9"/>
      <c r="B877" s="9"/>
    </row>
    <row r="878" ht="15.75" customHeight="1">
      <c r="A878" s="9"/>
      <c r="B878" s="9"/>
    </row>
    <row r="879" ht="15.75" customHeight="1">
      <c r="A879" s="9"/>
      <c r="B879" s="9"/>
    </row>
    <row r="880" ht="15.75" customHeight="1">
      <c r="A880" s="9"/>
      <c r="B880" s="9"/>
    </row>
    <row r="881" ht="15.75" customHeight="1">
      <c r="A881" s="9"/>
      <c r="B881" s="9"/>
    </row>
    <row r="882" ht="15.75" customHeight="1">
      <c r="A882" s="9"/>
      <c r="B882" s="9"/>
    </row>
    <row r="883" ht="15.75" customHeight="1">
      <c r="A883" s="9"/>
      <c r="B883" s="9"/>
    </row>
    <row r="884" ht="15.75" customHeight="1">
      <c r="A884" s="9"/>
      <c r="B884" s="9"/>
    </row>
    <row r="885" ht="15.75" customHeight="1">
      <c r="A885" s="9"/>
      <c r="B885" s="9"/>
    </row>
    <row r="886" ht="15.75" customHeight="1">
      <c r="A886" s="9"/>
      <c r="B886" s="9"/>
    </row>
    <row r="887" ht="15.75" customHeight="1">
      <c r="A887" s="9"/>
      <c r="B887" s="9"/>
    </row>
    <row r="888" ht="15.75" customHeight="1">
      <c r="A888" s="9"/>
      <c r="B888" s="9"/>
    </row>
    <row r="889" ht="15.75" customHeight="1">
      <c r="A889" s="9"/>
      <c r="B889" s="9"/>
    </row>
    <row r="890" ht="15.75" customHeight="1">
      <c r="A890" s="9"/>
      <c r="B890" s="9"/>
    </row>
    <row r="891" ht="15.75" customHeight="1">
      <c r="A891" s="9"/>
      <c r="B891" s="9"/>
    </row>
    <row r="892" ht="15.75" customHeight="1">
      <c r="A892" s="9"/>
      <c r="B892" s="9"/>
    </row>
    <row r="893" ht="15.75" customHeight="1">
      <c r="A893" s="9"/>
      <c r="B893" s="9"/>
    </row>
    <row r="894" ht="15.75" customHeight="1">
      <c r="A894" s="9"/>
      <c r="B894" s="9"/>
    </row>
    <row r="895" ht="15.75" customHeight="1">
      <c r="A895" s="9"/>
      <c r="B895" s="9"/>
    </row>
    <row r="896" ht="15.75" customHeight="1">
      <c r="A896" s="9"/>
      <c r="B896" s="9"/>
    </row>
    <row r="897" ht="15.75" customHeight="1">
      <c r="A897" s="9"/>
      <c r="B897" s="9"/>
    </row>
    <row r="898" ht="15.75" customHeight="1">
      <c r="A898" s="9"/>
      <c r="B898" s="9"/>
    </row>
    <row r="899" ht="15.75" customHeight="1">
      <c r="A899" s="9"/>
      <c r="B899" s="9"/>
    </row>
    <row r="900" ht="15.75" customHeight="1">
      <c r="A900" s="9"/>
      <c r="B900" s="9"/>
    </row>
    <row r="901" ht="15.75" customHeight="1">
      <c r="A901" s="9"/>
      <c r="B901" s="9"/>
    </row>
    <row r="902" ht="15.75" customHeight="1">
      <c r="A902" s="9"/>
      <c r="B902" s="9"/>
    </row>
    <row r="903" ht="15.75" customHeight="1">
      <c r="A903" s="9"/>
      <c r="B903" s="9"/>
    </row>
    <row r="904" ht="15.75" customHeight="1">
      <c r="A904" s="9"/>
      <c r="B904" s="9"/>
    </row>
    <row r="905" ht="15.75" customHeight="1">
      <c r="A905" s="9"/>
      <c r="B905" s="9"/>
    </row>
    <row r="906" ht="15.75" customHeight="1">
      <c r="A906" s="9"/>
      <c r="B906" s="9"/>
    </row>
    <row r="907" ht="15.75" customHeight="1">
      <c r="A907" s="9"/>
      <c r="B907" s="9"/>
    </row>
    <row r="908" ht="15.75" customHeight="1">
      <c r="A908" s="9"/>
      <c r="B908" s="9"/>
    </row>
    <row r="909" ht="15.75" customHeight="1">
      <c r="A909" s="9"/>
      <c r="B909" s="9"/>
    </row>
    <row r="910" ht="15.75" customHeight="1">
      <c r="A910" s="9"/>
      <c r="B910" s="9"/>
    </row>
    <row r="911" ht="15.75" customHeight="1">
      <c r="A911" s="9"/>
      <c r="B911" s="9"/>
    </row>
    <row r="912" ht="15.75" customHeight="1">
      <c r="A912" s="9"/>
      <c r="B912" s="9"/>
    </row>
    <row r="913" ht="15.75" customHeight="1">
      <c r="A913" s="9"/>
      <c r="B913" s="9"/>
    </row>
    <row r="914" ht="15.75" customHeight="1">
      <c r="A914" s="9"/>
      <c r="B914" s="9"/>
    </row>
    <row r="915" ht="15.75" customHeight="1">
      <c r="A915" s="9"/>
      <c r="B915" s="9"/>
    </row>
    <row r="916" ht="15.75" customHeight="1">
      <c r="A916" s="9"/>
      <c r="B916" s="9"/>
    </row>
    <row r="917" ht="15.75" customHeight="1">
      <c r="A917" s="9"/>
      <c r="B917" s="9"/>
    </row>
    <row r="918" ht="15.75" customHeight="1">
      <c r="A918" s="9"/>
      <c r="B918" s="9"/>
    </row>
    <row r="919" ht="15.75" customHeight="1">
      <c r="A919" s="9"/>
      <c r="B919" s="9"/>
    </row>
    <row r="920" ht="15.75" customHeight="1">
      <c r="A920" s="9"/>
      <c r="B920" s="9"/>
    </row>
    <row r="921" ht="15.75" customHeight="1">
      <c r="A921" s="9"/>
      <c r="B921" s="9"/>
    </row>
    <row r="922" ht="15.75" customHeight="1">
      <c r="A922" s="9"/>
      <c r="B922" s="9"/>
    </row>
    <row r="923" ht="15.75" customHeight="1">
      <c r="A923" s="9"/>
      <c r="B923" s="9"/>
    </row>
    <row r="924" ht="15.75" customHeight="1">
      <c r="A924" s="9"/>
      <c r="B924" s="9"/>
    </row>
    <row r="925" ht="15.75" customHeight="1">
      <c r="A925" s="9"/>
      <c r="B925" s="9"/>
    </row>
    <row r="926" ht="15.75" customHeight="1">
      <c r="A926" s="9"/>
      <c r="B926" s="9"/>
    </row>
    <row r="927" ht="15.75" customHeight="1">
      <c r="A927" s="9"/>
      <c r="B927" s="9"/>
    </row>
    <row r="928" ht="15.75" customHeight="1">
      <c r="A928" s="9"/>
      <c r="B928" s="9"/>
    </row>
    <row r="929" ht="15.75" customHeight="1">
      <c r="A929" s="9"/>
      <c r="B929" s="9"/>
    </row>
    <row r="930" ht="15.75" customHeight="1">
      <c r="A930" s="9"/>
      <c r="B930" s="9"/>
    </row>
    <row r="931" ht="15.75" customHeight="1">
      <c r="A931" s="9"/>
      <c r="B931" s="9"/>
    </row>
    <row r="932" ht="15.75" customHeight="1">
      <c r="A932" s="9"/>
      <c r="B932" s="9"/>
    </row>
    <row r="933" ht="15.75" customHeight="1">
      <c r="A933" s="9"/>
      <c r="B933" s="9"/>
    </row>
    <row r="934" ht="15.75" customHeight="1">
      <c r="A934" s="9"/>
      <c r="B934" s="9"/>
    </row>
    <row r="935" ht="15.75" customHeight="1">
      <c r="A935" s="9"/>
      <c r="B935" s="9"/>
    </row>
    <row r="936" ht="15.75" customHeight="1">
      <c r="A936" s="9"/>
      <c r="B936" s="9"/>
    </row>
    <row r="937" ht="15.75" customHeight="1">
      <c r="A937" s="9"/>
      <c r="B937" s="9"/>
    </row>
    <row r="938" ht="15.75" customHeight="1">
      <c r="A938" s="9"/>
      <c r="B938" s="9"/>
    </row>
    <row r="939" ht="15.75" customHeight="1">
      <c r="A939" s="9"/>
      <c r="B939" s="9"/>
    </row>
    <row r="940" ht="15.75" customHeight="1">
      <c r="A940" s="9"/>
      <c r="B940" s="9"/>
    </row>
    <row r="941" ht="15.75" customHeight="1">
      <c r="A941" s="9"/>
      <c r="B941" s="9"/>
    </row>
    <row r="942" ht="15.75" customHeight="1">
      <c r="A942" s="9"/>
      <c r="B942" s="9"/>
    </row>
    <row r="943" ht="15.75" customHeight="1">
      <c r="A943" s="9"/>
      <c r="B943" s="9"/>
    </row>
    <row r="944" ht="15.75" customHeight="1">
      <c r="A944" s="9"/>
      <c r="B944" s="9"/>
    </row>
    <row r="945" ht="15.75" customHeight="1">
      <c r="A945" s="9"/>
      <c r="B945" s="9"/>
    </row>
    <row r="946" ht="15.75" customHeight="1">
      <c r="A946" s="9"/>
      <c r="B946" s="9"/>
    </row>
    <row r="947" ht="15.75" customHeight="1">
      <c r="A947" s="9"/>
      <c r="B947" s="9"/>
    </row>
    <row r="948" ht="15.75" customHeight="1">
      <c r="A948" s="9"/>
      <c r="B948" s="9"/>
    </row>
    <row r="949" ht="15.75" customHeight="1">
      <c r="A949" s="9"/>
      <c r="B949" s="9"/>
    </row>
    <row r="950" ht="15.75" customHeight="1">
      <c r="A950" s="9"/>
      <c r="B950" s="9"/>
    </row>
    <row r="951" ht="15.75" customHeight="1">
      <c r="A951" s="9"/>
      <c r="B951" s="9"/>
    </row>
    <row r="952" ht="15.75" customHeight="1">
      <c r="A952" s="9"/>
      <c r="B952" s="9"/>
    </row>
    <row r="953" ht="15.75" customHeight="1">
      <c r="A953" s="9"/>
      <c r="B953" s="9"/>
    </row>
    <row r="954" ht="15.75" customHeight="1">
      <c r="A954" s="9"/>
      <c r="B954" s="9"/>
    </row>
    <row r="955" ht="15.75" customHeight="1">
      <c r="A955" s="9"/>
      <c r="B955" s="9"/>
    </row>
    <row r="956" ht="15.75" customHeight="1">
      <c r="A956" s="9"/>
      <c r="B956" s="9"/>
    </row>
    <row r="957" ht="15.75" customHeight="1">
      <c r="A957" s="9"/>
      <c r="B957" s="9"/>
    </row>
    <row r="958" ht="15.75" customHeight="1">
      <c r="A958" s="9"/>
      <c r="B958" s="9"/>
    </row>
    <row r="959" ht="15.75" customHeight="1">
      <c r="A959" s="9"/>
      <c r="B959" s="9"/>
    </row>
    <row r="960" ht="15.75" customHeight="1">
      <c r="A960" s="9"/>
      <c r="B960" s="9"/>
    </row>
    <row r="961" ht="15.75" customHeight="1">
      <c r="A961" s="9"/>
      <c r="B961" s="9"/>
    </row>
    <row r="962" ht="15.75" customHeight="1">
      <c r="A962" s="9"/>
      <c r="B962" s="9"/>
    </row>
    <row r="963" ht="15.75" customHeight="1">
      <c r="A963" s="9"/>
      <c r="B963" s="9"/>
    </row>
    <row r="964" ht="15.75" customHeight="1">
      <c r="A964" s="9"/>
      <c r="B964" s="9"/>
    </row>
    <row r="965" ht="15.75" customHeight="1">
      <c r="A965" s="9"/>
      <c r="B965" s="9"/>
    </row>
    <row r="966" ht="15.75" customHeight="1">
      <c r="A966" s="9"/>
      <c r="B966" s="9"/>
    </row>
    <row r="967" ht="15.75" customHeight="1">
      <c r="A967" s="9"/>
      <c r="B967" s="9"/>
    </row>
    <row r="968" ht="15.75" customHeight="1">
      <c r="A968" s="9"/>
      <c r="B968" s="9"/>
    </row>
    <row r="969" ht="15.75" customHeight="1">
      <c r="A969" s="9"/>
      <c r="B969" s="9"/>
    </row>
    <row r="970" ht="15.75" customHeight="1">
      <c r="A970" s="9"/>
      <c r="B970" s="9"/>
    </row>
    <row r="971" ht="15.75" customHeight="1">
      <c r="A971" s="9"/>
      <c r="B971" s="9"/>
    </row>
    <row r="972" ht="15.75" customHeight="1">
      <c r="A972" s="9"/>
      <c r="B972" s="9"/>
    </row>
    <row r="973" ht="15.75" customHeight="1">
      <c r="A973" s="9"/>
      <c r="B973" s="9"/>
    </row>
    <row r="974" ht="15.75" customHeight="1">
      <c r="A974" s="9"/>
      <c r="B974" s="9"/>
    </row>
    <row r="975" ht="15.75" customHeight="1">
      <c r="A975" s="9"/>
      <c r="B975" s="9"/>
    </row>
    <row r="976" ht="15.75" customHeight="1">
      <c r="A976" s="9"/>
      <c r="B976" s="9"/>
    </row>
    <row r="977" ht="15.75" customHeight="1">
      <c r="A977" s="9"/>
      <c r="B977" s="9"/>
    </row>
    <row r="978" ht="15.75" customHeight="1">
      <c r="A978" s="9"/>
      <c r="B978" s="9"/>
    </row>
    <row r="979" ht="15.75" customHeight="1">
      <c r="A979" s="9"/>
      <c r="B979" s="9"/>
    </row>
    <row r="980" ht="15.75" customHeight="1">
      <c r="A980" s="9"/>
      <c r="B980" s="9"/>
    </row>
    <row r="981" ht="15.75" customHeight="1">
      <c r="A981" s="9"/>
      <c r="B981" s="9"/>
    </row>
    <row r="982" ht="15.75" customHeight="1">
      <c r="A982" s="9"/>
      <c r="B982" s="9"/>
    </row>
    <row r="983" ht="15.75" customHeight="1">
      <c r="A983" s="9"/>
      <c r="B983" s="9"/>
    </row>
    <row r="984" ht="15.75" customHeight="1">
      <c r="A984" s="9"/>
      <c r="B984" s="9"/>
    </row>
    <row r="985" ht="15.75" customHeight="1">
      <c r="A985" s="9"/>
      <c r="B985" s="9"/>
    </row>
    <row r="986" ht="15.75" customHeight="1">
      <c r="A986" s="9"/>
      <c r="B986" s="9"/>
    </row>
    <row r="987" ht="15.75" customHeight="1">
      <c r="A987" s="9"/>
      <c r="B987" s="9"/>
    </row>
    <row r="988" ht="15.75" customHeight="1">
      <c r="A988" s="9"/>
      <c r="B988" s="9"/>
    </row>
    <row r="989" ht="15.75" customHeight="1">
      <c r="A989" s="9"/>
      <c r="B989" s="9"/>
    </row>
    <row r="990" ht="15.75" customHeight="1">
      <c r="A990" s="9"/>
      <c r="B990" s="9"/>
    </row>
    <row r="991" ht="15.75" customHeight="1">
      <c r="A991" s="9"/>
      <c r="B991" s="9"/>
    </row>
    <row r="992" ht="15.75" customHeight="1">
      <c r="A992" s="9"/>
      <c r="B992" s="9"/>
    </row>
    <row r="993" ht="15.75" customHeight="1">
      <c r="A993" s="9"/>
      <c r="B993" s="9"/>
    </row>
    <row r="994" ht="15.75" customHeight="1">
      <c r="A994" s="9"/>
      <c r="B994" s="9"/>
    </row>
    <row r="995" ht="15.75" customHeight="1">
      <c r="A995" s="9"/>
      <c r="B995" s="9"/>
    </row>
    <row r="996" ht="15.75" customHeight="1">
      <c r="A996" s="9"/>
      <c r="B996" s="9"/>
    </row>
    <row r="997" ht="15.75" customHeight="1">
      <c r="A997" s="9"/>
      <c r="B997" s="9"/>
    </row>
    <row r="998" ht="15.75" customHeight="1">
      <c r="A998" s="9"/>
      <c r="B998" s="9"/>
    </row>
    <row r="999" ht="15.75" customHeight="1">
      <c r="A999" s="9"/>
      <c r="B999" s="9"/>
    </row>
    <row r="1000" ht="15.75" customHeight="1">
      <c r="A1000" s="9"/>
      <c r="B1000" s="9"/>
    </row>
  </sheetData>
  <dataValidations>
    <dataValidation type="list" allowBlank="1" showErrorMessage="1" sqref="B2:B1000">
      <formula1>Vendors!$A$2:$A1000</formula1>
    </dataValidation>
    <dataValidation type="list" allowBlank="1" showErrorMessage="1" sqref="A2:A1000">
      <formula1>Master_Items!$C$2:$C1004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88"/>
    <col customWidth="1" min="3" max="6" width="12.63"/>
  </cols>
  <sheetData>
    <row r="1" ht="15.75" customHeight="1">
      <c r="A1" s="2" t="s">
        <v>266</v>
      </c>
      <c r="B1" s="2" t="s">
        <v>2</v>
      </c>
      <c r="C1" s="2" t="s">
        <v>267</v>
      </c>
      <c r="D1" s="2" t="s">
        <v>268</v>
      </c>
      <c r="E1" s="2" t="s">
        <v>269</v>
      </c>
      <c r="F1" s="2" t="s">
        <v>270</v>
      </c>
      <c r="G1" s="2" t="s">
        <v>262</v>
      </c>
      <c r="H1" s="2" t="s">
        <v>271</v>
      </c>
      <c r="I1" s="2" t="s">
        <v>272</v>
      </c>
      <c r="J1" s="2" t="s">
        <v>10</v>
      </c>
    </row>
    <row r="2" ht="15.75" customHeight="1">
      <c r="A2" s="2" t="s">
        <v>273</v>
      </c>
      <c r="B2" s="2" t="s">
        <v>70</v>
      </c>
      <c r="C2" s="2">
        <v>4.0</v>
      </c>
      <c r="F2" s="2">
        <f t="shared" ref="F2:F102" si="1">C2 + D2 - E2</f>
        <v>4</v>
      </c>
      <c r="H2" s="2">
        <f t="shared" ref="H2:H102" si="2">F2 * G2</f>
        <v>0</v>
      </c>
      <c r="I2" s="2" t="str">
        <f>IF(F2 &lt;= IFERROR(VLOOKUP(B2, Master_Items!C:H, 6, FALSE), 0), "REORDER", "")</f>
        <v/>
      </c>
    </row>
    <row r="3" ht="15.75" customHeight="1">
      <c r="B3" s="2" t="s">
        <v>117</v>
      </c>
      <c r="C3" s="2">
        <v>2.0</v>
      </c>
      <c r="F3" s="2">
        <f t="shared" si="1"/>
        <v>2</v>
      </c>
      <c r="H3" s="2">
        <f t="shared" si="2"/>
        <v>0</v>
      </c>
      <c r="I3" s="2" t="str">
        <f>IF(F3 &lt;= IFERROR(VLOOKUP(B3, Master_Items!C:H, 6, FALSE), 0), "REORDER", "")</f>
        <v>REORDER</v>
      </c>
    </row>
    <row r="4" ht="15.75" customHeight="1">
      <c r="B4" s="2" t="s">
        <v>44</v>
      </c>
      <c r="C4" s="2">
        <v>5.0</v>
      </c>
      <c r="F4" s="2">
        <f t="shared" si="1"/>
        <v>5</v>
      </c>
      <c r="H4" s="2">
        <f t="shared" si="2"/>
        <v>0</v>
      </c>
      <c r="I4" s="2" t="str">
        <f>IF(F4 &lt;= IFERROR(VLOOKUP(B4, Master_Items!C:H, 6, FALSE), 0), "REORDER", "")</f>
        <v/>
      </c>
    </row>
    <row r="5" ht="15.75" customHeight="1">
      <c r="B5" s="2" t="s">
        <v>111</v>
      </c>
      <c r="C5" s="2">
        <v>3.0</v>
      </c>
      <c r="F5" s="2">
        <f t="shared" si="1"/>
        <v>3</v>
      </c>
      <c r="H5" s="2">
        <f t="shared" si="2"/>
        <v>0</v>
      </c>
      <c r="I5" s="2" t="str">
        <f>IF(F5 &lt;= IFERROR(VLOOKUP(B5, Master_Items!C:H, 6, FALSE), 0), "REORDER", "")</f>
        <v>REORDER</v>
      </c>
    </row>
    <row r="6" ht="15.75" customHeight="1">
      <c r="B6" s="2" t="s">
        <v>72</v>
      </c>
      <c r="C6" s="2">
        <v>1.0</v>
      </c>
      <c r="F6" s="2">
        <f t="shared" si="1"/>
        <v>1</v>
      </c>
      <c r="H6" s="2">
        <f t="shared" si="2"/>
        <v>0</v>
      </c>
      <c r="I6" s="2" t="str">
        <f>IF(F6 &lt;= IFERROR(VLOOKUP(B6, Master_Items!C:H, 6, FALSE), 0), "REORDER", "")</f>
        <v>REORDER</v>
      </c>
    </row>
    <row r="7" ht="15.75" customHeight="1">
      <c r="B7" s="2" t="s">
        <v>46</v>
      </c>
      <c r="C7" s="2">
        <v>1.0</v>
      </c>
      <c r="F7" s="2">
        <f t="shared" si="1"/>
        <v>1</v>
      </c>
      <c r="H7" s="2">
        <f t="shared" si="2"/>
        <v>0</v>
      </c>
      <c r="I7" s="2" t="str">
        <f>IF(F7 &lt;= IFERROR(VLOOKUP(B7, Master_Items!C:H, 6, FALSE), 0), "REORDER", "")</f>
        <v>REORDER</v>
      </c>
    </row>
    <row r="8" ht="15.75" customHeight="1">
      <c r="B8" s="2" t="s">
        <v>33</v>
      </c>
      <c r="C8" s="2">
        <v>1.0</v>
      </c>
      <c r="F8" s="2">
        <f t="shared" si="1"/>
        <v>1</v>
      </c>
      <c r="H8" s="2">
        <f t="shared" si="2"/>
        <v>0</v>
      </c>
      <c r="I8" s="2" t="str">
        <f>IF(F8 &lt;= IFERROR(VLOOKUP(B8, Master_Items!C:H, 6, FALSE), 0), "REORDER", "")</f>
        <v>REORDER</v>
      </c>
    </row>
    <row r="9" ht="15.75" customHeight="1">
      <c r="B9" s="2" t="s">
        <v>43</v>
      </c>
      <c r="C9" s="2">
        <v>1.0</v>
      </c>
      <c r="F9" s="2">
        <f t="shared" si="1"/>
        <v>1</v>
      </c>
      <c r="H9" s="2">
        <f t="shared" si="2"/>
        <v>0</v>
      </c>
      <c r="I9" s="2" t="str">
        <f>IF(F9 &lt;= IFERROR(VLOOKUP(B9, Master_Items!C:H, 6, FALSE), 0), "REORDER", "")</f>
        <v>REORDER</v>
      </c>
    </row>
    <row r="10" ht="15.75" customHeight="1">
      <c r="B10" s="2" t="s">
        <v>99</v>
      </c>
      <c r="C10" s="2">
        <v>1.0</v>
      </c>
      <c r="F10" s="2">
        <f t="shared" si="1"/>
        <v>1</v>
      </c>
      <c r="H10" s="2">
        <f t="shared" si="2"/>
        <v>0</v>
      </c>
      <c r="I10" s="2" t="str">
        <f>IF(F10 &lt;= IFERROR(VLOOKUP(B10, Master_Items!C:H, 6, FALSE), 0), "REORDER", "")</f>
        <v>REORDER</v>
      </c>
    </row>
    <row r="11" ht="15.75" customHeight="1">
      <c r="B11" s="2" t="s">
        <v>35</v>
      </c>
      <c r="C11" s="2">
        <v>2.0</v>
      </c>
      <c r="F11" s="2">
        <f t="shared" si="1"/>
        <v>2</v>
      </c>
      <c r="H11" s="2">
        <f t="shared" si="2"/>
        <v>0</v>
      </c>
      <c r="I11" s="2" t="str">
        <f>IF(F11 &lt;= IFERROR(VLOOKUP(B11, Master_Items!C:H, 6, FALSE), 0), "REORDER", "")</f>
        <v>REORDER</v>
      </c>
    </row>
    <row r="12" ht="15.75" customHeight="1">
      <c r="B12" s="2" t="s">
        <v>73</v>
      </c>
      <c r="C12" s="2">
        <v>1.0</v>
      </c>
      <c r="F12" s="2">
        <f t="shared" si="1"/>
        <v>1</v>
      </c>
      <c r="H12" s="2">
        <f t="shared" si="2"/>
        <v>0</v>
      </c>
      <c r="I12" s="2" t="str">
        <f>IF(F12 &lt;= IFERROR(VLOOKUP(B12, Master_Items!C:H, 6, FALSE), 0), "REORDER", "")</f>
        <v>REORDER</v>
      </c>
    </row>
    <row r="13" ht="15.75" customHeight="1">
      <c r="B13" s="2" t="s">
        <v>75</v>
      </c>
      <c r="C13" s="2">
        <v>1.0</v>
      </c>
      <c r="F13" s="2">
        <f t="shared" si="1"/>
        <v>1</v>
      </c>
      <c r="H13" s="2">
        <f t="shared" si="2"/>
        <v>0</v>
      </c>
      <c r="I13" s="2" t="str">
        <f>IF(F13 &lt;= IFERROR(VLOOKUP(B13, Master_Items!C:H, 6, FALSE), 0), "REORDER", "")</f>
        <v>REORDER</v>
      </c>
    </row>
    <row r="14" ht="15.75" customHeight="1">
      <c r="B14" s="2" t="s">
        <v>68</v>
      </c>
      <c r="C14" s="2">
        <v>1.0</v>
      </c>
      <c r="F14" s="2">
        <f t="shared" si="1"/>
        <v>1</v>
      </c>
      <c r="H14" s="2">
        <f t="shared" si="2"/>
        <v>0</v>
      </c>
      <c r="I14" s="2" t="str">
        <f>IF(F14 &lt;= IFERROR(VLOOKUP(B14, Master_Items!C:H, 6, FALSE), 0), "REORDER", "")</f>
        <v>REORDER</v>
      </c>
    </row>
    <row r="15" ht="15.75" customHeight="1">
      <c r="B15" s="2" t="s">
        <v>69</v>
      </c>
      <c r="C15" s="2">
        <v>1.0</v>
      </c>
      <c r="F15" s="2">
        <f t="shared" si="1"/>
        <v>1</v>
      </c>
      <c r="H15" s="2">
        <f t="shared" si="2"/>
        <v>0</v>
      </c>
      <c r="I15" s="2" t="str">
        <f>IF(F15 &lt;= IFERROR(VLOOKUP(B15, Master_Items!C:H, 6, FALSE), 0), "REORDER", "")</f>
        <v>REORDER</v>
      </c>
    </row>
    <row r="16" ht="15.75" customHeight="1">
      <c r="B16" s="2" t="s">
        <v>66</v>
      </c>
      <c r="C16" s="2">
        <v>1.0</v>
      </c>
      <c r="F16" s="2">
        <f t="shared" si="1"/>
        <v>1</v>
      </c>
      <c r="H16" s="2">
        <f t="shared" si="2"/>
        <v>0</v>
      </c>
      <c r="I16" s="2" t="str">
        <f>IF(F16 &lt;= IFERROR(VLOOKUP(B16, Master_Items!C:H, 6, FALSE), 0), "REORDER", "")</f>
        <v>REORDER</v>
      </c>
    </row>
    <row r="17" ht="15.75" customHeight="1">
      <c r="B17" s="2" t="s">
        <v>127</v>
      </c>
      <c r="C17" s="2">
        <v>1.0</v>
      </c>
      <c r="F17" s="2">
        <f t="shared" si="1"/>
        <v>1</v>
      </c>
      <c r="H17" s="2">
        <f t="shared" si="2"/>
        <v>0</v>
      </c>
      <c r="I17" s="2" t="str">
        <f>IF(F17 &lt;= IFERROR(VLOOKUP(B17, Master_Items!C:H, 6, FALSE), 0), "REORDER", "")</f>
        <v>REORDER</v>
      </c>
    </row>
    <row r="18" ht="15.75" customHeight="1">
      <c r="B18" s="2" t="s">
        <v>141</v>
      </c>
      <c r="C18" s="2">
        <v>1.0</v>
      </c>
      <c r="F18" s="2">
        <f t="shared" si="1"/>
        <v>1</v>
      </c>
      <c r="H18" s="2">
        <f t="shared" si="2"/>
        <v>0</v>
      </c>
      <c r="I18" s="2" t="str">
        <f>IF(F18 &lt;= IFERROR(VLOOKUP(B18, Master_Items!C:H, 6, FALSE), 0), "REORDER", "")</f>
        <v>REORDER</v>
      </c>
    </row>
    <row r="19" ht="15.75" customHeight="1">
      <c r="B19" s="2" t="s">
        <v>128</v>
      </c>
      <c r="C19" s="2">
        <v>3.0</v>
      </c>
      <c r="F19" s="2">
        <f t="shared" si="1"/>
        <v>3</v>
      </c>
      <c r="H19" s="2">
        <f t="shared" si="2"/>
        <v>0</v>
      </c>
      <c r="I19" s="2" t="str">
        <f>IF(F19 &lt;= IFERROR(VLOOKUP(B19, Master_Items!C:H, 6, FALSE), 0), "REORDER", "")</f>
        <v/>
      </c>
    </row>
    <row r="20" ht="15.75" customHeight="1">
      <c r="B20" s="2" t="s">
        <v>13</v>
      </c>
      <c r="C20" s="2">
        <v>9.0</v>
      </c>
      <c r="F20" s="2">
        <f t="shared" si="1"/>
        <v>9</v>
      </c>
      <c r="H20" s="2">
        <f t="shared" si="2"/>
        <v>0</v>
      </c>
      <c r="I20" s="2" t="str">
        <f>IF(F20 &lt;= IFERROR(VLOOKUP(B20, Master_Items!C:H, 6, FALSE), 0), "REORDER", "")</f>
        <v/>
      </c>
    </row>
    <row r="21" ht="15.75" customHeight="1">
      <c r="B21" s="2" t="s">
        <v>31</v>
      </c>
      <c r="C21" s="2">
        <v>2.0</v>
      </c>
      <c r="F21" s="2">
        <f t="shared" si="1"/>
        <v>2</v>
      </c>
      <c r="H21" s="2">
        <f t="shared" si="2"/>
        <v>0</v>
      </c>
      <c r="I21" s="2" t="str">
        <f>IF(F21 &lt;= IFERROR(VLOOKUP(B21, Master_Items!C:H, 6, FALSE), 0), "REORDER", "")</f>
        <v>REORDER</v>
      </c>
    </row>
    <row r="22" ht="15.75" customHeight="1">
      <c r="B22" s="2" t="s">
        <v>60</v>
      </c>
      <c r="C22" s="2">
        <v>1.0</v>
      </c>
      <c r="F22" s="2">
        <f t="shared" si="1"/>
        <v>1</v>
      </c>
      <c r="H22" s="2">
        <f t="shared" si="2"/>
        <v>0</v>
      </c>
      <c r="I22" s="2" t="str">
        <f>IF(F22 &lt;= IFERROR(VLOOKUP(B22, Master_Items!C:H, 6, FALSE), 0), "REORDER", "")</f>
        <v>REORDER</v>
      </c>
    </row>
    <row r="23" ht="15.75" customHeight="1">
      <c r="B23" s="2" t="s">
        <v>41</v>
      </c>
      <c r="C23" s="2">
        <v>3.0</v>
      </c>
      <c r="F23" s="2">
        <f t="shared" si="1"/>
        <v>3</v>
      </c>
      <c r="H23" s="2">
        <f t="shared" si="2"/>
        <v>0</v>
      </c>
      <c r="I23" s="2" t="str">
        <f>IF(F23 &lt;= IFERROR(VLOOKUP(B23, Master_Items!C:H, 6, FALSE), 0), "REORDER", "")</f>
        <v/>
      </c>
    </row>
    <row r="24" ht="15.75" customHeight="1">
      <c r="B24" s="2" t="s">
        <v>17</v>
      </c>
      <c r="C24" s="2">
        <v>1.0</v>
      </c>
      <c r="F24" s="2">
        <f t="shared" si="1"/>
        <v>1</v>
      </c>
      <c r="H24" s="2">
        <f t="shared" si="2"/>
        <v>0</v>
      </c>
      <c r="I24" s="2" t="str">
        <f>IF(F24 &lt;= IFERROR(VLOOKUP(B24, Master_Items!C:H, 6, FALSE), 0), "REORDER", "")</f>
        <v>REORDER</v>
      </c>
    </row>
    <row r="25" ht="15.75" customHeight="1">
      <c r="B25" s="2" t="s">
        <v>51</v>
      </c>
      <c r="C25" s="2">
        <v>1.0</v>
      </c>
      <c r="F25" s="2">
        <f t="shared" si="1"/>
        <v>1</v>
      </c>
      <c r="H25" s="2">
        <f t="shared" si="2"/>
        <v>0</v>
      </c>
      <c r="I25" s="2" t="str">
        <f>IF(F25 &lt;= IFERROR(VLOOKUP(B25, Master_Items!C:H, 6, FALSE), 0), "REORDER", "")</f>
        <v>REORDER</v>
      </c>
    </row>
    <row r="26" ht="15.75" customHeight="1">
      <c r="B26" s="2" t="s">
        <v>53</v>
      </c>
      <c r="C26" s="2">
        <v>1.0</v>
      </c>
      <c r="F26" s="2">
        <f t="shared" si="1"/>
        <v>1</v>
      </c>
      <c r="H26" s="2">
        <f t="shared" si="2"/>
        <v>0</v>
      </c>
      <c r="I26" s="2" t="str">
        <f>IF(F26 &lt;= IFERROR(VLOOKUP(B26, Master_Items!C:H, 6, FALSE), 0), "REORDER", "")</f>
        <v>REORDER</v>
      </c>
    </row>
    <row r="27" ht="15.75" customHeight="1">
      <c r="B27" s="2" t="s">
        <v>29</v>
      </c>
      <c r="C27" s="2">
        <v>1.0</v>
      </c>
      <c r="F27" s="2">
        <f t="shared" si="1"/>
        <v>1</v>
      </c>
      <c r="H27" s="2">
        <f t="shared" si="2"/>
        <v>0</v>
      </c>
      <c r="I27" s="2" t="str">
        <f>IF(F27 &lt;= IFERROR(VLOOKUP(B27, Master_Items!C:H, 6, FALSE), 0), "REORDER", "")</f>
        <v>REORDER</v>
      </c>
    </row>
    <row r="28" ht="15.75" customHeight="1">
      <c r="B28" s="2" t="s">
        <v>56</v>
      </c>
      <c r="C28" s="2">
        <v>2.0</v>
      </c>
      <c r="F28" s="2">
        <f t="shared" si="1"/>
        <v>2</v>
      </c>
      <c r="H28" s="2">
        <f t="shared" si="2"/>
        <v>0</v>
      </c>
      <c r="I28" s="2" t="str">
        <f>IF(F28 &lt;= IFERROR(VLOOKUP(B28, Master_Items!C:H, 6, FALSE), 0), "REORDER", "")</f>
        <v/>
      </c>
    </row>
    <row r="29" ht="15.75" customHeight="1">
      <c r="B29" s="2" t="s">
        <v>25</v>
      </c>
      <c r="C29" s="2">
        <v>1.0</v>
      </c>
      <c r="F29" s="2">
        <f t="shared" si="1"/>
        <v>1</v>
      </c>
      <c r="H29" s="2">
        <f t="shared" si="2"/>
        <v>0</v>
      </c>
      <c r="I29" s="2" t="str">
        <f>IF(F29 &lt;= IFERROR(VLOOKUP(B29, Master_Items!C:H, 6, FALSE), 0), "REORDER", "")</f>
        <v>REORDER</v>
      </c>
    </row>
    <row r="30" ht="15.75" customHeight="1">
      <c r="B30" s="2" t="s">
        <v>27</v>
      </c>
      <c r="C30" s="2">
        <v>1.0</v>
      </c>
      <c r="F30" s="2">
        <f t="shared" si="1"/>
        <v>1</v>
      </c>
      <c r="H30" s="2">
        <f t="shared" si="2"/>
        <v>0</v>
      </c>
      <c r="I30" s="2" t="str">
        <f>IF(F30 &lt;= IFERROR(VLOOKUP(B30, Master_Items!C:H, 6, FALSE), 0), "REORDER", "")</f>
        <v>REORDER</v>
      </c>
    </row>
    <row r="31" ht="15.75" customHeight="1">
      <c r="B31" s="2" t="s">
        <v>28</v>
      </c>
      <c r="C31" s="2">
        <v>1.0</v>
      </c>
      <c r="F31" s="2">
        <f t="shared" si="1"/>
        <v>1</v>
      </c>
      <c r="H31" s="2">
        <f t="shared" si="2"/>
        <v>0</v>
      </c>
      <c r="I31" s="2" t="str">
        <f>IF(F31 &lt;= IFERROR(VLOOKUP(B31, Master_Items!C:H, 6, FALSE), 0), "REORDER", "")</f>
        <v>REORDER</v>
      </c>
    </row>
    <row r="32" ht="15.75" customHeight="1">
      <c r="B32" s="2" t="s">
        <v>52</v>
      </c>
      <c r="C32" s="2">
        <v>1.0</v>
      </c>
      <c r="F32" s="2">
        <f t="shared" si="1"/>
        <v>1</v>
      </c>
      <c r="H32" s="2">
        <f t="shared" si="2"/>
        <v>0</v>
      </c>
      <c r="I32" s="2" t="str">
        <f>IF(F32 &lt;= IFERROR(VLOOKUP(B32, Master_Items!C:H, 6, FALSE), 0), "REORDER", "")</f>
        <v>REORDER</v>
      </c>
    </row>
    <row r="33" ht="15.75" customHeight="1">
      <c r="B33" s="2" t="s">
        <v>24</v>
      </c>
      <c r="C33" s="2">
        <v>3.0</v>
      </c>
      <c r="F33" s="2">
        <f t="shared" si="1"/>
        <v>3</v>
      </c>
      <c r="H33" s="2">
        <f t="shared" si="2"/>
        <v>0</v>
      </c>
      <c r="I33" s="2" t="str">
        <f>IF(F33 &lt;= IFERROR(VLOOKUP(B33, Master_Items!C:H, 6, FALSE), 0), "REORDER", "")</f>
        <v>REORDER</v>
      </c>
    </row>
    <row r="34" ht="15.75" customHeight="1">
      <c r="B34" s="2" t="s">
        <v>232</v>
      </c>
      <c r="C34" s="2">
        <v>1.0</v>
      </c>
      <c r="F34" s="2">
        <f t="shared" si="1"/>
        <v>1</v>
      </c>
      <c r="H34" s="2">
        <f t="shared" si="2"/>
        <v>0</v>
      </c>
      <c r="I34" s="2" t="str">
        <f>IF(F34 &lt;= IFERROR(VLOOKUP(B34, Master_Items!C:H, 6, FALSE), 0), "REORDER", "")</f>
        <v/>
      </c>
    </row>
    <row r="35" ht="15.75" customHeight="1">
      <c r="B35" s="2" t="s">
        <v>123</v>
      </c>
      <c r="C35" s="2">
        <v>1.0</v>
      </c>
      <c r="F35" s="2">
        <f t="shared" si="1"/>
        <v>1</v>
      </c>
      <c r="H35" s="2">
        <f t="shared" si="2"/>
        <v>0</v>
      </c>
      <c r="I35" s="2" t="str">
        <f>IF(F35 &lt;= IFERROR(VLOOKUP(B35, Master_Items!C:H, 6, FALSE), 0), "REORDER", "")</f>
        <v>REORDER</v>
      </c>
    </row>
    <row r="36" ht="15.75" customHeight="1">
      <c r="B36" s="2" t="s">
        <v>156</v>
      </c>
      <c r="C36" s="2">
        <v>1.0</v>
      </c>
      <c r="F36" s="2">
        <f t="shared" si="1"/>
        <v>1</v>
      </c>
      <c r="H36" s="2">
        <f t="shared" si="2"/>
        <v>0</v>
      </c>
      <c r="I36" s="2" t="str">
        <f>IF(F36 &lt;= IFERROR(VLOOKUP(B36, Master_Items!C:H, 6, FALSE), 0), "REORDER", "")</f>
        <v>REORDER</v>
      </c>
    </row>
    <row r="37" ht="15.75" customHeight="1">
      <c r="B37" s="2" t="s">
        <v>154</v>
      </c>
      <c r="C37" s="2">
        <v>1.0</v>
      </c>
      <c r="F37" s="2">
        <f t="shared" si="1"/>
        <v>1</v>
      </c>
      <c r="H37" s="2">
        <f t="shared" si="2"/>
        <v>0</v>
      </c>
      <c r="I37" s="2" t="str">
        <f>IF(F37 &lt;= IFERROR(VLOOKUP(B37, Master_Items!C:H, 6, FALSE), 0), "REORDER", "")</f>
        <v>REORDER</v>
      </c>
    </row>
    <row r="38" ht="15.75" customHeight="1">
      <c r="B38" s="2" t="s">
        <v>153</v>
      </c>
      <c r="C38" s="2">
        <v>1.0</v>
      </c>
      <c r="F38" s="2">
        <f t="shared" si="1"/>
        <v>1</v>
      </c>
      <c r="H38" s="2">
        <f t="shared" si="2"/>
        <v>0</v>
      </c>
      <c r="I38" s="2" t="str">
        <f>IF(F38 &lt;= IFERROR(VLOOKUP(B38, Master_Items!C:H, 6, FALSE), 0), "REORDER", "")</f>
        <v>REORDER</v>
      </c>
    </row>
    <row r="39" ht="15.75" customHeight="1">
      <c r="B39" s="2" t="s">
        <v>152</v>
      </c>
      <c r="C39" s="2">
        <v>2.0</v>
      </c>
      <c r="F39" s="2">
        <f t="shared" si="1"/>
        <v>2</v>
      </c>
      <c r="H39" s="2">
        <f t="shared" si="2"/>
        <v>0</v>
      </c>
      <c r="I39" s="2" t="str">
        <f>IF(F39 &lt;= IFERROR(VLOOKUP(B39, Master_Items!C:H, 6, FALSE), 0), "REORDER", "")</f>
        <v>REORDER</v>
      </c>
    </row>
    <row r="40" ht="15.75" customHeight="1">
      <c r="B40" s="2" t="s">
        <v>146</v>
      </c>
      <c r="C40" s="2">
        <v>2.0</v>
      </c>
      <c r="F40" s="2">
        <f t="shared" si="1"/>
        <v>2</v>
      </c>
      <c r="H40" s="2">
        <f t="shared" si="2"/>
        <v>0</v>
      </c>
      <c r="I40" s="2" t="str">
        <f>IF(F40 &lt;= IFERROR(VLOOKUP(B40, Master_Items!C:H, 6, FALSE), 0), "REORDER", "")</f>
        <v>REORDER</v>
      </c>
    </row>
    <row r="41" ht="15.75" customHeight="1">
      <c r="B41" s="2" t="s">
        <v>144</v>
      </c>
      <c r="C41" s="2">
        <v>2.0</v>
      </c>
      <c r="F41" s="2">
        <f t="shared" si="1"/>
        <v>2</v>
      </c>
      <c r="H41" s="2">
        <f t="shared" si="2"/>
        <v>0</v>
      </c>
      <c r="I41" s="2" t="str">
        <f>IF(F41 &lt;= IFERROR(VLOOKUP(B41, Master_Items!C:H, 6, FALSE), 0), "REORDER", "")</f>
        <v>REORDER</v>
      </c>
    </row>
    <row r="42" ht="15.75" customHeight="1">
      <c r="B42" s="2" t="s">
        <v>148</v>
      </c>
      <c r="C42" s="2">
        <v>1.0</v>
      </c>
      <c r="F42" s="2">
        <f t="shared" si="1"/>
        <v>1</v>
      </c>
      <c r="H42" s="2">
        <f t="shared" si="2"/>
        <v>0</v>
      </c>
      <c r="I42" s="2" t="str">
        <f>IF(F42 &lt;= IFERROR(VLOOKUP(B42, Master_Items!C:H, 6, FALSE), 0), "REORDER", "")</f>
        <v>REORDER</v>
      </c>
    </row>
    <row r="43" ht="15.75" customHeight="1">
      <c r="B43" s="2" t="s">
        <v>234</v>
      </c>
      <c r="C43" s="2">
        <v>1.0</v>
      </c>
      <c r="F43" s="2">
        <f t="shared" si="1"/>
        <v>1</v>
      </c>
      <c r="H43" s="2">
        <f t="shared" si="2"/>
        <v>0</v>
      </c>
      <c r="I43" s="2" t="str">
        <f>IF(F43 &lt;= IFERROR(VLOOKUP(B43, Master_Items!C:H, 6, FALSE), 0), "REORDER", "")</f>
        <v/>
      </c>
    </row>
    <row r="44" ht="15.75" customHeight="1">
      <c r="B44" s="2" t="s">
        <v>132</v>
      </c>
      <c r="C44" s="2">
        <v>6.0</v>
      </c>
      <c r="F44" s="2">
        <f t="shared" si="1"/>
        <v>6</v>
      </c>
      <c r="H44" s="2">
        <f t="shared" si="2"/>
        <v>0</v>
      </c>
      <c r="I44" s="2" t="str">
        <f>IF(F44 &lt;= IFERROR(VLOOKUP(B44, Master_Items!C:H, 6, FALSE), 0), "REORDER", "")</f>
        <v/>
      </c>
    </row>
    <row r="45" ht="15.75" customHeight="1">
      <c r="B45" s="2" t="s">
        <v>147</v>
      </c>
      <c r="C45" s="2">
        <v>1.0</v>
      </c>
      <c r="F45" s="2">
        <f t="shared" si="1"/>
        <v>1</v>
      </c>
      <c r="H45" s="2">
        <f t="shared" si="2"/>
        <v>0</v>
      </c>
      <c r="I45" s="2" t="str">
        <f>IF(F45 &lt;= IFERROR(VLOOKUP(B45, Master_Items!C:H, 6, FALSE), 0), "REORDER", "")</f>
        <v>REORDER</v>
      </c>
    </row>
    <row r="46" ht="15.75" customHeight="1">
      <c r="B46" s="2" t="s">
        <v>139</v>
      </c>
      <c r="C46" s="2">
        <v>1.0</v>
      </c>
      <c r="F46" s="2">
        <f t="shared" si="1"/>
        <v>1</v>
      </c>
      <c r="H46" s="2">
        <f t="shared" si="2"/>
        <v>0</v>
      </c>
      <c r="I46" s="2" t="str">
        <f>IF(F46 &lt;= IFERROR(VLOOKUP(B46, Master_Items!C:H, 6, FALSE), 0), "REORDER", "")</f>
        <v>REORDER</v>
      </c>
    </row>
    <row r="47" ht="15.75" customHeight="1">
      <c r="B47" s="2" t="s">
        <v>163</v>
      </c>
      <c r="C47" s="2">
        <v>1.0</v>
      </c>
      <c r="F47" s="2">
        <f t="shared" si="1"/>
        <v>1</v>
      </c>
      <c r="H47" s="2">
        <f t="shared" si="2"/>
        <v>0</v>
      </c>
      <c r="I47" s="2" t="str">
        <f>IF(F47 &lt;= IFERROR(VLOOKUP(B47, Master_Items!C:H, 6, FALSE), 0), "REORDER", "")</f>
        <v>REORDER</v>
      </c>
    </row>
    <row r="48" ht="15.75" customHeight="1">
      <c r="B48" s="2" t="s">
        <v>165</v>
      </c>
      <c r="C48" s="2">
        <v>1.0</v>
      </c>
      <c r="F48" s="2">
        <f t="shared" si="1"/>
        <v>1</v>
      </c>
      <c r="H48" s="2">
        <f t="shared" si="2"/>
        <v>0</v>
      </c>
      <c r="I48" s="2" t="str">
        <f>IF(F48 &lt;= IFERROR(VLOOKUP(B48, Master_Items!C:H, 6, FALSE), 0), "REORDER", "")</f>
        <v>REORDER</v>
      </c>
    </row>
    <row r="49" ht="15.75" customHeight="1">
      <c r="B49" s="2" t="s">
        <v>133</v>
      </c>
      <c r="C49" s="2">
        <v>1.0</v>
      </c>
      <c r="F49" s="2">
        <f t="shared" si="1"/>
        <v>1</v>
      </c>
      <c r="H49" s="2">
        <f t="shared" si="2"/>
        <v>0</v>
      </c>
      <c r="I49" s="2" t="str">
        <f>IF(F49 &lt;= IFERROR(VLOOKUP(B49, Master_Items!C:H, 6, FALSE), 0), "REORDER", "")</f>
        <v>REORDER</v>
      </c>
    </row>
    <row r="50" ht="15.75" customHeight="1">
      <c r="B50" s="2" t="s">
        <v>167</v>
      </c>
      <c r="C50" s="2">
        <v>1.0</v>
      </c>
      <c r="F50" s="2">
        <f t="shared" si="1"/>
        <v>1</v>
      </c>
      <c r="H50" s="2">
        <f t="shared" si="2"/>
        <v>0</v>
      </c>
      <c r="I50" s="2" t="str">
        <f>IF(F50 &lt;= IFERROR(VLOOKUP(B50, Master_Items!C:H, 6, FALSE), 0), "REORDER", "")</f>
        <v>REORDER</v>
      </c>
    </row>
    <row r="51" ht="15.75" customHeight="1">
      <c r="B51" s="2" t="s">
        <v>136</v>
      </c>
      <c r="C51" s="2">
        <v>1.0</v>
      </c>
      <c r="F51" s="2">
        <f t="shared" si="1"/>
        <v>1</v>
      </c>
      <c r="H51" s="2">
        <f t="shared" si="2"/>
        <v>0</v>
      </c>
      <c r="I51" s="2" t="str">
        <f>IF(F51 &lt;= IFERROR(VLOOKUP(B51, Master_Items!C:H, 6, FALSE), 0), "REORDER", "")</f>
        <v>REORDER</v>
      </c>
    </row>
    <row r="52" ht="15.75" customHeight="1">
      <c r="B52" s="2" t="s">
        <v>138</v>
      </c>
      <c r="C52" s="2">
        <v>1.0</v>
      </c>
      <c r="F52" s="2">
        <f t="shared" si="1"/>
        <v>1</v>
      </c>
      <c r="H52" s="2">
        <f t="shared" si="2"/>
        <v>0</v>
      </c>
      <c r="I52" s="2" t="str">
        <f>IF(F52 &lt;= IFERROR(VLOOKUP(B52, Master_Items!C:H, 6, FALSE), 0), "REORDER", "")</f>
        <v>REORDER</v>
      </c>
    </row>
    <row r="53" ht="15.75" customHeight="1">
      <c r="B53" s="2" t="s">
        <v>236</v>
      </c>
      <c r="C53" s="2">
        <v>2.0</v>
      </c>
      <c r="F53" s="2">
        <f t="shared" si="1"/>
        <v>2</v>
      </c>
      <c r="H53" s="2">
        <f t="shared" si="2"/>
        <v>0</v>
      </c>
      <c r="I53" s="2" t="str">
        <f>IF(F53 &lt;= IFERROR(VLOOKUP(B53, Master_Items!C:H, 6, FALSE), 0), "REORDER", "")</f>
        <v/>
      </c>
    </row>
    <row r="54" ht="15.75" customHeight="1">
      <c r="B54" s="2" t="s">
        <v>238</v>
      </c>
      <c r="C54" s="2">
        <v>7.0</v>
      </c>
      <c r="F54" s="2">
        <f t="shared" si="1"/>
        <v>7</v>
      </c>
      <c r="H54" s="2">
        <f t="shared" si="2"/>
        <v>0</v>
      </c>
      <c r="I54" s="2" t="str">
        <f>IF(F54 &lt;= IFERROR(VLOOKUP(B54, Master_Items!C:H, 6, FALSE), 0), "REORDER", "")</f>
        <v/>
      </c>
    </row>
    <row r="55" ht="15.75" customHeight="1">
      <c r="B55" s="2" t="s">
        <v>107</v>
      </c>
      <c r="C55" s="2">
        <v>1.0</v>
      </c>
      <c r="F55" s="2">
        <f t="shared" si="1"/>
        <v>1</v>
      </c>
      <c r="H55" s="2">
        <f t="shared" si="2"/>
        <v>0</v>
      </c>
      <c r="I55" s="2" t="str">
        <f>IF(F55 &lt;= IFERROR(VLOOKUP(B55, Master_Items!C:H, 6, FALSE), 0), "REORDER", "")</f>
        <v>REORDER</v>
      </c>
    </row>
    <row r="56" ht="15.75" customHeight="1">
      <c r="B56" s="2" t="s">
        <v>109</v>
      </c>
      <c r="C56" s="2">
        <v>1.0</v>
      </c>
      <c r="F56" s="2">
        <f t="shared" si="1"/>
        <v>1</v>
      </c>
      <c r="H56" s="2">
        <f t="shared" si="2"/>
        <v>0</v>
      </c>
      <c r="I56" s="2" t="str">
        <f>IF(F56 &lt;= IFERROR(VLOOKUP(B56, Master_Items!C:H, 6, FALSE), 0), "REORDER", "")</f>
        <v>REORDER</v>
      </c>
    </row>
    <row r="57" ht="15.75" customHeight="1">
      <c r="B57" s="2" t="s">
        <v>108</v>
      </c>
      <c r="C57" s="2">
        <v>1.0</v>
      </c>
      <c r="F57" s="2">
        <f t="shared" si="1"/>
        <v>1</v>
      </c>
      <c r="H57" s="2">
        <f t="shared" si="2"/>
        <v>0</v>
      </c>
      <c r="I57" s="2" t="str">
        <f>IF(F57 &lt;= IFERROR(VLOOKUP(B57, Master_Items!C:H, 6, FALSE), 0), "REORDER", "")</f>
        <v>REORDER</v>
      </c>
    </row>
    <row r="58" ht="15.75" customHeight="1">
      <c r="B58" s="2" t="s">
        <v>122</v>
      </c>
      <c r="C58" s="2">
        <v>2.0</v>
      </c>
      <c r="F58" s="2">
        <f t="shared" si="1"/>
        <v>2</v>
      </c>
      <c r="H58" s="2">
        <f t="shared" si="2"/>
        <v>0</v>
      </c>
      <c r="I58" s="2" t="str">
        <f>IF(F58 &lt;= IFERROR(VLOOKUP(B58, Master_Items!C:H, 6, FALSE), 0), "REORDER", "")</f>
        <v>REORDER</v>
      </c>
    </row>
    <row r="59" ht="15.75" customHeight="1">
      <c r="B59" s="2" t="s">
        <v>90</v>
      </c>
      <c r="C59" s="2">
        <v>1.0</v>
      </c>
      <c r="F59" s="2">
        <f t="shared" si="1"/>
        <v>1</v>
      </c>
      <c r="H59" s="2">
        <f t="shared" si="2"/>
        <v>0</v>
      </c>
      <c r="I59" s="2" t="str">
        <f>IF(F59 &lt;= IFERROR(VLOOKUP(B59, Master_Items!C:H, 6, FALSE), 0), "REORDER", "")</f>
        <v>REORDER</v>
      </c>
    </row>
    <row r="60" ht="15.75" customHeight="1">
      <c r="B60" s="2" t="s">
        <v>91</v>
      </c>
      <c r="C60" s="2">
        <v>1.0</v>
      </c>
      <c r="F60" s="2">
        <f t="shared" si="1"/>
        <v>1</v>
      </c>
      <c r="H60" s="2">
        <f t="shared" si="2"/>
        <v>0</v>
      </c>
      <c r="I60" s="2" t="str">
        <f>IF(F60 &lt;= IFERROR(VLOOKUP(B60, Master_Items!C:H, 6, FALSE), 0), "REORDER", "")</f>
        <v>REORDER</v>
      </c>
    </row>
    <row r="61" ht="15.75" customHeight="1">
      <c r="B61" s="2" t="s">
        <v>89</v>
      </c>
      <c r="C61" s="2">
        <v>1.0</v>
      </c>
      <c r="F61" s="2">
        <f t="shared" si="1"/>
        <v>1</v>
      </c>
      <c r="H61" s="2">
        <f t="shared" si="2"/>
        <v>0</v>
      </c>
      <c r="I61" s="2" t="str">
        <f>IF(F61 &lt;= IFERROR(VLOOKUP(B61, Master_Items!C:H, 6, FALSE), 0), "REORDER", "")</f>
        <v>REORDER</v>
      </c>
    </row>
    <row r="62" ht="15.75" customHeight="1">
      <c r="B62" s="2" t="s">
        <v>100</v>
      </c>
      <c r="C62" s="2">
        <v>1.0</v>
      </c>
      <c r="F62" s="2">
        <f t="shared" si="1"/>
        <v>1</v>
      </c>
      <c r="H62" s="2">
        <f t="shared" si="2"/>
        <v>0</v>
      </c>
      <c r="I62" s="2" t="str">
        <f>IF(F62 &lt;= IFERROR(VLOOKUP(B62, Master_Items!C:H, 6, FALSE), 0), "REORDER", "")</f>
        <v/>
      </c>
    </row>
    <row r="63" ht="15.75" customHeight="1">
      <c r="B63" s="2" t="s">
        <v>102</v>
      </c>
      <c r="C63" s="2">
        <v>1.0</v>
      </c>
      <c r="F63" s="2">
        <f t="shared" si="1"/>
        <v>1</v>
      </c>
      <c r="H63" s="2">
        <f t="shared" si="2"/>
        <v>0</v>
      </c>
      <c r="I63" s="2" t="str">
        <f>IF(F63 &lt;= IFERROR(VLOOKUP(B63, Master_Items!C:H, 6, FALSE), 0), "REORDER", "")</f>
        <v>REORDER</v>
      </c>
    </row>
    <row r="64" ht="15.75" customHeight="1">
      <c r="B64" s="2" t="s">
        <v>95</v>
      </c>
      <c r="C64" s="2">
        <v>1.0</v>
      </c>
      <c r="F64" s="2">
        <f t="shared" si="1"/>
        <v>1</v>
      </c>
      <c r="H64" s="2">
        <f t="shared" si="2"/>
        <v>0</v>
      </c>
      <c r="I64" s="2" t="str">
        <f>IF(F64 &lt;= IFERROR(VLOOKUP(B64, Master_Items!C:H, 6, FALSE), 0), "REORDER", "")</f>
        <v>REORDER</v>
      </c>
    </row>
    <row r="65" ht="15.75" customHeight="1">
      <c r="B65" s="2" t="s">
        <v>98</v>
      </c>
      <c r="C65" s="2">
        <v>1.0</v>
      </c>
      <c r="F65" s="2">
        <f t="shared" si="1"/>
        <v>1</v>
      </c>
      <c r="H65" s="2">
        <f t="shared" si="2"/>
        <v>0</v>
      </c>
      <c r="I65" s="2" t="str">
        <f>IF(F65 &lt;= IFERROR(VLOOKUP(B65, Master_Items!C:H, 6, FALSE), 0), "REORDER", "")</f>
        <v>REORDER</v>
      </c>
    </row>
    <row r="66" ht="15.75" customHeight="1">
      <c r="B66" s="2" t="s">
        <v>97</v>
      </c>
      <c r="C66" s="2">
        <v>1.0</v>
      </c>
      <c r="F66" s="2">
        <f t="shared" si="1"/>
        <v>1</v>
      </c>
      <c r="H66" s="2">
        <f t="shared" si="2"/>
        <v>0</v>
      </c>
      <c r="I66" s="2" t="str">
        <f>IF(F66 &lt;= IFERROR(VLOOKUP(B66, Master_Items!C:H, 6, FALSE), 0), "REORDER", "")</f>
        <v>REORDER</v>
      </c>
    </row>
    <row r="67" ht="15.75" customHeight="1">
      <c r="B67" s="2" t="s">
        <v>96</v>
      </c>
      <c r="C67" s="2">
        <v>1.0</v>
      </c>
      <c r="F67" s="2">
        <f t="shared" si="1"/>
        <v>1</v>
      </c>
      <c r="H67" s="2">
        <f t="shared" si="2"/>
        <v>0</v>
      </c>
      <c r="I67" s="2" t="str">
        <f>IF(F67 &lt;= IFERROR(VLOOKUP(B67, Master_Items!C:H, 6, FALSE), 0), "REORDER", "")</f>
        <v>REORDER</v>
      </c>
    </row>
    <row r="68" ht="15.75" customHeight="1">
      <c r="B68" s="2" t="s">
        <v>239</v>
      </c>
      <c r="C68" s="2">
        <v>1.0</v>
      </c>
      <c r="F68" s="2">
        <f t="shared" si="1"/>
        <v>1</v>
      </c>
      <c r="H68" s="2">
        <f t="shared" si="2"/>
        <v>0</v>
      </c>
      <c r="I68" s="2" t="str">
        <f>IF(F68 &lt;= IFERROR(VLOOKUP(B68, Master_Items!C:H, 6, FALSE), 0), "REORDER", "")</f>
        <v/>
      </c>
    </row>
    <row r="69" ht="15.75" customHeight="1">
      <c r="B69" s="2" t="s">
        <v>115</v>
      </c>
      <c r="C69" s="2">
        <v>4.0</v>
      </c>
      <c r="F69" s="2">
        <f t="shared" si="1"/>
        <v>4</v>
      </c>
      <c r="H69" s="2">
        <f t="shared" si="2"/>
        <v>0</v>
      </c>
      <c r="I69" s="2" t="str">
        <f>IF(F69 &lt;= IFERROR(VLOOKUP(B69, Master_Items!C:H, 6, FALSE), 0), "REORDER", "")</f>
        <v/>
      </c>
    </row>
    <row r="70" ht="15.75" customHeight="1">
      <c r="B70" s="10" t="s">
        <v>228</v>
      </c>
      <c r="C70" s="2">
        <v>36.0</v>
      </c>
      <c r="F70" s="2">
        <f t="shared" si="1"/>
        <v>36</v>
      </c>
      <c r="H70" s="2">
        <f t="shared" si="2"/>
        <v>0</v>
      </c>
      <c r="I70" s="2" t="str">
        <f>IF(F70 &lt;= IFERROR(VLOOKUP(B70, Master_Items!C:H, 6, FALSE), 0), "REORDER", "")</f>
        <v/>
      </c>
    </row>
    <row r="71" ht="15.75" customHeight="1">
      <c r="B71" s="10" t="s">
        <v>196</v>
      </c>
      <c r="C71" s="2">
        <v>24.0</v>
      </c>
      <c r="F71" s="2">
        <f t="shared" si="1"/>
        <v>24</v>
      </c>
      <c r="H71" s="2">
        <f t="shared" si="2"/>
        <v>0</v>
      </c>
      <c r="I71" s="2" t="str">
        <f>IF(F71 &lt;= IFERROR(VLOOKUP(B71, Master_Items!C:H, 6, FALSE), 0), "REORDER", "")</f>
        <v/>
      </c>
    </row>
    <row r="72" ht="15.75" customHeight="1">
      <c r="B72" s="11" t="s">
        <v>231</v>
      </c>
      <c r="C72" s="2">
        <v>24.0</v>
      </c>
      <c r="F72" s="2">
        <f t="shared" si="1"/>
        <v>24</v>
      </c>
      <c r="H72" s="2">
        <f t="shared" si="2"/>
        <v>0</v>
      </c>
      <c r="I72" s="2" t="str">
        <f>IF(F72 &lt;= IFERROR(VLOOKUP(B72, Master_Items!C:H, 6, FALSE), 0), "REORDER", "")</f>
        <v/>
      </c>
    </row>
    <row r="73" ht="15.75" customHeight="1">
      <c r="B73" s="10" t="s">
        <v>229</v>
      </c>
      <c r="C73" s="2">
        <v>24.0</v>
      </c>
      <c r="F73" s="2">
        <f t="shared" si="1"/>
        <v>24</v>
      </c>
      <c r="H73" s="2">
        <f t="shared" si="2"/>
        <v>0</v>
      </c>
      <c r="I73" s="2" t="str">
        <f>IF(F73 &lt;= IFERROR(VLOOKUP(B73, Master_Items!C:H, 6, FALSE), 0), "REORDER", "")</f>
        <v/>
      </c>
    </row>
    <row r="74" ht="15.75" customHeight="1">
      <c r="B74" s="10" t="s">
        <v>184</v>
      </c>
      <c r="C74" s="2">
        <v>12.0</v>
      </c>
      <c r="F74" s="2">
        <f t="shared" si="1"/>
        <v>12</v>
      </c>
      <c r="H74" s="2">
        <f t="shared" si="2"/>
        <v>0</v>
      </c>
      <c r="I74" s="2" t="str">
        <f>IF(F74 &lt;= IFERROR(VLOOKUP(B74, Master_Items!C:H, 6, FALSE), 0), "REORDER", "")</f>
        <v/>
      </c>
    </row>
    <row r="75" ht="15.75" customHeight="1">
      <c r="B75" s="10" t="s">
        <v>176</v>
      </c>
      <c r="C75" s="2">
        <v>36.0</v>
      </c>
      <c r="F75" s="2">
        <f t="shared" si="1"/>
        <v>36</v>
      </c>
      <c r="H75" s="2">
        <f t="shared" si="2"/>
        <v>0</v>
      </c>
      <c r="I75" s="2" t="str">
        <f>IF(F75 &lt;= IFERROR(VLOOKUP(B75, Master_Items!C:H, 6, FALSE), 0), "REORDER", "")</f>
        <v/>
      </c>
    </row>
    <row r="76" ht="15.75" customHeight="1">
      <c r="B76" s="10" t="s">
        <v>230</v>
      </c>
      <c r="C76" s="2">
        <v>12.0</v>
      </c>
      <c r="F76" s="2">
        <f t="shared" si="1"/>
        <v>12</v>
      </c>
      <c r="H76" s="2">
        <f t="shared" si="2"/>
        <v>0</v>
      </c>
      <c r="I76" s="2" t="str">
        <f>IF(F76 &lt;= IFERROR(VLOOKUP(B76, Master_Items!C:H, 6, FALSE), 0), "REORDER", "")</f>
        <v>REORDER</v>
      </c>
    </row>
    <row r="77" ht="15.75" customHeight="1">
      <c r="B77" s="10" t="s">
        <v>224</v>
      </c>
      <c r="C77" s="2">
        <v>12.0</v>
      </c>
      <c r="F77" s="2">
        <f t="shared" si="1"/>
        <v>12</v>
      </c>
      <c r="H77" s="2">
        <f t="shared" si="2"/>
        <v>0</v>
      </c>
      <c r="I77" s="2" t="str">
        <f>IF(F77 &lt;= IFERROR(VLOOKUP(B77, Master_Items!C:H, 6, FALSE), 0), "REORDER", "")</f>
        <v>REORDER</v>
      </c>
    </row>
    <row r="78" ht="15.75" customHeight="1">
      <c r="B78" s="11" t="s">
        <v>217</v>
      </c>
      <c r="C78" s="2">
        <v>12.0</v>
      </c>
      <c r="F78" s="2">
        <f t="shared" si="1"/>
        <v>12</v>
      </c>
      <c r="H78" s="2">
        <f t="shared" si="2"/>
        <v>0</v>
      </c>
      <c r="I78" s="2" t="str">
        <f>IF(F78 &lt;= IFERROR(VLOOKUP(B78, Master_Items!C:H, 6, FALSE), 0), "REORDER", "")</f>
        <v>REORDER</v>
      </c>
    </row>
    <row r="79" ht="15.75" customHeight="1">
      <c r="B79" s="12" t="s">
        <v>227</v>
      </c>
      <c r="C79" s="2">
        <v>52.0</v>
      </c>
      <c r="F79" s="2">
        <f t="shared" si="1"/>
        <v>52</v>
      </c>
      <c r="H79" s="2">
        <f t="shared" si="2"/>
        <v>0</v>
      </c>
      <c r="I79" s="2" t="str">
        <f>IF(F79 &lt;= IFERROR(VLOOKUP(B79, Master_Items!C:H, 6, FALSE), 0), "REORDER", "")</f>
        <v/>
      </c>
    </row>
    <row r="80" ht="15.75" customHeight="1">
      <c r="B80" s="12" t="s">
        <v>231</v>
      </c>
      <c r="C80" s="2">
        <v>56.0</v>
      </c>
      <c r="F80" s="2">
        <f t="shared" si="1"/>
        <v>56</v>
      </c>
      <c r="H80" s="2">
        <f t="shared" si="2"/>
        <v>0</v>
      </c>
      <c r="I80" s="2" t="str">
        <f>IF(F80 &lt;= IFERROR(VLOOKUP(B80, Master_Items!C:H, 6, FALSE), 0), "REORDER", "")</f>
        <v/>
      </c>
    </row>
    <row r="81" ht="15.75" customHeight="1">
      <c r="B81" s="13" t="s">
        <v>196</v>
      </c>
      <c r="C81" s="2">
        <v>27.0</v>
      </c>
      <c r="F81" s="2">
        <f t="shared" si="1"/>
        <v>27</v>
      </c>
      <c r="H81" s="2">
        <f t="shared" si="2"/>
        <v>0</v>
      </c>
      <c r="I81" s="2" t="str">
        <f>IF(F81 &lt;= IFERROR(VLOOKUP(B81, Master_Items!C:H, 6, FALSE), 0), "REORDER", "")</f>
        <v/>
      </c>
    </row>
    <row r="82" ht="15.75" customHeight="1">
      <c r="B82" s="13" t="s">
        <v>176</v>
      </c>
      <c r="C82" s="2">
        <v>54.0</v>
      </c>
      <c r="F82" s="2">
        <f t="shared" si="1"/>
        <v>54</v>
      </c>
      <c r="H82" s="2">
        <f t="shared" si="2"/>
        <v>0</v>
      </c>
      <c r="I82" s="2" t="str">
        <f>IF(F82 &lt;= IFERROR(VLOOKUP(B82, Master_Items!C:H, 6, FALSE), 0), "REORDER", "")</f>
        <v/>
      </c>
    </row>
    <row r="83" ht="15.75" customHeight="1">
      <c r="B83" s="13" t="s">
        <v>174</v>
      </c>
      <c r="C83" s="2">
        <v>31.0</v>
      </c>
      <c r="F83" s="2">
        <f t="shared" si="1"/>
        <v>31</v>
      </c>
      <c r="H83" s="2">
        <f t="shared" si="2"/>
        <v>0</v>
      </c>
      <c r="I83" s="2" t="str">
        <f>IF(F83 &lt;= IFERROR(VLOOKUP(B83, Master_Items!C:H, 6, FALSE), 0), "REORDER", "")</f>
        <v/>
      </c>
    </row>
    <row r="84" ht="15.75" customHeight="1">
      <c r="B84" s="13" t="s">
        <v>222</v>
      </c>
      <c r="C84" s="2">
        <v>18.0</v>
      </c>
      <c r="F84" s="2">
        <f t="shared" si="1"/>
        <v>18</v>
      </c>
      <c r="H84" s="2">
        <f t="shared" si="2"/>
        <v>0</v>
      </c>
      <c r="I84" s="2" t="str">
        <f>IF(F84 &lt;= IFERROR(VLOOKUP(B84, Master_Items!C:H, 6, FALSE), 0), "REORDER", "")</f>
        <v/>
      </c>
    </row>
    <row r="85" ht="15.75" customHeight="1">
      <c r="B85" s="12" t="s">
        <v>230</v>
      </c>
      <c r="C85" s="2">
        <v>22.0</v>
      </c>
      <c r="F85" s="2">
        <f t="shared" si="1"/>
        <v>22</v>
      </c>
      <c r="H85" s="2">
        <f t="shared" si="2"/>
        <v>0</v>
      </c>
      <c r="I85" s="2" t="str">
        <f>IF(F85 &lt;= IFERROR(VLOOKUP(B85, Master_Items!C:H, 6, FALSE), 0), "REORDER", "")</f>
        <v/>
      </c>
    </row>
    <row r="86" ht="15.75" customHeight="1">
      <c r="B86" s="12" t="s">
        <v>225</v>
      </c>
      <c r="C86" s="2">
        <v>26.0</v>
      </c>
      <c r="F86" s="2">
        <f t="shared" si="1"/>
        <v>26</v>
      </c>
      <c r="H86" s="2">
        <f t="shared" si="2"/>
        <v>0</v>
      </c>
      <c r="I86" s="2" t="str">
        <f>IF(F86 &lt;= IFERROR(VLOOKUP(B86, Master_Items!C:H, 6, FALSE), 0), "REORDER", "")</f>
        <v/>
      </c>
    </row>
    <row r="87" ht="15.75" customHeight="1">
      <c r="B87" s="13" t="s">
        <v>180</v>
      </c>
      <c r="C87" s="2">
        <v>21.0</v>
      </c>
      <c r="F87" s="2">
        <f t="shared" si="1"/>
        <v>21</v>
      </c>
      <c r="H87" s="2">
        <f t="shared" si="2"/>
        <v>0</v>
      </c>
      <c r="I87" s="2" t="str">
        <f>IF(F87 &lt;= IFERROR(VLOOKUP(B87, Master_Items!C:H, 6, FALSE), 0), "REORDER", "")</f>
        <v/>
      </c>
    </row>
    <row r="88" ht="15.75" customHeight="1">
      <c r="B88" s="13" t="s">
        <v>221</v>
      </c>
      <c r="C88" s="2">
        <v>24.0</v>
      </c>
      <c r="F88" s="2">
        <f t="shared" si="1"/>
        <v>24</v>
      </c>
      <c r="H88" s="2">
        <f t="shared" si="2"/>
        <v>0</v>
      </c>
      <c r="I88" s="2" t="str">
        <f>IF(F88 &lt;= IFERROR(VLOOKUP(B88, Master_Items!C:H, 6, FALSE), 0), "REORDER", "")</f>
        <v/>
      </c>
    </row>
    <row r="89" ht="15.75" customHeight="1">
      <c r="B89" s="13" t="s">
        <v>229</v>
      </c>
      <c r="C89" s="2">
        <v>32.0</v>
      </c>
      <c r="F89" s="2">
        <f t="shared" si="1"/>
        <v>32</v>
      </c>
      <c r="H89" s="2">
        <f t="shared" si="2"/>
        <v>0</v>
      </c>
      <c r="I89" s="2" t="str">
        <f>IF(F89 &lt;= IFERROR(VLOOKUP(B89, Master_Items!C:H, 6, FALSE), 0), "REORDER", "")</f>
        <v/>
      </c>
    </row>
    <row r="90" ht="15.75" customHeight="1">
      <c r="B90" s="13" t="s">
        <v>184</v>
      </c>
      <c r="C90" s="2">
        <v>19.0</v>
      </c>
      <c r="F90" s="2">
        <f t="shared" si="1"/>
        <v>19</v>
      </c>
      <c r="H90" s="2">
        <f t="shared" si="2"/>
        <v>0</v>
      </c>
      <c r="I90" s="2" t="str">
        <f>IF(F90 &lt;= IFERROR(VLOOKUP(B90, Master_Items!C:H, 6, FALSE), 0), "REORDER", "")</f>
        <v/>
      </c>
    </row>
    <row r="91" ht="15.75" customHeight="1">
      <c r="B91" s="13" t="s">
        <v>228</v>
      </c>
      <c r="C91" s="2">
        <v>7.0</v>
      </c>
      <c r="F91" s="2">
        <f t="shared" si="1"/>
        <v>7</v>
      </c>
      <c r="H91" s="2">
        <f t="shared" si="2"/>
        <v>0</v>
      </c>
      <c r="I91" s="2" t="str">
        <f>IF(F91 &lt;= IFERROR(VLOOKUP(B91, Master_Items!C:H, 6, FALSE), 0), "REORDER", "")</f>
        <v>REORDER</v>
      </c>
    </row>
    <row r="92" ht="15.75" customHeight="1">
      <c r="B92" s="13" t="s">
        <v>219</v>
      </c>
      <c r="C92" s="2">
        <v>24.0</v>
      </c>
      <c r="F92" s="2">
        <f t="shared" si="1"/>
        <v>24</v>
      </c>
      <c r="H92" s="2">
        <f t="shared" si="2"/>
        <v>0</v>
      </c>
      <c r="I92" s="2" t="str">
        <f>IF(F92 &lt;= IFERROR(VLOOKUP(B92, Master_Items!C:H, 6, FALSE), 0), "REORDER", "")</f>
        <v/>
      </c>
    </row>
    <row r="93" ht="15.75" customHeight="1">
      <c r="B93" s="13" t="s">
        <v>224</v>
      </c>
      <c r="C93" s="2">
        <v>7.0</v>
      </c>
      <c r="F93" s="2">
        <f t="shared" si="1"/>
        <v>7</v>
      </c>
      <c r="H93" s="2">
        <f t="shared" si="2"/>
        <v>0</v>
      </c>
      <c r="I93" s="2" t="str">
        <f>IF(F93 &lt;= IFERROR(VLOOKUP(B93, Master_Items!C:H, 6, FALSE), 0), "REORDER", "")</f>
        <v>REORDER</v>
      </c>
    </row>
    <row r="94" ht="15.75" customHeight="1">
      <c r="B94" s="13" t="s">
        <v>240</v>
      </c>
      <c r="C94" s="2">
        <v>26.0</v>
      </c>
      <c r="F94" s="2">
        <f t="shared" si="1"/>
        <v>26</v>
      </c>
      <c r="H94" s="2">
        <f t="shared" si="2"/>
        <v>0</v>
      </c>
      <c r="I94" s="2" t="str">
        <f>IF(F94 &lt;= IFERROR(VLOOKUP(B94, Master_Items!C:H, 6, FALSE), 0), "REORDER", "")</f>
        <v/>
      </c>
    </row>
    <row r="95" ht="15.75" customHeight="1">
      <c r="B95" s="13" t="s">
        <v>241</v>
      </c>
      <c r="C95" s="2">
        <v>36.0</v>
      </c>
      <c r="F95" s="2">
        <f t="shared" si="1"/>
        <v>36</v>
      </c>
      <c r="H95" s="2">
        <f t="shared" si="2"/>
        <v>0</v>
      </c>
      <c r="I95" s="2" t="str">
        <f>IF(F95 &lt;= IFERROR(VLOOKUP(B95, Master_Items!C:H, 6, FALSE), 0), "REORDER", "")</f>
        <v/>
      </c>
    </row>
    <row r="96" ht="15.75" customHeight="1">
      <c r="B96" s="12" t="s">
        <v>217</v>
      </c>
      <c r="C96" s="2">
        <v>52.0</v>
      </c>
      <c r="F96" s="2">
        <f t="shared" si="1"/>
        <v>52</v>
      </c>
      <c r="H96" s="2">
        <f t="shared" si="2"/>
        <v>0</v>
      </c>
      <c r="I96" s="2" t="str">
        <f>IF(F96 &lt;= IFERROR(VLOOKUP(B96, Master_Items!C:H, 6, FALSE), 0), "REORDER", "")</f>
        <v/>
      </c>
    </row>
    <row r="97" ht="15.75" customHeight="1">
      <c r="B97" s="13" t="s">
        <v>187</v>
      </c>
      <c r="C97" s="2">
        <v>39.0</v>
      </c>
      <c r="F97" s="2">
        <f t="shared" si="1"/>
        <v>39</v>
      </c>
      <c r="H97" s="2">
        <f t="shared" si="2"/>
        <v>0</v>
      </c>
      <c r="I97" s="2" t="str">
        <f>IF(F97 &lt;= IFERROR(VLOOKUP(B97, Master_Items!C:H, 6, FALSE), 0), "REORDER", "")</f>
        <v/>
      </c>
    </row>
    <row r="98" ht="15.75" customHeight="1">
      <c r="B98" s="13" t="s">
        <v>242</v>
      </c>
      <c r="C98" s="2">
        <v>4.0</v>
      </c>
      <c r="F98" s="2">
        <f t="shared" si="1"/>
        <v>4</v>
      </c>
      <c r="H98" s="2">
        <f t="shared" si="2"/>
        <v>0</v>
      </c>
      <c r="I98" s="2" t="str">
        <f>IF(F98 &lt;= IFERROR(VLOOKUP(B98, Master_Items!C:H, 6, FALSE), 0), "REORDER", "")</f>
        <v>REORDER</v>
      </c>
    </row>
    <row r="99" ht="15.75" customHeight="1">
      <c r="B99" s="13" t="s">
        <v>207</v>
      </c>
      <c r="C99" s="2">
        <v>16.0</v>
      </c>
      <c r="F99" s="2">
        <f t="shared" si="1"/>
        <v>16</v>
      </c>
      <c r="H99" s="2">
        <f t="shared" si="2"/>
        <v>0</v>
      </c>
      <c r="I99" s="2" t="str">
        <f>IF(F99 &lt;= IFERROR(VLOOKUP(B99, Master_Items!C:H, 6, FALSE), 0), "REORDER", "")</f>
        <v/>
      </c>
    </row>
    <row r="100" ht="15.75" customHeight="1">
      <c r="B100" s="13" t="s">
        <v>243</v>
      </c>
      <c r="C100" s="2">
        <v>23.0</v>
      </c>
      <c r="F100" s="2">
        <f t="shared" si="1"/>
        <v>23</v>
      </c>
      <c r="H100" s="2">
        <f t="shared" si="2"/>
        <v>0</v>
      </c>
      <c r="I100" s="2" t="str">
        <f>IF(F100 &lt;= IFERROR(VLOOKUP(B100, Master_Items!C:H, 6, FALSE), 0), "REORDER", "")</f>
        <v/>
      </c>
    </row>
    <row r="101" ht="15.75" customHeight="1">
      <c r="B101" s="13" t="s">
        <v>244</v>
      </c>
      <c r="C101" s="2">
        <v>6.0</v>
      </c>
      <c r="F101" s="2">
        <f t="shared" si="1"/>
        <v>6</v>
      </c>
      <c r="H101" s="2">
        <f t="shared" si="2"/>
        <v>0</v>
      </c>
      <c r="I101" s="2" t="str">
        <f>IF(F101 &lt;= IFERROR(VLOOKUP(B101, Master_Items!C:H, 6, FALSE), 0), "REORDER", "")</f>
        <v>REORDER</v>
      </c>
    </row>
    <row r="102" ht="15.75" customHeight="1">
      <c r="B102" s="13" t="s">
        <v>244</v>
      </c>
      <c r="C102" s="2">
        <v>14.0</v>
      </c>
      <c r="F102" s="2">
        <f t="shared" si="1"/>
        <v>14</v>
      </c>
      <c r="H102" s="2">
        <f t="shared" si="2"/>
        <v>0</v>
      </c>
      <c r="I102" s="2" t="str">
        <f>IF(F102 &lt;= IFERROR(VLOOKUP(B102, Master_Items!C:H, 6, FALSE), 0), "REORDER", "")</f>
        <v/>
      </c>
    </row>
    <row r="103" ht="15.75" customHeight="1">
      <c r="B103" s="13" t="s">
        <v>213</v>
      </c>
      <c r="C103" s="2">
        <v>34.0</v>
      </c>
    </row>
    <row r="104" ht="15.75" customHeight="1">
      <c r="B104" s="2" t="s">
        <v>247</v>
      </c>
      <c r="C104" s="2">
        <v>7.0</v>
      </c>
      <c r="F104" s="2">
        <f t="shared" ref="F104:F627" si="3">C104 + D104 - E104</f>
        <v>7</v>
      </c>
      <c r="H104" s="2">
        <f t="shared" ref="H104:H643" si="4">F104 * G104</f>
        <v>0</v>
      </c>
      <c r="I104" s="2" t="str">
        <f>IF(F104 &lt;= IFERROR(VLOOKUP(B104, Master_Items!C:H, 6, FALSE), 0), "REORDER", "")</f>
        <v/>
      </c>
    </row>
    <row r="105" ht="15.75" customHeight="1">
      <c r="B105" s="2" t="s">
        <v>248</v>
      </c>
      <c r="C105" s="2">
        <v>2.0</v>
      </c>
      <c r="F105" s="2">
        <f t="shared" si="3"/>
        <v>2</v>
      </c>
      <c r="H105" s="2">
        <f t="shared" si="4"/>
        <v>0</v>
      </c>
      <c r="I105" s="2" t="str">
        <f>IF(F105 &lt;= IFERROR(VLOOKUP(B105, Master_Items!C:H, 6, FALSE), 0), "REORDER", "")</f>
        <v/>
      </c>
    </row>
    <row r="106" ht="15.75" customHeight="1">
      <c r="B106" s="2" t="s">
        <v>249</v>
      </c>
      <c r="C106" s="2">
        <v>4.0</v>
      </c>
      <c r="F106" s="2">
        <f t="shared" si="3"/>
        <v>4</v>
      </c>
      <c r="H106" s="2">
        <f t="shared" si="4"/>
        <v>0</v>
      </c>
      <c r="I106" s="2" t="str">
        <f>IF(F106 &lt;= IFERROR(VLOOKUP(B106, Master_Items!C:H, 6, FALSE), 0), "REORDER", "")</f>
        <v/>
      </c>
    </row>
    <row r="107" ht="15.75" customHeight="1">
      <c r="B107" s="2" t="s">
        <v>251</v>
      </c>
      <c r="C107" s="2">
        <v>2.0</v>
      </c>
      <c r="F107" s="2">
        <f t="shared" si="3"/>
        <v>2</v>
      </c>
      <c r="H107" s="2">
        <f t="shared" si="4"/>
        <v>0</v>
      </c>
      <c r="I107" s="2" t="str">
        <f>IF(F107 &lt;= IFERROR(VLOOKUP(B107, Master_Items!C:H, 6, FALSE), 0), "REORDER", "")</f>
        <v/>
      </c>
    </row>
    <row r="108" ht="15.75" customHeight="1">
      <c r="B108" s="2" t="s">
        <v>252</v>
      </c>
      <c r="C108" s="2">
        <v>3.0</v>
      </c>
      <c r="F108" s="2">
        <f t="shared" si="3"/>
        <v>3</v>
      </c>
      <c r="H108" s="2">
        <f t="shared" si="4"/>
        <v>0</v>
      </c>
      <c r="I108" s="2" t="str">
        <f>IF(F108 &lt;= IFERROR(VLOOKUP(B108, Master_Items!C:H, 6, FALSE), 0), "REORDER", "")</f>
        <v/>
      </c>
    </row>
    <row r="109" ht="15.75" customHeight="1">
      <c r="B109" s="2" t="s">
        <v>253</v>
      </c>
      <c r="C109" s="2">
        <v>4.0</v>
      </c>
      <c r="F109" s="2">
        <f t="shared" si="3"/>
        <v>4</v>
      </c>
      <c r="H109" s="2">
        <f t="shared" si="4"/>
        <v>0</v>
      </c>
      <c r="I109" s="2" t="str">
        <f>IF(F109 &lt;= IFERROR(VLOOKUP(B109, Master_Items!C:H, 6, FALSE), 0), "REORDER", "")</f>
        <v/>
      </c>
    </row>
    <row r="110" ht="15.75" customHeight="1">
      <c r="B110" s="2" t="s">
        <v>254</v>
      </c>
      <c r="C110" s="2">
        <v>5.0</v>
      </c>
      <c r="F110" s="2">
        <f t="shared" si="3"/>
        <v>5</v>
      </c>
      <c r="H110" s="2">
        <f t="shared" si="4"/>
        <v>0</v>
      </c>
      <c r="I110" s="2" t="str">
        <f>IF(F110 &lt;= IFERROR(VLOOKUP(B110, Master_Items!C:H, 6, FALSE), 0), "REORDER", "")</f>
        <v/>
      </c>
    </row>
    <row r="111" ht="15.75" customHeight="1">
      <c r="B111" s="2" t="s">
        <v>255</v>
      </c>
      <c r="C111" s="2">
        <v>2.0</v>
      </c>
      <c r="F111" s="2">
        <f t="shared" si="3"/>
        <v>2</v>
      </c>
      <c r="H111" s="2">
        <f t="shared" si="4"/>
        <v>0</v>
      </c>
      <c r="I111" s="2" t="str">
        <f>IF(F111 &lt;= IFERROR(VLOOKUP(B111, Master_Items!C:H, 6, FALSE), 0), "REORDER", "")</f>
        <v/>
      </c>
    </row>
    <row r="112" ht="15.75" customHeight="1">
      <c r="B112" s="2" t="s">
        <v>256</v>
      </c>
      <c r="C112" s="2">
        <v>3.0</v>
      </c>
      <c r="F112" s="2">
        <f t="shared" si="3"/>
        <v>3</v>
      </c>
      <c r="H112" s="2">
        <f t="shared" si="4"/>
        <v>0</v>
      </c>
      <c r="I112" s="2" t="str">
        <f>IF(F112 &lt;= IFERROR(VLOOKUP(B112, Master_Items!C:H, 6, FALSE), 0), "REORDER", "")</f>
        <v/>
      </c>
    </row>
    <row r="113" ht="15.75" customHeight="1">
      <c r="B113" s="2" t="s">
        <v>257</v>
      </c>
      <c r="C113" s="2">
        <v>3.0</v>
      </c>
      <c r="F113" s="2">
        <f t="shared" si="3"/>
        <v>3</v>
      </c>
      <c r="H113" s="2">
        <f t="shared" si="4"/>
        <v>0</v>
      </c>
      <c r="I113" s="2" t="str">
        <f>IF(F113 &lt;= IFERROR(VLOOKUP(B113, Master_Items!C:H, 6, FALSE), 0), "REORDER", "")</f>
        <v/>
      </c>
    </row>
    <row r="114" ht="15.75" customHeight="1">
      <c r="B114" s="2" t="s">
        <v>258</v>
      </c>
      <c r="C114" s="2">
        <v>1.0</v>
      </c>
      <c r="F114" s="2">
        <f t="shared" si="3"/>
        <v>1</v>
      </c>
      <c r="H114" s="2">
        <f t="shared" si="4"/>
        <v>0</v>
      </c>
      <c r="I114" s="2" t="str">
        <f>IF(F114 &lt;= IFERROR(VLOOKUP(B114, Master_Items!C:H, 6, FALSE), 0), "REORDER", "")</f>
        <v/>
      </c>
    </row>
    <row r="115" ht="15.75" customHeight="1">
      <c r="B115" s="2"/>
      <c r="F115" s="2">
        <f t="shared" si="3"/>
        <v>0</v>
      </c>
      <c r="H115" s="2">
        <f t="shared" si="4"/>
        <v>0</v>
      </c>
      <c r="I115" s="2" t="str">
        <f>IF(F115 &lt;= IFERROR(VLOOKUP(B115, Master_Items!C:H, 6, FALSE), 0), "REORDER", "")</f>
        <v>REORDER</v>
      </c>
    </row>
    <row r="116" ht="15.75" customHeight="1">
      <c r="B116" s="2"/>
      <c r="F116" s="2">
        <f t="shared" si="3"/>
        <v>0</v>
      </c>
      <c r="H116" s="2">
        <f t="shared" si="4"/>
        <v>0</v>
      </c>
      <c r="I116" s="2" t="str">
        <f>IF(F116 &lt;= IFERROR(VLOOKUP(B116, Master_Items!C:H, 6, FALSE), 0), "REORDER", "")</f>
        <v>REORDER</v>
      </c>
    </row>
    <row r="117" ht="15.75" customHeight="1">
      <c r="B117" s="2"/>
      <c r="F117" s="2">
        <f t="shared" si="3"/>
        <v>0</v>
      </c>
      <c r="H117" s="2">
        <f t="shared" si="4"/>
        <v>0</v>
      </c>
      <c r="I117" s="2" t="str">
        <f>IF(F117 &lt;= IFERROR(VLOOKUP(B117, Master_Items!C:H, 6, FALSE), 0), "REORDER", "")</f>
        <v>REORDER</v>
      </c>
    </row>
    <row r="118" ht="15.75" customHeight="1">
      <c r="B118" s="2"/>
      <c r="F118" s="2">
        <f t="shared" si="3"/>
        <v>0</v>
      </c>
      <c r="H118" s="2">
        <f t="shared" si="4"/>
        <v>0</v>
      </c>
      <c r="I118" s="2" t="str">
        <f>IF(F118 &lt;= IFERROR(VLOOKUP(B118, Master_Items!C:H, 6, FALSE), 0), "REORDER", "")</f>
        <v>REORDER</v>
      </c>
    </row>
    <row r="119" ht="15.75" customHeight="1">
      <c r="B119" s="2"/>
      <c r="F119" s="2">
        <f t="shared" si="3"/>
        <v>0</v>
      </c>
      <c r="H119" s="2">
        <f t="shared" si="4"/>
        <v>0</v>
      </c>
      <c r="I119" s="2" t="str">
        <f>IF(F119 &lt;= IFERROR(VLOOKUP(B119, Master_Items!C:H, 6, FALSE), 0), "REORDER", "")</f>
        <v>REORDER</v>
      </c>
    </row>
    <row r="120" ht="15.75" customHeight="1">
      <c r="B120" s="2"/>
      <c r="F120" s="2">
        <f t="shared" si="3"/>
        <v>0</v>
      </c>
      <c r="H120" s="2">
        <f t="shared" si="4"/>
        <v>0</v>
      </c>
      <c r="I120" s="2" t="str">
        <f>IF(F120 &lt;= IFERROR(VLOOKUP(B120, Master_Items!C:H, 6, FALSE), 0), "REORDER", "")</f>
        <v>REORDER</v>
      </c>
    </row>
    <row r="121" ht="15.75" customHeight="1">
      <c r="B121" s="2"/>
      <c r="F121" s="2">
        <f t="shared" si="3"/>
        <v>0</v>
      </c>
      <c r="H121" s="2">
        <f t="shared" si="4"/>
        <v>0</v>
      </c>
      <c r="I121" s="2" t="str">
        <f>IF(F121 &lt;= IFERROR(VLOOKUP(B121, Master_Items!C:H, 6, FALSE), 0), "REORDER", "")</f>
        <v>REORDER</v>
      </c>
    </row>
    <row r="122" ht="15.75" customHeight="1">
      <c r="B122" s="2"/>
      <c r="F122" s="2">
        <f t="shared" si="3"/>
        <v>0</v>
      </c>
      <c r="H122" s="2">
        <f t="shared" si="4"/>
        <v>0</v>
      </c>
      <c r="I122" s="2" t="str">
        <f>IF(F122 &lt;= IFERROR(VLOOKUP(B122, Master_Items!C:H, 6, FALSE), 0), "REORDER", "")</f>
        <v>REORDER</v>
      </c>
    </row>
    <row r="123" ht="15.75" customHeight="1">
      <c r="B123" s="2"/>
      <c r="F123" s="2">
        <f t="shared" si="3"/>
        <v>0</v>
      </c>
      <c r="H123" s="2">
        <f t="shared" si="4"/>
        <v>0</v>
      </c>
      <c r="I123" s="2" t="str">
        <f>IF(F123 &lt;= IFERROR(VLOOKUP(B123, Master_Items!C:H, 6, FALSE), 0), "REORDER", "")</f>
        <v>REORDER</v>
      </c>
    </row>
    <row r="124" ht="15.75" customHeight="1">
      <c r="B124" s="2"/>
      <c r="F124" s="2">
        <f t="shared" si="3"/>
        <v>0</v>
      </c>
      <c r="H124" s="2">
        <f t="shared" si="4"/>
        <v>0</v>
      </c>
      <c r="I124" s="2" t="str">
        <f>IF(F124 &lt;= IFERROR(VLOOKUP(B124, Master_Items!C:H, 6, FALSE), 0), "REORDER", "")</f>
        <v>REORDER</v>
      </c>
    </row>
    <row r="125" ht="15.75" customHeight="1">
      <c r="B125" s="2"/>
      <c r="F125" s="2">
        <f t="shared" si="3"/>
        <v>0</v>
      </c>
      <c r="H125" s="2">
        <f t="shared" si="4"/>
        <v>0</v>
      </c>
      <c r="I125" s="2" t="str">
        <f>IF(F125 &lt;= IFERROR(VLOOKUP(B125, Master_Items!C:H, 6, FALSE), 0), "REORDER", "")</f>
        <v>REORDER</v>
      </c>
    </row>
    <row r="126" ht="15.75" customHeight="1">
      <c r="B126" s="2"/>
      <c r="F126" s="2">
        <f t="shared" si="3"/>
        <v>0</v>
      </c>
      <c r="H126" s="2">
        <f t="shared" si="4"/>
        <v>0</v>
      </c>
      <c r="I126" s="2" t="str">
        <f>IF(F126 &lt;= IFERROR(VLOOKUP(B126, Master_Items!C:H, 6, FALSE), 0), "REORDER", "")</f>
        <v>REORDER</v>
      </c>
    </row>
    <row r="127" ht="15.75" customHeight="1">
      <c r="B127" s="2"/>
      <c r="F127" s="2">
        <f t="shared" si="3"/>
        <v>0</v>
      </c>
      <c r="H127" s="2">
        <f t="shared" si="4"/>
        <v>0</v>
      </c>
      <c r="I127" s="2" t="str">
        <f>IF(F127 &lt;= IFERROR(VLOOKUP(B127, Master_Items!C:H, 6, FALSE), 0), "REORDER", "")</f>
        <v>REORDER</v>
      </c>
    </row>
    <row r="128" ht="15.75" customHeight="1">
      <c r="B128" s="2"/>
      <c r="F128" s="2">
        <f t="shared" si="3"/>
        <v>0</v>
      </c>
      <c r="H128" s="2">
        <f t="shared" si="4"/>
        <v>0</v>
      </c>
      <c r="I128" s="2" t="str">
        <f>IF(F128 &lt;= IFERROR(VLOOKUP(B128, Master_Items!C:H, 6, FALSE), 0), "REORDER", "")</f>
        <v>REORDER</v>
      </c>
    </row>
    <row r="129" ht="15.75" customHeight="1">
      <c r="B129" s="2"/>
      <c r="F129" s="2">
        <f t="shared" si="3"/>
        <v>0</v>
      </c>
      <c r="H129" s="2">
        <f t="shared" si="4"/>
        <v>0</v>
      </c>
      <c r="I129" s="2" t="str">
        <f>IF(F129 &lt;= IFERROR(VLOOKUP(B129, Master_Items!C:H, 6, FALSE), 0), "REORDER", "")</f>
        <v>REORDER</v>
      </c>
    </row>
    <row r="130" ht="15.75" customHeight="1">
      <c r="B130" s="2"/>
      <c r="F130" s="2">
        <f t="shared" si="3"/>
        <v>0</v>
      </c>
      <c r="H130" s="2">
        <f t="shared" si="4"/>
        <v>0</v>
      </c>
      <c r="I130" s="2" t="str">
        <f>IF(F130 &lt;= IFERROR(VLOOKUP(B130, Master_Items!C:H, 6, FALSE), 0), "REORDER", "")</f>
        <v>REORDER</v>
      </c>
    </row>
    <row r="131" ht="15.75" customHeight="1">
      <c r="B131" s="2"/>
      <c r="F131" s="2">
        <f t="shared" si="3"/>
        <v>0</v>
      </c>
      <c r="H131" s="2">
        <f t="shared" si="4"/>
        <v>0</v>
      </c>
      <c r="I131" s="2" t="str">
        <f>IF(F131 &lt;= IFERROR(VLOOKUP(B131, Master_Items!C:H, 6, FALSE), 0), "REORDER", "")</f>
        <v>REORDER</v>
      </c>
    </row>
    <row r="132" ht="15.75" customHeight="1">
      <c r="B132" s="2"/>
      <c r="F132" s="2">
        <f t="shared" si="3"/>
        <v>0</v>
      </c>
      <c r="H132" s="2">
        <f t="shared" si="4"/>
        <v>0</v>
      </c>
      <c r="I132" s="2" t="str">
        <f>IF(F132 &lt;= IFERROR(VLOOKUP(B132, Master_Items!C:H, 6, FALSE), 0), "REORDER", "")</f>
        <v>REORDER</v>
      </c>
    </row>
    <row r="133" ht="15.75" customHeight="1">
      <c r="B133" s="2"/>
      <c r="F133" s="2">
        <f t="shared" si="3"/>
        <v>0</v>
      </c>
      <c r="H133" s="2">
        <f t="shared" si="4"/>
        <v>0</v>
      </c>
      <c r="I133" s="2" t="str">
        <f>IF(F133 &lt;= IFERROR(VLOOKUP(B133, Master_Items!C:H, 6, FALSE), 0), "REORDER", "")</f>
        <v>REORDER</v>
      </c>
    </row>
    <row r="134" ht="15.75" customHeight="1">
      <c r="B134" s="2"/>
      <c r="F134" s="2">
        <f t="shared" si="3"/>
        <v>0</v>
      </c>
      <c r="H134" s="2">
        <f t="shared" si="4"/>
        <v>0</v>
      </c>
      <c r="I134" s="2" t="str">
        <f>IF(F134 &lt;= IFERROR(VLOOKUP(B134, Master_Items!C:H, 6, FALSE), 0), "REORDER", "")</f>
        <v>REORDER</v>
      </c>
    </row>
    <row r="135" ht="15.75" customHeight="1">
      <c r="B135" s="2"/>
      <c r="F135" s="2">
        <f t="shared" si="3"/>
        <v>0</v>
      </c>
      <c r="H135" s="2">
        <f t="shared" si="4"/>
        <v>0</v>
      </c>
      <c r="I135" s="2" t="str">
        <f>IF(F135 &lt;= IFERROR(VLOOKUP(B135, Master_Items!C:H, 6, FALSE), 0), "REORDER", "")</f>
        <v>REORDER</v>
      </c>
    </row>
    <row r="136" ht="15.75" customHeight="1">
      <c r="B136" s="2"/>
      <c r="F136" s="2">
        <f t="shared" si="3"/>
        <v>0</v>
      </c>
      <c r="H136" s="2">
        <f t="shared" si="4"/>
        <v>0</v>
      </c>
      <c r="I136" s="2" t="str">
        <f>IF(F136 &lt;= IFERROR(VLOOKUP(B136, Master_Items!C:H, 6, FALSE), 0), "REORDER", "")</f>
        <v>REORDER</v>
      </c>
    </row>
    <row r="137" ht="15.75" customHeight="1">
      <c r="B137" s="2"/>
      <c r="F137" s="2">
        <f t="shared" si="3"/>
        <v>0</v>
      </c>
      <c r="H137" s="2">
        <f t="shared" si="4"/>
        <v>0</v>
      </c>
      <c r="I137" s="2" t="str">
        <f>IF(F137 &lt;= IFERROR(VLOOKUP(B137, Master_Items!C:H, 6, FALSE), 0), "REORDER", "")</f>
        <v>REORDER</v>
      </c>
    </row>
    <row r="138" ht="15.75" customHeight="1">
      <c r="B138" s="2"/>
      <c r="F138" s="2">
        <f t="shared" si="3"/>
        <v>0</v>
      </c>
      <c r="H138" s="2">
        <f t="shared" si="4"/>
        <v>0</v>
      </c>
      <c r="I138" s="2" t="str">
        <f>IF(F138 &lt;= IFERROR(VLOOKUP(B138, Master_Items!C:H, 6, FALSE), 0), "REORDER", "")</f>
        <v>REORDER</v>
      </c>
    </row>
    <row r="139" ht="15.75" customHeight="1">
      <c r="B139" s="2"/>
      <c r="F139" s="2">
        <f t="shared" si="3"/>
        <v>0</v>
      </c>
      <c r="H139" s="2">
        <f t="shared" si="4"/>
        <v>0</v>
      </c>
      <c r="I139" s="2" t="str">
        <f>IF(F139 &lt;= IFERROR(VLOOKUP(B139, Master_Items!C:H, 6, FALSE), 0), "REORDER", "")</f>
        <v>REORDER</v>
      </c>
    </row>
    <row r="140" ht="15.75" customHeight="1">
      <c r="B140" s="2"/>
      <c r="F140" s="2">
        <f t="shared" si="3"/>
        <v>0</v>
      </c>
      <c r="H140" s="2">
        <f t="shared" si="4"/>
        <v>0</v>
      </c>
      <c r="I140" s="2" t="str">
        <f>IF(F140 &lt;= IFERROR(VLOOKUP(B140, Master_Items!C:H, 6, FALSE), 0), "REORDER", "")</f>
        <v>REORDER</v>
      </c>
    </row>
    <row r="141" ht="15.75" customHeight="1">
      <c r="B141" s="2"/>
      <c r="F141" s="2">
        <f t="shared" si="3"/>
        <v>0</v>
      </c>
      <c r="H141" s="2">
        <f t="shared" si="4"/>
        <v>0</v>
      </c>
      <c r="I141" s="2" t="str">
        <f>IF(F141 &lt;= IFERROR(VLOOKUP(B141, Master_Items!C:H, 6, FALSE), 0), "REORDER", "")</f>
        <v>REORDER</v>
      </c>
    </row>
    <row r="142" ht="15.75" customHeight="1">
      <c r="B142" s="2"/>
      <c r="F142" s="2">
        <f t="shared" si="3"/>
        <v>0</v>
      </c>
      <c r="H142" s="2">
        <f t="shared" si="4"/>
        <v>0</v>
      </c>
      <c r="I142" s="2" t="str">
        <f>IF(F142 &lt;= IFERROR(VLOOKUP(B142, Master_Items!C:H, 6, FALSE), 0), "REORDER", "")</f>
        <v>REORDER</v>
      </c>
    </row>
    <row r="143" ht="15.75" customHeight="1">
      <c r="B143" s="2"/>
      <c r="F143" s="2">
        <f t="shared" si="3"/>
        <v>0</v>
      </c>
      <c r="H143" s="2">
        <f t="shared" si="4"/>
        <v>0</v>
      </c>
      <c r="I143" s="2" t="str">
        <f>IF(F143 &lt;= IFERROR(VLOOKUP(B143, Master_Items!C:H, 6, FALSE), 0), "REORDER", "")</f>
        <v>REORDER</v>
      </c>
    </row>
    <row r="144" ht="15.75" customHeight="1">
      <c r="B144" s="2"/>
      <c r="F144" s="2">
        <f t="shared" si="3"/>
        <v>0</v>
      </c>
      <c r="H144" s="2">
        <f t="shared" si="4"/>
        <v>0</v>
      </c>
      <c r="I144" s="2" t="str">
        <f>IF(F144 &lt;= IFERROR(VLOOKUP(B144, Master_Items!C:H, 6, FALSE), 0), "REORDER", "")</f>
        <v>REORDER</v>
      </c>
    </row>
    <row r="145" ht="15.75" customHeight="1">
      <c r="B145" s="2"/>
      <c r="F145" s="2">
        <f t="shared" si="3"/>
        <v>0</v>
      </c>
      <c r="H145" s="2">
        <f t="shared" si="4"/>
        <v>0</v>
      </c>
      <c r="I145" s="2" t="str">
        <f>IF(F145 &lt;= IFERROR(VLOOKUP(B145, Master_Items!C:H, 6, FALSE), 0), "REORDER", "")</f>
        <v>REORDER</v>
      </c>
    </row>
    <row r="146" ht="15.75" customHeight="1">
      <c r="B146" s="2"/>
      <c r="F146" s="2">
        <f t="shared" si="3"/>
        <v>0</v>
      </c>
      <c r="H146" s="2">
        <f t="shared" si="4"/>
        <v>0</v>
      </c>
      <c r="I146" s="2" t="str">
        <f>IF(F146 &lt;= IFERROR(VLOOKUP(B146, Master_Items!C:H, 6, FALSE), 0), "REORDER", "")</f>
        <v>REORDER</v>
      </c>
    </row>
    <row r="147" ht="15.75" customHeight="1">
      <c r="B147" s="2"/>
      <c r="F147" s="2">
        <f t="shared" si="3"/>
        <v>0</v>
      </c>
      <c r="H147" s="2">
        <f t="shared" si="4"/>
        <v>0</v>
      </c>
      <c r="I147" s="2" t="str">
        <f>IF(F147 &lt;= IFERROR(VLOOKUP(B147, Master_Items!C:H, 6, FALSE), 0), "REORDER", "")</f>
        <v>REORDER</v>
      </c>
    </row>
    <row r="148" ht="15.75" customHeight="1">
      <c r="B148" s="2"/>
      <c r="F148" s="2">
        <f t="shared" si="3"/>
        <v>0</v>
      </c>
      <c r="H148" s="2">
        <f t="shared" si="4"/>
        <v>0</v>
      </c>
      <c r="I148" s="2" t="str">
        <f>IF(F148 &lt;= IFERROR(VLOOKUP(B148, Master_Items!C:H, 6, FALSE), 0), "REORDER", "")</f>
        <v>REORDER</v>
      </c>
    </row>
    <row r="149" ht="15.75" customHeight="1">
      <c r="B149" s="2"/>
      <c r="F149" s="2">
        <f t="shared" si="3"/>
        <v>0</v>
      </c>
      <c r="H149" s="2">
        <f t="shared" si="4"/>
        <v>0</v>
      </c>
      <c r="I149" s="2" t="str">
        <f>IF(F149 &lt;= IFERROR(VLOOKUP(B149, Master_Items!C:H, 6, FALSE), 0), "REORDER", "")</f>
        <v>REORDER</v>
      </c>
    </row>
    <row r="150" ht="15.75" customHeight="1">
      <c r="B150" s="2"/>
      <c r="F150" s="2">
        <f t="shared" si="3"/>
        <v>0</v>
      </c>
      <c r="H150" s="2">
        <f t="shared" si="4"/>
        <v>0</v>
      </c>
      <c r="I150" s="2" t="str">
        <f>IF(F150 &lt;= IFERROR(VLOOKUP(B150, Master_Items!C:H, 6, FALSE), 0), "REORDER", "")</f>
        <v>REORDER</v>
      </c>
    </row>
    <row r="151" ht="15.75" customHeight="1">
      <c r="B151" s="2"/>
      <c r="F151" s="2">
        <f t="shared" si="3"/>
        <v>0</v>
      </c>
      <c r="H151" s="2">
        <f t="shared" si="4"/>
        <v>0</v>
      </c>
      <c r="I151" s="2" t="str">
        <f>IF(F151 &lt;= IFERROR(VLOOKUP(B151, Master_Items!C:H, 6, FALSE), 0), "REORDER", "")</f>
        <v>REORDER</v>
      </c>
    </row>
    <row r="152" ht="15.75" customHeight="1">
      <c r="B152" s="2"/>
      <c r="F152" s="2">
        <f t="shared" si="3"/>
        <v>0</v>
      </c>
      <c r="H152" s="2">
        <f t="shared" si="4"/>
        <v>0</v>
      </c>
      <c r="I152" s="2" t="str">
        <f>IF(F152 &lt;= IFERROR(VLOOKUP(B152, Master_Items!C:H, 6, FALSE), 0), "REORDER", "")</f>
        <v>REORDER</v>
      </c>
    </row>
    <row r="153" ht="15.75" customHeight="1">
      <c r="B153" s="2"/>
      <c r="F153" s="2">
        <f t="shared" si="3"/>
        <v>0</v>
      </c>
      <c r="H153" s="2">
        <f t="shared" si="4"/>
        <v>0</v>
      </c>
      <c r="I153" s="2" t="str">
        <f>IF(F153 &lt;= IFERROR(VLOOKUP(B153, Master_Items!C:H, 6, FALSE), 0), "REORDER", "")</f>
        <v>REORDER</v>
      </c>
    </row>
    <row r="154" ht="15.75" customHeight="1">
      <c r="B154" s="2"/>
      <c r="F154" s="2">
        <f t="shared" si="3"/>
        <v>0</v>
      </c>
      <c r="H154" s="2">
        <f t="shared" si="4"/>
        <v>0</v>
      </c>
      <c r="I154" s="2" t="str">
        <f>IF(F154 &lt;= IFERROR(VLOOKUP(B154, Master_Items!C:H, 6, FALSE), 0), "REORDER", "")</f>
        <v>REORDER</v>
      </c>
    </row>
    <row r="155" ht="15.75" customHeight="1">
      <c r="B155" s="2"/>
      <c r="F155" s="2">
        <f t="shared" si="3"/>
        <v>0</v>
      </c>
      <c r="H155" s="2">
        <f t="shared" si="4"/>
        <v>0</v>
      </c>
      <c r="I155" s="2" t="str">
        <f>IF(F155 &lt;= IFERROR(VLOOKUP(B155, Master_Items!C:H, 6, FALSE), 0), "REORDER", "")</f>
        <v>REORDER</v>
      </c>
    </row>
    <row r="156" ht="15.75" customHeight="1">
      <c r="B156" s="2"/>
      <c r="F156" s="2">
        <f t="shared" si="3"/>
        <v>0</v>
      </c>
      <c r="H156" s="2">
        <f t="shared" si="4"/>
        <v>0</v>
      </c>
      <c r="I156" s="2" t="str">
        <f>IF(F156 &lt;= IFERROR(VLOOKUP(B156, Master_Items!C:H, 6, FALSE), 0), "REORDER", "")</f>
        <v>REORDER</v>
      </c>
    </row>
    <row r="157" ht="15.75" customHeight="1">
      <c r="B157" s="2"/>
      <c r="F157" s="2">
        <f t="shared" si="3"/>
        <v>0</v>
      </c>
      <c r="H157" s="2">
        <f t="shared" si="4"/>
        <v>0</v>
      </c>
      <c r="I157" s="2" t="str">
        <f>IF(F157 &lt;= IFERROR(VLOOKUP(B157, Master_Items!C:H, 6, FALSE), 0), "REORDER", "")</f>
        <v>REORDER</v>
      </c>
    </row>
    <row r="158" ht="15.75" customHeight="1">
      <c r="B158" s="2"/>
      <c r="F158" s="2">
        <f t="shared" si="3"/>
        <v>0</v>
      </c>
      <c r="H158" s="2">
        <f t="shared" si="4"/>
        <v>0</v>
      </c>
      <c r="I158" s="2" t="str">
        <f>IF(F158 &lt;= IFERROR(VLOOKUP(B158, Master_Items!C:H, 6, FALSE), 0), "REORDER", "")</f>
        <v>REORDER</v>
      </c>
    </row>
    <row r="159" ht="15.75" customHeight="1">
      <c r="B159" s="2"/>
      <c r="F159" s="2">
        <f t="shared" si="3"/>
        <v>0</v>
      </c>
      <c r="H159" s="2">
        <f t="shared" si="4"/>
        <v>0</v>
      </c>
      <c r="I159" s="2" t="str">
        <f>IF(F159 &lt;= IFERROR(VLOOKUP(B159, Master_Items!C:H, 6, FALSE), 0), "REORDER", "")</f>
        <v>REORDER</v>
      </c>
    </row>
    <row r="160" ht="15.75" customHeight="1">
      <c r="B160" s="2"/>
      <c r="F160" s="2">
        <f t="shared" si="3"/>
        <v>0</v>
      </c>
      <c r="H160" s="2">
        <f t="shared" si="4"/>
        <v>0</v>
      </c>
      <c r="I160" s="2" t="str">
        <f>IF(F160 &lt;= IFERROR(VLOOKUP(B160, Master_Items!C:H, 6, FALSE), 0), "REORDER", "")</f>
        <v>REORDER</v>
      </c>
    </row>
    <row r="161" ht="15.75" customHeight="1">
      <c r="B161" s="2"/>
      <c r="F161" s="2">
        <f t="shared" si="3"/>
        <v>0</v>
      </c>
      <c r="H161" s="2">
        <f t="shared" si="4"/>
        <v>0</v>
      </c>
      <c r="I161" s="2" t="str">
        <f>IF(F161 &lt;= IFERROR(VLOOKUP(B161, Master_Items!C:H, 6, FALSE), 0), "REORDER", "")</f>
        <v>REORDER</v>
      </c>
    </row>
    <row r="162" ht="15.75" customHeight="1">
      <c r="B162" s="2"/>
      <c r="F162" s="2">
        <f t="shared" si="3"/>
        <v>0</v>
      </c>
      <c r="H162" s="2">
        <f t="shared" si="4"/>
        <v>0</v>
      </c>
      <c r="I162" s="2" t="str">
        <f>IF(F162 &lt;= IFERROR(VLOOKUP(B162, Master_Items!C:H, 6, FALSE), 0), "REORDER", "")</f>
        <v>REORDER</v>
      </c>
    </row>
    <row r="163" ht="15.75" customHeight="1">
      <c r="B163" s="2"/>
      <c r="F163" s="2">
        <f t="shared" si="3"/>
        <v>0</v>
      </c>
      <c r="H163" s="2">
        <f t="shared" si="4"/>
        <v>0</v>
      </c>
      <c r="I163" s="2" t="str">
        <f>IF(F163 &lt;= IFERROR(VLOOKUP(B163, Master_Items!C:H, 6, FALSE), 0), "REORDER", "")</f>
        <v>REORDER</v>
      </c>
    </row>
    <row r="164" ht="15.75" customHeight="1">
      <c r="B164" s="2"/>
      <c r="F164" s="2">
        <f t="shared" si="3"/>
        <v>0</v>
      </c>
      <c r="H164" s="2">
        <f t="shared" si="4"/>
        <v>0</v>
      </c>
      <c r="I164" s="2" t="str">
        <f>IF(F164 &lt;= IFERROR(VLOOKUP(B164, Master_Items!C:H, 6, FALSE), 0), "REORDER", "")</f>
        <v>REORDER</v>
      </c>
    </row>
    <row r="165" ht="15.75" customHeight="1">
      <c r="B165" s="2"/>
      <c r="F165" s="2">
        <f t="shared" si="3"/>
        <v>0</v>
      </c>
      <c r="H165" s="2">
        <f t="shared" si="4"/>
        <v>0</v>
      </c>
      <c r="I165" s="2" t="str">
        <f>IF(F165 &lt;= IFERROR(VLOOKUP(B165, Master_Items!C:H, 6, FALSE), 0), "REORDER", "")</f>
        <v>REORDER</v>
      </c>
    </row>
    <row r="166" ht="15.75" customHeight="1">
      <c r="B166" s="2"/>
      <c r="F166" s="2">
        <f t="shared" si="3"/>
        <v>0</v>
      </c>
      <c r="H166" s="2">
        <f t="shared" si="4"/>
        <v>0</v>
      </c>
      <c r="I166" s="2" t="str">
        <f>IF(F166 &lt;= IFERROR(VLOOKUP(B166, Master_Items!C:H, 6, FALSE), 0), "REORDER", "")</f>
        <v>REORDER</v>
      </c>
    </row>
    <row r="167" ht="15.75" customHeight="1">
      <c r="B167" s="2"/>
      <c r="F167" s="2">
        <f t="shared" si="3"/>
        <v>0</v>
      </c>
      <c r="H167" s="2">
        <f t="shared" si="4"/>
        <v>0</v>
      </c>
      <c r="I167" s="2" t="str">
        <f>IF(F167 &lt;= IFERROR(VLOOKUP(B167, Master_Items!C:H, 6, FALSE), 0), "REORDER", "")</f>
        <v>REORDER</v>
      </c>
    </row>
    <row r="168" ht="15.75" customHeight="1">
      <c r="B168" s="2"/>
      <c r="F168" s="2">
        <f t="shared" si="3"/>
        <v>0</v>
      </c>
      <c r="H168" s="2">
        <f t="shared" si="4"/>
        <v>0</v>
      </c>
      <c r="I168" s="2" t="str">
        <f>IF(F168 &lt;= IFERROR(VLOOKUP(B168, Master_Items!C:H, 6, FALSE), 0), "REORDER", "")</f>
        <v>REORDER</v>
      </c>
    </row>
    <row r="169" ht="15.75" customHeight="1">
      <c r="B169" s="2"/>
      <c r="F169" s="2">
        <f t="shared" si="3"/>
        <v>0</v>
      </c>
      <c r="H169" s="2">
        <f t="shared" si="4"/>
        <v>0</v>
      </c>
      <c r="I169" s="2" t="str">
        <f>IF(F169 &lt;= IFERROR(VLOOKUP(B169, Master_Items!C:H, 6, FALSE), 0), "REORDER", "")</f>
        <v>REORDER</v>
      </c>
    </row>
    <row r="170" ht="15.75" customHeight="1">
      <c r="B170" s="2"/>
      <c r="F170" s="2">
        <f t="shared" si="3"/>
        <v>0</v>
      </c>
      <c r="H170" s="2">
        <f t="shared" si="4"/>
        <v>0</v>
      </c>
      <c r="I170" s="2" t="str">
        <f>IF(F170 &lt;= IFERROR(VLOOKUP(B170, Master_Items!C:H, 6, FALSE), 0), "REORDER", "")</f>
        <v>REORDER</v>
      </c>
    </row>
    <row r="171" ht="15.75" customHeight="1">
      <c r="B171" s="2"/>
      <c r="F171" s="2">
        <f t="shared" si="3"/>
        <v>0</v>
      </c>
      <c r="H171" s="2">
        <f t="shared" si="4"/>
        <v>0</v>
      </c>
      <c r="I171" s="2" t="str">
        <f>IF(F171 &lt;= IFERROR(VLOOKUP(B171, Master_Items!C:H, 6, FALSE), 0), "REORDER", "")</f>
        <v>REORDER</v>
      </c>
    </row>
    <row r="172" ht="15.75" customHeight="1">
      <c r="B172" s="2"/>
      <c r="F172" s="2">
        <f t="shared" si="3"/>
        <v>0</v>
      </c>
      <c r="H172" s="2">
        <f t="shared" si="4"/>
        <v>0</v>
      </c>
      <c r="I172" s="2" t="str">
        <f>IF(F172 &lt;= IFERROR(VLOOKUP(B172, Master_Items!C:H, 6, FALSE), 0), "REORDER", "")</f>
        <v>REORDER</v>
      </c>
    </row>
    <row r="173" ht="15.75" customHeight="1">
      <c r="B173" s="2"/>
      <c r="F173" s="2">
        <f t="shared" si="3"/>
        <v>0</v>
      </c>
      <c r="H173" s="2">
        <f t="shared" si="4"/>
        <v>0</v>
      </c>
      <c r="I173" s="2" t="str">
        <f>IF(F173 &lt;= IFERROR(VLOOKUP(B173, Master_Items!C:H, 6, FALSE), 0), "REORDER", "")</f>
        <v>REORDER</v>
      </c>
    </row>
    <row r="174" ht="15.75" customHeight="1">
      <c r="B174" s="2"/>
      <c r="F174" s="2">
        <f t="shared" si="3"/>
        <v>0</v>
      </c>
      <c r="H174" s="2">
        <f t="shared" si="4"/>
        <v>0</v>
      </c>
      <c r="I174" s="2" t="str">
        <f>IF(F174 &lt;= IFERROR(VLOOKUP(B174, Master_Items!C:H, 6, FALSE), 0), "REORDER", "")</f>
        <v>REORDER</v>
      </c>
    </row>
    <row r="175" ht="15.75" customHeight="1">
      <c r="B175" s="2"/>
      <c r="F175" s="2">
        <f t="shared" si="3"/>
        <v>0</v>
      </c>
      <c r="H175" s="2">
        <f t="shared" si="4"/>
        <v>0</v>
      </c>
      <c r="I175" s="2" t="str">
        <f>IF(F175 &lt;= IFERROR(VLOOKUP(B175, Master_Items!C:H, 6, FALSE), 0), "REORDER", "")</f>
        <v>REORDER</v>
      </c>
    </row>
    <row r="176" ht="15.75" customHeight="1">
      <c r="B176" s="2"/>
      <c r="F176" s="2">
        <f t="shared" si="3"/>
        <v>0</v>
      </c>
      <c r="H176" s="2">
        <f t="shared" si="4"/>
        <v>0</v>
      </c>
      <c r="I176" s="2" t="str">
        <f>IF(F176 &lt;= IFERROR(VLOOKUP(B176, Master_Items!C:H, 6, FALSE), 0), "REORDER", "")</f>
        <v>REORDER</v>
      </c>
    </row>
    <row r="177" ht="15.75" customHeight="1">
      <c r="B177" s="2"/>
      <c r="F177" s="2">
        <f t="shared" si="3"/>
        <v>0</v>
      </c>
      <c r="H177" s="2">
        <f t="shared" si="4"/>
        <v>0</v>
      </c>
      <c r="I177" s="2" t="str">
        <f>IF(F177 &lt;= IFERROR(VLOOKUP(B177, Master_Items!C:H, 6, FALSE), 0), "REORDER", "")</f>
        <v>REORDER</v>
      </c>
    </row>
    <row r="178" ht="15.75" customHeight="1">
      <c r="B178" s="2"/>
      <c r="F178" s="2">
        <f t="shared" si="3"/>
        <v>0</v>
      </c>
      <c r="H178" s="2">
        <f t="shared" si="4"/>
        <v>0</v>
      </c>
      <c r="I178" s="2" t="str">
        <f>IF(F178 &lt;= IFERROR(VLOOKUP(B178, Master_Items!C:H, 6, FALSE), 0), "REORDER", "")</f>
        <v>REORDER</v>
      </c>
    </row>
    <row r="179" ht="15.75" customHeight="1">
      <c r="B179" s="2"/>
      <c r="F179" s="2">
        <f t="shared" si="3"/>
        <v>0</v>
      </c>
      <c r="H179" s="2">
        <f t="shared" si="4"/>
        <v>0</v>
      </c>
      <c r="I179" s="2" t="str">
        <f>IF(F179 &lt;= IFERROR(VLOOKUP(B179, Master_Items!C:H, 6, FALSE), 0), "REORDER", "")</f>
        <v>REORDER</v>
      </c>
    </row>
    <row r="180" ht="15.75" customHeight="1">
      <c r="B180" s="2"/>
      <c r="F180" s="2">
        <f t="shared" si="3"/>
        <v>0</v>
      </c>
      <c r="H180" s="2">
        <f t="shared" si="4"/>
        <v>0</v>
      </c>
      <c r="I180" s="2" t="str">
        <f>IF(F180 &lt;= IFERROR(VLOOKUP(B180, Master_Items!C:H, 6, FALSE), 0), "REORDER", "")</f>
        <v>REORDER</v>
      </c>
    </row>
    <row r="181" ht="15.75" customHeight="1">
      <c r="B181" s="2"/>
      <c r="F181" s="2">
        <f t="shared" si="3"/>
        <v>0</v>
      </c>
      <c r="H181" s="2">
        <f t="shared" si="4"/>
        <v>0</v>
      </c>
      <c r="I181" s="2" t="str">
        <f>IF(F181 &lt;= IFERROR(VLOOKUP(B181, Master_Items!C:H, 6, FALSE), 0), "REORDER", "")</f>
        <v>REORDER</v>
      </c>
    </row>
    <row r="182" ht="15.75" customHeight="1">
      <c r="B182" s="2"/>
      <c r="F182" s="2">
        <f t="shared" si="3"/>
        <v>0</v>
      </c>
      <c r="H182" s="2">
        <f t="shared" si="4"/>
        <v>0</v>
      </c>
      <c r="I182" s="2" t="str">
        <f>IF(F182 &lt;= IFERROR(VLOOKUP(B182, Master_Items!C:H, 6, FALSE), 0), "REORDER", "")</f>
        <v>REORDER</v>
      </c>
    </row>
    <row r="183" ht="15.75" customHeight="1">
      <c r="B183" s="2"/>
      <c r="F183" s="2">
        <f t="shared" si="3"/>
        <v>0</v>
      </c>
      <c r="H183" s="2">
        <f t="shared" si="4"/>
        <v>0</v>
      </c>
      <c r="I183" s="2" t="str">
        <f>IF(F183 &lt;= IFERROR(VLOOKUP(B183, Master_Items!C:H, 6, FALSE), 0), "REORDER", "")</f>
        <v>REORDER</v>
      </c>
    </row>
    <row r="184" ht="15.75" customHeight="1">
      <c r="B184" s="2"/>
      <c r="F184" s="2">
        <f t="shared" si="3"/>
        <v>0</v>
      </c>
      <c r="H184" s="2">
        <f t="shared" si="4"/>
        <v>0</v>
      </c>
      <c r="I184" s="2" t="str">
        <f>IF(F184 &lt;= IFERROR(VLOOKUP(B184, Master_Items!C:H, 6, FALSE), 0), "REORDER", "")</f>
        <v>REORDER</v>
      </c>
    </row>
    <row r="185" ht="15.75" customHeight="1">
      <c r="B185" s="2"/>
      <c r="F185" s="2">
        <f t="shared" si="3"/>
        <v>0</v>
      </c>
      <c r="H185" s="2">
        <f t="shared" si="4"/>
        <v>0</v>
      </c>
      <c r="I185" s="2" t="str">
        <f>IF(F185 &lt;= IFERROR(VLOOKUP(B185, Master_Items!C:H, 6, FALSE), 0), "REORDER", "")</f>
        <v>REORDER</v>
      </c>
    </row>
    <row r="186" ht="15.75" customHeight="1">
      <c r="B186" s="2"/>
      <c r="F186" s="2">
        <f t="shared" si="3"/>
        <v>0</v>
      </c>
      <c r="H186" s="2">
        <f t="shared" si="4"/>
        <v>0</v>
      </c>
      <c r="I186" s="2" t="str">
        <f>IF(F186 &lt;= IFERROR(VLOOKUP(B186, Master_Items!C:H, 6, FALSE), 0), "REORDER", "")</f>
        <v>REORDER</v>
      </c>
    </row>
    <row r="187" ht="15.75" customHeight="1">
      <c r="B187" s="2"/>
      <c r="F187" s="2">
        <f t="shared" si="3"/>
        <v>0</v>
      </c>
      <c r="H187" s="2">
        <f t="shared" si="4"/>
        <v>0</v>
      </c>
      <c r="I187" s="2" t="str">
        <f>IF(F187 &lt;= IFERROR(VLOOKUP(B187, Master_Items!C:H, 6, FALSE), 0), "REORDER", "")</f>
        <v>REORDER</v>
      </c>
    </row>
    <row r="188" ht="15.75" customHeight="1">
      <c r="B188" s="2"/>
      <c r="F188" s="2">
        <f t="shared" si="3"/>
        <v>0</v>
      </c>
      <c r="H188" s="2">
        <f t="shared" si="4"/>
        <v>0</v>
      </c>
      <c r="I188" s="2" t="str">
        <f>IF(F188 &lt;= IFERROR(VLOOKUP(B188, Master_Items!C:H, 6, FALSE), 0), "REORDER", "")</f>
        <v>REORDER</v>
      </c>
    </row>
    <row r="189" ht="15.75" customHeight="1">
      <c r="B189" s="2"/>
      <c r="F189" s="2">
        <f t="shared" si="3"/>
        <v>0</v>
      </c>
      <c r="H189" s="2">
        <f t="shared" si="4"/>
        <v>0</v>
      </c>
      <c r="I189" s="2" t="str">
        <f>IF(F189 &lt;= IFERROR(VLOOKUP(B189, Master_Items!C:H, 6, FALSE), 0), "REORDER", "")</f>
        <v>REORDER</v>
      </c>
    </row>
    <row r="190" ht="15.75" customHeight="1">
      <c r="B190" s="2"/>
      <c r="F190" s="2">
        <f t="shared" si="3"/>
        <v>0</v>
      </c>
      <c r="H190" s="2">
        <f t="shared" si="4"/>
        <v>0</v>
      </c>
      <c r="I190" s="2" t="str">
        <f>IF(F190 &lt;= IFERROR(VLOOKUP(B190, Master_Items!C:H, 6, FALSE), 0), "REORDER", "")</f>
        <v>REORDER</v>
      </c>
    </row>
    <row r="191" ht="15.75" customHeight="1">
      <c r="B191" s="2"/>
      <c r="F191" s="2">
        <f t="shared" si="3"/>
        <v>0</v>
      </c>
      <c r="H191" s="2">
        <f t="shared" si="4"/>
        <v>0</v>
      </c>
      <c r="I191" s="2" t="str">
        <f>IF(F191 &lt;= IFERROR(VLOOKUP(B191, Master_Items!C:H, 6, FALSE), 0), "REORDER", "")</f>
        <v>REORDER</v>
      </c>
    </row>
    <row r="192" ht="15.75" customHeight="1">
      <c r="B192" s="2"/>
      <c r="F192" s="2">
        <f t="shared" si="3"/>
        <v>0</v>
      </c>
      <c r="H192" s="2">
        <f t="shared" si="4"/>
        <v>0</v>
      </c>
      <c r="I192" s="2" t="str">
        <f>IF(F192 &lt;= IFERROR(VLOOKUP(B192, Master_Items!C:H, 6, FALSE), 0), "REORDER", "")</f>
        <v>REORDER</v>
      </c>
    </row>
    <row r="193" ht="15.75" customHeight="1">
      <c r="B193" s="2"/>
      <c r="F193" s="2">
        <f t="shared" si="3"/>
        <v>0</v>
      </c>
      <c r="H193" s="2">
        <f t="shared" si="4"/>
        <v>0</v>
      </c>
      <c r="I193" s="2" t="str">
        <f>IF(F193 &lt;= IFERROR(VLOOKUP(B193, Master_Items!C:H, 6, FALSE), 0), "REORDER", "")</f>
        <v>REORDER</v>
      </c>
    </row>
    <row r="194" ht="15.75" customHeight="1">
      <c r="B194" s="2"/>
      <c r="F194" s="2">
        <f t="shared" si="3"/>
        <v>0</v>
      </c>
      <c r="H194" s="2">
        <f t="shared" si="4"/>
        <v>0</v>
      </c>
      <c r="I194" s="2" t="str">
        <f>IF(F194 &lt;= IFERROR(VLOOKUP(B194, Master_Items!C:H, 6, FALSE), 0), "REORDER", "")</f>
        <v>REORDER</v>
      </c>
    </row>
    <row r="195" ht="15.75" customHeight="1">
      <c r="B195" s="2"/>
      <c r="F195" s="2">
        <f t="shared" si="3"/>
        <v>0</v>
      </c>
      <c r="H195" s="2">
        <f t="shared" si="4"/>
        <v>0</v>
      </c>
      <c r="I195" s="2" t="str">
        <f>IF(F195 &lt;= IFERROR(VLOOKUP(B195, Master_Items!C:H, 6, FALSE), 0), "REORDER", "")</f>
        <v>REORDER</v>
      </c>
    </row>
    <row r="196" ht="15.75" customHeight="1">
      <c r="B196" s="2"/>
      <c r="F196" s="2">
        <f t="shared" si="3"/>
        <v>0</v>
      </c>
      <c r="H196" s="2">
        <f t="shared" si="4"/>
        <v>0</v>
      </c>
      <c r="I196" s="2" t="str">
        <f>IF(F196 &lt;= IFERROR(VLOOKUP(B196, Master_Items!C:H, 6, FALSE), 0), "REORDER", "")</f>
        <v>REORDER</v>
      </c>
    </row>
    <row r="197" ht="15.75" customHeight="1">
      <c r="B197" s="2"/>
      <c r="F197" s="2">
        <f t="shared" si="3"/>
        <v>0</v>
      </c>
      <c r="H197" s="2">
        <f t="shared" si="4"/>
        <v>0</v>
      </c>
      <c r="I197" s="2" t="str">
        <f>IF(F197 &lt;= IFERROR(VLOOKUP(B197, Master_Items!C:H, 6, FALSE), 0), "REORDER", "")</f>
        <v>REORDER</v>
      </c>
    </row>
    <row r="198" ht="15.75" customHeight="1">
      <c r="B198" s="2"/>
      <c r="F198" s="2">
        <f t="shared" si="3"/>
        <v>0</v>
      </c>
      <c r="H198" s="2">
        <f t="shared" si="4"/>
        <v>0</v>
      </c>
      <c r="I198" s="2" t="str">
        <f>IF(F198 &lt;= IFERROR(VLOOKUP(B198, Master_Items!C:H, 6, FALSE), 0), "REORDER", "")</f>
        <v>REORDER</v>
      </c>
    </row>
    <row r="199" ht="15.75" customHeight="1">
      <c r="B199" s="2"/>
      <c r="F199" s="2">
        <f t="shared" si="3"/>
        <v>0</v>
      </c>
      <c r="H199" s="2">
        <f t="shared" si="4"/>
        <v>0</v>
      </c>
      <c r="I199" s="2" t="str">
        <f>IF(F199 &lt;= IFERROR(VLOOKUP(B199, Master_Items!C:H, 6, FALSE), 0), "REORDER", "")</f>
        <v>REORDER</v>
      </c>
    </row>
    <row r="200" ht="15.75" customHeight="1">
      <c r="B200" s="2"/>
      <c r="F200" s="2">
        <f t="shared" si="3"/>
        <v>0</v>
      </c>
      <c r="H200" s="2">
        <f t="shared" si="4"/>
        <v>0</v>
      </c>
      <c r="I200" s="2" t="str">
        <f>IF(F200 &lt;= IFERROR(VLOOKUP(B200, Master_Items!C:H, 6, FALSE), 0), "REORDER", "")</f>
        <v>REORDER</v>
      </c>
    </row>
    <row r="201" ht="15.75" customHeight="1">
      <c r="B201" s="2"/>
      <c r="F201" s="2">
        <f t="shared" si="3"/>
        <v>0</v>
      </c>
      <c r="H201" s="2">
        <f t="shared" si="4"/>
        <v>0</v>
      </c>
      <c r="I201" s="2" t="str">
        <f>IF(F201 &lt;= IFERROR(VLOOKUP(B201, Master_Items!C:H, 6, FALSE), 0), "REORDER", "")</f>
        <v>REORDER</v>
      </c>
    </row>
    <row r="202" ht="15.75" customHeight="1">
      <c r="B202" s="2"/>
      <c r="F202" s="2">
        <f t="shared" si="3"/>
        <v>0</v>
      </c>
      <c r="H202" s="2">
        <f t="shared" si="4"/>
        <v>0</v>
      </c>
      <c r="I202" s="2" t="str">
        <f>IF(F202 &lt;= IFERROR(VLOOKUP(B202, Master_Items!C:H, 6, FALSE), 0), "REORDER", "")</f>
        <v>REORDER</v>
      </c>
    </row>
    <row r="203" ht="15.75" customHeight="1">
      <c r="B203" s="2"/>
      <c r="F203" s="2">
        <f t="shared" si="3"/>
        <v>0</v>
      </c>
      <c r="H203" s="2">
        <f t="shared" si="4"/>
        <v>0</v>
      </c>
      <c r="I203" s="2" t="str">
        <f>IF(F203 &lt;= IFERROR(VLOOKUP(B203, Master_Items!C:H, 6, FALSE), 0), "REORDER", "")</f>
        <v>REORDER</v>
      </c>
    </row>
    <row r="204" ht="15.75" customHeight="1">
      <c r="B204" s="2"/>
      <c r="F204" s="2">
        <f t="shared" si="3"/>
        <v>0</v>
      </c>
      <c r="H204" s="2">
        <f t="shared" si="4"/>
        <v>0</v>
      </c>
      <c r="I204" s="2" t="str">
        <f>IF(F204 &lt;= IFERROR(VLOOKUP(B204, Master_Items!C:H, 6, FALSE), 0), "REORDER", "")</f>
        <v>REORDER</v>
      </c>
    </row>
    <row r="205" ht="15.75" customHeight="1">
      <c r="B205" s="2"/>
      <c r="F205" s="2">
        <f t="shared" si="3"/>
        <v>0</v>
      </c>
      <c r="H205" s="2">
        <f t="shared" si="4"/>
        <v>0</v>
      </c>
      <c r="I205" s="2" t="str">
        <f>IF(F205 &lt;= IFERROR(VLOOKUP(B205, Master_Items!C:H, 6, FALSE), 0), "REORDER", "")</f>
        <v>REORDER</v>
      </c>
    </row>
    <row r="206" ht="15.75" customHeight="1">
      <c r="B206" s="2"/>
      <c r="F206" s="2">
        <f t="shared" si="3"/>
        <v>0</v>
      </c>
      <c r="H206" s="2">
        <f t="shared" si="4"/>
        <v>0</v>
      </c>
      <c r="I206" s="2" t="str">
        <f>IF(F206 &lt;= IFERROR(VLOOKUP(B206, Master_Items!C:H, 6, FALSE), 0), "REORDER", "")</f>
        <v>REORDER</v>
      </c>
    </row>
    <row r="207" ht="15.75" customHeight="1">
      <c r="B207" s="2"/>
      <c r="F207" s="2">
        <f t="shared" si="3"/>
        <v>0</v>
      </c>
      <c r="H207" s="2">
        <f t="shared" si="4"/>
        <v>0</v>
      </c>
      <c r="I207" s="2" t="str">
        <f>IF(F207 &lt;= IFERROR(VLOOKUP(B207, Master_Items!C:H, 6, FALSE), 0), "REORDER", "")</f>
        <v>REORDER</v>
      </c>
    </row>
    <row r="208" ht="15.75" customHeight="1">
      <c r="B208" s="2"/>
      <c r="F208" s="2">
        <f t="shared" si="3"/>
        <v>0</v>
      </c>
      <c r="H208" s="2">
        <f t="shared" si="4"/>
        <v>0</v>
      </c>
      <c r="I208" s="2" t="str">
        <f>IF(F208 &lt;= IFERROR(VLOOKUP(B208, Master_Items!C:H, 6, FALSE), 0), "REORDER", "")</f>
        <v>REORDER</v>
      </c>
    </row>
    <row r="209" ht="15.75" customHeight="1">
      <c r="B209" s="2"/>
      <c r="F209" s="2">
        <f t="shared" si="3"/>
        <v>0</v>
      </c>
      <c r="H209" s="2">
        <f t="shared" si="4"/>
        <v>0</v>
      </c>
      <c r="I209" s="2" t="str">
        <f>IF(F209 &lt;= IFERROR(VLOOKUP(B209, Master_Items!C:H, 6, FALSE), 0), "REORDER", "")</f>
        <v>REORDER</v>
      </c>
    </row>
    <row r="210" ht="15.75" customHeight="1">
      <c r="B210" s="2"/>
      <c r="F210" s="2">
        <f t="shared" si="3"/>
        <v>0</v>
      </c>
      <c r="H210" s="2">
        <f t="shared" si="4"/>
        <v>0</v>
      </c>
      <c r="I210" s="2" t="str">
        <f>IF(F210 &lt;= IFERROR(VLOOKUP(B210, Master_Items!C:H, 6, FALSE), 0), "REORDER", "")</f>
        <v>REORDER</v>
      </c>
    </row>
    <row r="211" ht="15.75" customHeight="1">
      <c r="B211" s="2"/>
      <c r="F211" s="2">
        <f t="shared" si="3"/>
        <v>0</v>
      </c>
      <c r="H211" s="2">
        <f t="shared" si="4"/>
        <v>0</v>
      </c>
      <c r="I211" s="2" t="str">
        <f>IF(F211 &lt;= IFERROR(VLOOKUP(B211, Master_Items!C:H, 6, FALSE), 0), "REORDER", "")</f>
        <v>REORDER</v>
      </c>
    </row>
    <row r="212" ht="15.75" customHeight="1">
      <c r="B212" s="2"/>
      <c r="F212" s="2">
        <f t="shared" si="3"/>
        <v>0</v>
      </c>
      <c r="H212" s="2">
        <f t="shared" si="4"/>
        <v>0</v>
      </c>
      <c r="I212" s="2" t="str">
        <f>IF(F212 &lt;= IFERROR(VLOOKUP(B212, Master_Items!C:H, 6, FALSE), 0), "REORDER", "")</f>
        <v>REORDER</v>
      </c>
    </row>
    <row r="213" ht="15.75" customHeight="1">
      <c r="B213" s="2"/>
      <c r="F213" s="2">
        <f t="shared" si="3"/>
        <v>0</v>
      </c>
      <c r="H213" s="2">
        <f t="shared" si="4"/>
        <v>0</v>
      </c>
      <c r="I213" s="2" t="str">
        <f>IF(F213 &lt;= IFERROR(VLOOKUP(B213, Master_Items!C:H, 6, FALSE), 0), "REORDER", "")</f>
        <v>REORDER</v>
      </c>
    </row>
    <row r="214" ht="15.75" customHeight="1">
      <c r="B214" s="2"/>
      <c r="F214" s="2">
        <f t="shared" si="3"/>
        <v>0</v>
      </c>
      <c r="H214" s="2">
        <f t="shared" si="4"/>
        <v>0</v>
      </c>
      <c r="I214" s="2" t="str">
        <f>IF(F214 &lt;= IFERROR(VLOOKUP(B214, Master_Items!C:H, 6, FALSE), 0), "REORDER", "")</f>
        <v>REORDER</v>
      </c>
    </row>
    <row r="215" ht="15.75" customHeight="1">
      <c r="B215" s="2"/>
      <c r="F215" s="2">
        <f t="shared" si="3"/>
        <v>0</v>
      </c>
      <c r="H215" s="2">
        <f t="shared" si="4"/>
        <v>0</v>
      </c>
      <c r="I215" s="2" t="str">
        <f>IF(F215 &lt;= IFERROR(VLOOKUP(B215, Master_Items!C:H, 6, FALSE), 0), "REORDER", "")</f>
        <v>REORDER</v>
      </c>
    </row>
    <row r="216" ht="15.75" customHeight="1">
      <c r="B216" s="2"/>
      <c r="F216" s="2">
        <f t="shared" si="3"/>
        <v>0</v>
      </c>
      <c r="H216" s="2">
        <f t="shared" si="4"/>
        <v>0</v>
      </c>
      <c r="I216" s="2" t="str">
        <f>IF(F216 &lt;= IFERROR(VLOOKUP(B216, Master_Items!C:H, 6, FALSE), 0), "REORDER", "")</f>
        <v>REORDER</v>
      </c>
    </row>
    <row r="217" ht="15.75" customHeight="1">
      <c r="B217" s="2"/>
      <c r="F217" s="2">
        <f t="shared" si="3"/>
        <v>0</v>
      </c>
      <c r="H217" s="2">
        <f t="shared" si="4"/>
        <v>0</v>
      </c>
      <c r="I217" s="2" t="str">
        <f>IF(F217 &lt;= IFERROR(VLOOKUP(B217, Master_Items!C:H, 6, FALSE), 0), "REORDER", "")</f>
        <v>REORDER</v>
      </c>
    </row>
    <row r="218" ht="15.75" customHeight="1">
      <c r="B218" s="2"/>
      <c r="F218" s="2">
        <f t="shared" si="3"/>
        <v>0</v>
      </c>
      <c r="H218" s="2">
        <f t="shared" si="4"/>
        <v>0</v>
      </c>
      <c r="I218" s="2" t="str">
        <f>IF(F218 &lt;= IFERROR(VLOOKUP(B218, Master_Items!C:H, 6, FALSE), 0), "REORDER", "")</f>
        <v>REORDER</v>
      </c>
    </row>
    <row r="219" ht="15.75" customHeight="1">
      <c r="B219" s="2"/>
      <c r="F219" s="2">
        <f t="shared" si="3"/>
        <v>0</v>
      </c>
      <c r="H219" s="2">
        <f t="shared" si="4"/>
        <v>0</v>
      </c>
      <c r="I219" s="2" t="str">
        <f>IF(F219 &lt;= IFERROR(VLOOKUP(B219, Master_Items!C:H, 6, FALSE), 0), "REORDER", "")</f>
        <v>REORDER</v>
      </c>
    </row>
    <row r="220" ht="15.75" customHeight="1">
      <c r="B220" s="2"/>
      <c r="F220" s="2">
        <f t="shared" si="3"/>
        <v>0</v>
      </c>
      <c r="H220" s="2">
        <f t="shared" si="4"/>
        <v>0</v>
      </c>
      <c r="I220" s="2" t="str">
        <f>IF(F220 &lt;= IFERROR(VLOOKUP(B220, Master_Items!C:H, 6, FALSE), 0), "REORDER", "")</f>
        <v>REORDER</v>
      </c>
    </row>
    <row r="221" ht="15.75" customHeight="1">
      <c r="B221" s="2"/>
      <c r="F221" s="2">
        <f t="shared" si="3"/>
        <v>0</v>
      </c>
      <c r="H221" s="2">
        <f t="shared" si="4"/>
        <v>0</v>
      </c>
      <c r="I221" s="2" t="str">
        <f>IF(F221 &lt;= IFERROR(VLOOKUP(B221, Master_Items!C:H, 6, FALSE), 0), "REORDER", "")</f>
        <v>REORDER</v>
      </c>
    </row>
    <row r="222" ht="15.75" customHeight="1">
      <c r="B222" s="2"/>
      <c r="F222" s="2">
        <f t="shared" si="3"/>
        <v>0</v>
      </c>
      <c r="H222" s="2">
        <f t="shared" si="4"/>
        <v>0</v>
      </c>
      <c r="I222" s="2" t="str">
        <f>IF(F222 &lt;= IFERROR(VLOOKUP(B222, Master_Items!C:H, 6, FALSE), 0), "REORDER", "")</f>
        <v>REORDER</v>
      </c>
    </row>
    <row r="223" ht="15.75" customHeight="1">
      <c r="B223" s="2"/>
      <c r="F223" s="2">
        <f t="shared" si="3"/>
        <v>0</v>
      </c>
      <c r="H223" s="2">
        <f t="shared" si="4"/>
        <v>0</v>
      </c>
      <c r="I223" s="2" t="str">
        <f>IF(F223 &lt;= IFERROR(VLOOKUP(B223, Master_Items!C:H, 6, FALSE), 0), "REORDER", "")</f>
        <v>REORDER</v>
      </c>
    </row>
    <row r="224" ht="15.75" customHeight="1">
      <c r="B224" s="2"/>
      <c r="F224" s="2">
        <f t="shared" si="3"/>
        <v>0</v>
      </c>
      <c r="H224" s="2">
        <f t="shared" si="4"/>
        <v>0</v>
      </c>
      <c r="I224" s="2" t="str">
        <f>IF(F224 &lt;= IFERROR(VLOOKUP(B224, Master_Items!C:H, 6, FALSE), 0), "REORDER", "")</f>
        <v>REORDER</v>
      </c>
    </row>
    <row r="225" ht="15.75" customHeight="1">
      <c r="B225" s="2"/>
      <c r="F225" s="2">
        <f t="shared" si="3"/>
        <v>0</v>
      </c>
      <c r="H225" s="2">
        <f t="shared" si="4"/>
        <v>0</v>
      </c>
      <c r="I225" s="2" t="str">
        <f>IF(F225 &lt;= IFERROR(VLOOKUP(B225, Master_Items!C:H, 6, FALSE), 0), "REORDER", "")</f>
        <v>REORDER</v>
      </c>
    </row>
    <row r="226" ht="15.75" customHeight="1">
      <c r="B226" s="2"/>
      <c r="F226" s="2">
        <f t="shared" si="3"/>
        <v>0</v>
      </c>
      <c r="H226" s="2">
        <f t="shared" si="4"/>
        <v>0</v>
      </c>
      <c r="I226" s="2" t="str">
        <f>IF(F226 &lt;= IFERROR(VLOOKUP(B226, Master_Items!C:H, 6, FALSE), 0), "REORDER", "")</f>
        <v>REORDER</v>
      </c>
    </row>
    <row r="227" ht="15.75" customHeight="1">
      <c r="B227" s="2"/>
      <c r="F227" s="2">
        <f t="shared" si="3"/>
        <v>0</v>
      </c>
      <c r="H227" s="2">
        <f t="shared" si="4"/>
        <v>0</v>
      </c>
      <c r="I227" s="2" t="str">
        <f>IF(F227 &lt;= IFERROR(VLOOKUP(B227, Master_Items!C:H, 6, FALSE), 0), "REORDER", "")</f>
        <v>REORDER</v>
      </c>
    </row>
    <row r="228" ht="15.75" customHeight="1">
      <c r="B228" s="2"/>
      <c r="F228" s="2">
        <f t="shared" si="3"/>
        <v>0</v>
      </c>
      <c r="H228" s="2">
        <f t="shared" si="4"/>
        <v>0</v>
      </c>
      <c r="I228" s="2" t="str">
        <f>IF(F228 &lt;= IFERROR(VLOOKUP(B228, Master_Items!C:H, 6, FALSE), 0), "REORDER", "")</f>
        <v>REORDER</v>
      </c>
    </row>
    <row r="229" ht="15.75" customHeight="1">
      <c r="B229" s="2"/>
      <c r="F229" s="2">
        <f t="shared" si="3"/>
        <v>0</v>
      </c>
      <c r="H229" s="2">
        <f t="shared" si="4"/>
        <v>0</v>
      </c>
      <c r="I229" s="2" t="str">
        <f>IF(F229 &lt;= IFERROR(VLOOKUP(B229, Master_Items!C:H, 6, FALSE), 0), "REORDER", "")</f>
        <v>REORDER</v>
      </c>
    </row>
    <row r="230" ht="15.75" customHeight="1">
      <c r="B230" s="2"/>
      <c r="F230" s="2">
        <f t="shared" si="3"/>
        <v>0</v>
      </c>
      <c r="H230" s="2">
        <f t="shared" si="4"/>
        <v>0</v>
      </c>
      <c r="I230" s="2" t="str">
        <f>IF(F230 &lt;= IFERROR(VLOOKUP(B230, Master_Items!C:H, 6, FALSE), 0), "REORDER", "")</f>
        <v>REORDER</v>
      </c>
    </row>
    <row r="231" ht="15.75" customHeight="1">
      <c r="B231" s="2"/>
      <c r="F231" s="2">
        <f t="shared" si="3"/>
        <v>0</v>
      </c>
      <c r="H231" s="2">
        <f t="shared" si="4"/>
        <v>0</v>
      </c>
      <c r="I231" s="2" t="str">
        <f>IF(F231 &lt;= IFERROR(VLOOKUP(B231, Master_Items!C:H, 6, FALSE), 0), "REORDER", "")</f>
        <v>REORDER</v>
      </c>
    </row>
    <row r="232" ht="15.75" customHeight="1">
      <c r="B232" s="2"/>
      <c r="F232" s="2">
        <f t="shared" si="3"/>
        <v>0</v>
      </c>
      <c r="H232" s="2">
        <f t="shared" si="4"/>
        <v>0</v>
      </c>
      <c r="I232" s="2" t="str">
        <f>IF(F232 &lt;= IFERROR(VLOOKUP(B232, Master_Items!C:H, 6, FALSE), 0), "REORDER", "")</f>
        <v>REORDER</v>
      </c>
    </row>
    <row r="233" ht="15.75" customHeight="1">
      <c r="B233" s="2"/>
      <c r="F233" s="2">
        <f t="shared" si="3"/>
        <v>0</v>
      </c>
      <c r="H233" s="2">
        <f t="shared" si="4"/>
        <v>0</v>
      </c>
      <c r="I233" s="2" t="str">
        <f>IF(F233 &lt;= IFERROR(VLOOKUP(B233, Master_Items!C:H, 6, FALSE), 0), "REORDER", "")</f>
        <v>REORDER</v>
      </c>
    </row>
    <row r="234" ht="15.75" customHeight="1">
      <c r="B234" s="2"/>
      <c r="F234" s="2">
        <f t="shared" si="3"/>
        <v>0</v>
      </c>
      <c r="H234" s="2">
        <f t="shared" si="4"/>
        <v>0</v>
      </c>
      <c r="I234" s="2" t="str">
        <f>IF(F234 &lt;= IFERROR(VLOOKUP(B234, Master_Items!C:H, 6, FALSE), 0), "REORDER", "")</f>
        <v>REORDER</v>
      </c>
    </row>
    <row r="235" ht="15.75" customHeight="1">
      <c r="B235" s="2"/>
      <c r="F235" s="2">
        <f t="shared" si="3"/>
        <v>0</v>
      </c>
      <c r="H235" s="2">
        <f t="shared" si="4"/>
        <v>0</v>
      </c>
      <c r="I235" s="2" t="str">
        <f>IF(F235 &lt;= IFERROR(VLOOKUP(B235, Master_Items!C:H, 6, FALSE), 0), "REORDER", "")</f>
        <v>REORDER</v>
      </c>
    </row>
    <row r="236" ht="15.75" customHeight="1">
      <c r="B236" s="2"/>
      <c r="F236" s="2">
        <f t="shared" si="3"/>
        <v>0</v>
      </c>
      <c r="H236" s="2">
        <f t="shared" si="4"/>
        <v>0</v>
      </c>
      <c r="I236" s="2" t="str">
        <f>IF(F236 &lt;= IFERROR(VLOOKUP(B236, Master_Items!C:H, 6, FALSE), 0), "REORDER", "")</f>
        <v>REORDER</v>
      </c>
    </row>
    <row r="237" ht="15.75" customHeight="1">
      <c r="B237" s="2"/>
      <c r="F237" s="2">
        <f t="shared" si="3"/>
        <v>0</v>
      </c>
      <c r="H237" s="2">
        <f t="shared" si="4"/>
        <v>0</v>
      </c>
      <c r="I237" s="2" t="str">
        <f>IF(F237 &lt;= IFERROR(VLOOKUP(B237, Master_Items!C:H, 6, FALSE), 0), "REORDER", "")</f>
        <v>REORDER</v>
      </c>
    </row>
    <row r="238" ht="15.75" customHeight="1">
      <c r="B238" s="2"/>
      <c r="F238" s="2">
        <f t="shared" si="3"/>
        <v>0</v>
      </c>
      <c r="H238" s="2">
        <f t="shared" si="4"/>
        <v>0</v>
      </c>
      <c r="I238" s="2" t="str">
        <f>IF(F238 &lt;= IFERROR(VLOOKUP(B238, Master_Items!C:H, 6, FALSE), 0), "REORDER", "")</f>
        <v>REORDER</v>
      </c>
    </row>
    <row r="239" ht="15.75" customHeight="1">
      <c r="B239" s="2"/>
      <c r="F239" s="2">
        <f t="shared" si="3"/>
        <v>0</v>
      </c>
      <c r="H239" s="2">
        <f t="shared" si="4"/>
        <v>0</v>
      </c>
      <c r="I239" s="2" t="str">
        <f>IF(F239 &lt;= IFERROR(VLOOKUP(B239, Master_Items!C:H, 6, FALSE), 0), "REORDER", "")</f>
        <v>REORDER</v>
      </c>
    </row>
    <row r="240" ht="15.75" customHeight="1">
      <c r="B240" s="2"/>
      <c r="F240" s="2">
        <f t="shared" si="3"/>
        <v>0</v>
      </c>
      <c r="H240" s="2">
        <f t="shared" si="4"/>
        <v>0</v>
      </c>
      <c r="I240" s="2" t="str">
        <f>IF(F240 &lt;= IFERROR(VLOOKUP(B240, Master_Items!C:H, 6, FALSE), 0), "REORDER", "")</f>
        <v>REORDER</v>
      </c>
    </row>
    <row r="241" ht="15.75" customHeight="1">
      <c r="B241" s="2"/>
      <c r="F241" s="2">
        <f t="shared" si="3"/>
        <v>0</v>
      </c>
      <c r="H241" s="2">
        <f t="shared" si="4"/>
        <v>0</v>
      </c>
      <c r="I241" s="2" t="str">
        <f>IF(F241 &lt;= IFERROR(VLOOKUP(B241, Master_Items!C:H, 6, FALSE), 0), "REORDER", "")</f>
        <v>REORDER</v>
      </c>
    </row>
    <row r="242" ht="15.75" customHeight="1">
      <c r="B242" s="2"/>
      <c r="F242" s="2">
        <f t="shared" si="3"/>
        <v>0</v>
      </c>
      <c r="H242" s="2">
        <f t="shared" si="4"/>
        <v>0</v>
      </c>
      <c r="I242" s="2" t="str">
        <f>IF(F242 &lt;= IFERROR(VLOOKUP(B242, Master_Items!C:H, 6, FALSE), 0), "REORDER", "")</f>
        <v>REORDER</v>
      </c>
    </row>
    <row r="243" ht="15.75" customHeight="1">
      <c r="B243" s="2"/>
      <c r="F243" s="2">
        <f t="shared" si="3"/>
        <v>0</v>
      </c>
      <c r="H243" s="2">
        <f t="shared" si="4"/>
        <v>0</v>
      </c>
      <c r="I243" s="2" t="str">
        <f>IF(F243 &lt;= IFERROR(VLOOKUP(B243, Master_Items!C:H, 6, FALSE), 0), "REORDER", "")</f>
        <v>REORDER</v>
      </c>
    </row>
    <row r="244" ht="15.75" customHeight="1">
      <c r="B244" s="2"/>
      <c r="F244" s="2">
        <f t="shared" si="3"/>
        <v>0</v>
      </c>
      <c r="H244" s="2">
        <f t="shared" si="4"/>
        <v>0</v>
      </c>
      <c r="I244" s="2" t="str">
        <f>IF(F244 &lt;= IFERROR(VLOOKUP(B244, Master_Items!C:H, 6, FALSE), 0), "REORDER", "")</f>
        <v>REORDER</v>
      </c>
    </row>
    <row r="245" ht="15.75" customHeight="1">
      <c r="B245" s="2"/>
      <c r="F245" s="2">
        <f t="shared" si="3"/>
        <v>0</v>
      </c>
      <c r="H245" s="2">
        <f t="shared" si="4"/>
        <v>0</v>
      </c>
      <c r="I245" s="2" t="str">
        <f>IF(F245 &lt;= IFERROR(VLOOKUP(B245, Master_Items!C:H, 6, FALSE), 0), "REORDER", "")</f>
        <v>REORDER</v>
      </c>
    </row>
    <row r="246" ht="15.75" customHeight="1">
      <c r="B246" s="2"/>
      <c r="F246" s="2">
        <f t="shared" si="3"/>
        <v>0</v>
      </c>
      <c r="H246" s="2">
        <f t="shared" si="4"/>
        <v>0</v>
      </c>
      <c r="I246" s="2" t="str">
        <f>IF(F246 &lt;= IFERROR(VLOOKUP(B246, Master_Items!C:H, 6, FALSE), 0), "REORDER", "")</f>
        <v>REORDER</v>
      </c>
    </row>
    <row r="247" ht="15.75" customHeight="1">
      <c r="B247" s="2"/>
      <c r="F247" s="2">
        <f t="shared" si="3"/>
        <v>0</v>
      </c>
      <c r="H247" s="2">
        <f t="shared" si="4"/>
        <v>0</v>
      </c>
      <c r="I247" s="2" t="str">
        <f>IF(F247 &lt;= IFERROR(VLOOKUP(B247, Master_Items!C:H, 6, FALSE), 0), "REORDER", "")</f>
        <v>REORDER</v>
      </c>
    </row>
    <row r="248" ht="15.75" customHeight="1">
      <c r="B248" s="2"/>
      <c r="F248" s="2">
        <f t="shared" si="3"/>
        <v>0</v>
      </c>
      <c r="H248" s="2">
        <f t="shared" si="4"/>
        <v>0</v>
      </c>
      <c r="I248" s="2" t="str">
        <f>IF(F248 &lt;= IFERROR(VLOOKUP(B248, Master_Items!C:H, 6, FALSE), 0), "REORDER", "")</f>
        <v>REORDER</v>
      </c>
    </row>
    <row r="249" ht="15.75" customHeight="1">
      <c r="B249" s="2"/>
      <c r="F249" s="2">
        <f t="shared" si="3"/>
        <v>0</v>
      </c>
      <c r="H249" s="2">
        <f t="shared" si="4"/>
        <v>0</v>
      </c>
      <c r="I249" s="2" t="str">
        <f>IF(F249 &lt;= IFERROR(VLOOKUP(B249, Master_Items!C:H, 6, FALSE), 0), "REORDER", "")</f>
        <v>REORDER</v>
      </c>
    </row>
    <row r="250" ht="15.75" customHeight="1">
      <c r="B250" s="2"/>
      <c r="F250" s="2">
        <f t="shared" si="3"/>
        <v>0</v>
      </c>
      <c r="H250" s="2">
        <f t="shared" si="4"/>
        <v>0</v>
      </c>
      <c r="I250" s="2" t="str">
        <f>IF(F250 &lt;= IFERROR(VLOOKUP(B250, Master_Items!C:H, 6, FALSE), 0), "REORDER", "")</f>
        <v>REORDER</v>
      </c>
    </row>
    <row r="251" ht="15.75" customHeight="1">
      <c r="B251" s="2"/>
      <c r="F251" s="2">
        <f t="shared" si="3"/>
        <v>0</v>
      </c>
      <c r="H251" s="2">
        <f t="shared" si="4"/>
        <v>0</v>
      </c>
      <c r="I251" s="2" t="str">
        <f>IF(F251 &lt;= IFERROR(VLOOKUP(B251, Master_Items!C:H, 6, FALSE), 0), "REORDER", "")</f>
        <v>REORDER</v>
      </c>
    </row>
    <row r="252" ht="15.75" customHeight="1">
      <c r="B252" s="2"/>
      <c r="F252" s="2">
        <f t="shared" si="3"/>
        <v>0</v>
      </c>
      <c r="H252" s="2">
        <f t="shared" si="4"/>
        <v>0</v>
      </c>
      <c r="I252" s="2" t="str">
        <f>IF(F252 &lt;= IFERROR(VLOOKUP(B252, Master_Items!C:H, 6, FALSE), 0), "REORDER", "")</f>
        <v>REORDER</v>
      </c>
    </row>
    <row r="253" ht="15.75" customHeight="1">
      <c r="B253" s="2"/>
      <c r="F253" s="2">
        <f t="shared" si="3"/>
        <v>0</v>
      </c>
      <c r="H253" s="2">
        <f t="shared" si="4"/>
        <v>0</v>
      </c>
      <c r="I253" s="2" t="str">
        <f>IF(F253 &lt;= IFERROR(VLOOKUP(B253, Master_Items!C:H, 6, FALSE), 0), "REORDER", "")</f>
        <v>REORDER</v>
      </c>
    </row>
    <row r="254" ht="15.75" customHeight="1">
      <c r="B254" s="2"/>
      <c r="F254" s="2">
        <f t="shared" si="3"/>
        <v>0</v>
      </c>
      <c r="H254" s="2">
        <f t="shared" si="4"/>
        <v>0</v>
      </c>
      <c r="I254" s="2" t="str">
        <f>IF(F254 &lt;= IFERROR(VLOOKUP(B254, Master_Items!C:H, 6, FALSE), 0), "REORDER", "")</f>
        <v>REORDER</v>
      </c>
    </row>
    <row r="255" ht="15.75" customHeight="1">
      <c r="B255" s="2"/>
      <c r="F255" s="2">
        <f t="shared" si="3"/>
        <v>0</v>
      </c>
      <c r="H255" s="2">
        <f t="shared" si="4"/>
        <v>0</v>
      </c>
      <c r="I255" s="2" t="str">
        <f>IF(F255 &lt;= IFERROR(VLOOKUP(B255, Master_Items!C:H, 6, FALSE), 0), "REORDER", "")</f>
        <v>REORDER</v>
      </c>
    </row>
    <row r="256" ht="15.75" customHeight="1">
      <c r="B256" s="2"/>
      <c r="F256" s="2">
        <f t="shared" si="3"/>
        <v>0</v>
      </c>
      <c r="H256" s="2">
        <f t="shared" si="4"/>
        <v>0</v>
      </c>
      <c r="I256" s="2" t="str">
        <f>IF(F256 &lt;= IFERROR(VLOOKUP(B256, Master_Items!C:H, 6, FALSE), 0), "REORDER", "")</f>
        <v>REORDER</v>
      </c>
    </row>
    <row r="257" ht="15.75" customHeight="1">
      <c r="B257" s="2"/>
      <c r="F257" s="2">
        <f t="shared" si="3"/>
        <v>0</v>
      </c>
      <c r="H257" s="2">
        <f t="shared" si="4"/>
        <v>0</v>
      </c>
      <c r="I257" s="2" t="str">
        <f>IF(F257 &lt;= IFERROR(VLOOKUP(B257, Master_Items!C:H, 6, FALSE), 0), "REORDER", "")</f>
        <v>REORDER</v>
      </c>
    </row>
    <row r="258" ht="15.75" customHeight="1">
      <c r="B258" s="2"/>
      <c r="F258" s="2">
        <f t="shared" si="3"/>
        <v>0</v>
      </c>
      <c r="H258" s="2">
        <f t="shared" si="4"/>
        <v>0</v>
      </c>
      <c r="I258" s="2" t="str">
        <f>IF(F258 &lt;= IFERROR(VLOOKUP(B258, Master_Items!C:H, 6, FALSE), 0), "REORDER", "")</f>
        <v>REORDER</v>
      </c>
    </row>
    <row r="259" ht="15.75" customHeight="1">
      <c r="B259" s="2"/>
      <c r="F259" s="2">
        <f t="shared" si="3"/>
        <v>0</v>
      </c>
      <c r="H259" s="2">
        <f t="shared" si="4"/>
        <v>0</v>
      </c>
      <c r="I259" s="2" t="str">
        <f>IF(F259 &lt;= IFERROR(VLOOKUP(B259, Master_Items!C:H, 6, FALSE), 0), "REORDER", "")</f>
        <v>REORDER</v>
      </c>
    </row>
    <row r="260" ht="15.75" customHeight="1">
      <c r="B260" s="2"/>
      <c r="F260" s="2">
        <f t="shared" si="3"/>
        <v>0</v>
      </c>
      <c r="H260" s="2">
        <f t="shared" si="4"/>
        <v>0</v>
      </c>
      <c r="I260" s="2" t="str">
        <f>IF(F260 &lt;= IFERROR(VLOOKUP(B260, Master_Items!C:H, 6, FALSE), 0), "REORDER", "")</f>
        <v>REORDER</v>
      </c>
    </row>
    <row r="261" ht="15.75" customHeight="1">
      <c r="B261" s="2"/>
      <c r="F261" s="2">
        <f t="shared" si="3"/>
        <v>0</v>
      </c>
      <c r="H261" s="2">
        <f t="shared" si="4"/>
        <v>0</v>
      </c>
      <c r="I261" s="2" t="str">
        <f>IF(F261 &lt;= IFERROR(VLOOKUP(B261, Master_Items!C:H, 6, FALSE), 0), "REORDER", "")</f>
        <v>REORDER</v>
      </c>
    </row>
    <row r="262" ht="15.75" customHeight="1">
      <c r="B262" s="2"/>
      <c r="F262" s="2">
        <f t="shared" si="3"/>
        <v>0</v>
      </c>
      <c r="H262" s="2">
        <f t="shared" si="4"/>
        <v>0</v>
      </c>
      <c r="I262" s="2" t="str">
        <f>IF(F262 &lt;= IFERROR(VLOOKUP(B262, Master_Items!C:H, 6, FALSE), 0), "REORDER", "")</f>
        <v>REORDER</v>
      </c>
    </row>
    <row r="263" ht="15.75" customHeight="1">
      <c r="B263" s="2"/>
      <c r="F263" s="2">
        <f t="shared" si="3"/>
        <v>0</v>
      </c>
      <c r="H263" s="2">
        <f t="shared" si="4"/>
        <v>0</v>
      </c>
      <c r="I263" s="2" t="str">
        <f>IF(F263 &lt;= IFERROR(VLOOKUP(B263, Master_Items!C:H, 6, FALSE), 0), "REORDER", "")</f>
        <v>REORDER</v>
      </c>
    </row>
    <row r="264" ht="15.75" customHeight="1">
      <c r="B264" s="2"/>
      <c r="F264" s="2">
        <f t="shared" si="3"/>
        <v>0</v>
      </c>
      <c r="H264" s="2">
        <f t="shared" si="4"/>
        <v>0</v>
      </c>
      <c r="I264" s="2" t="str">
        <f>IF(F264 &lt;= IFERROR(VLOOKUP(B264, Master_Items!C:H, 6, FALSE), 0), "REORDER", "")</f>
        <v>REORDER</v>
      </c>
    </row>
    <row r="265" ht="15.75" customHeight="1">
      <c r="B265" s="2"/>
      <c r="F265" s="2">
        <f t="shared" si="3"/>
        <v>0</v>
      </c>
      <c r="H265" s="2">
        <f t="shared" si="4"/>
        <v>0</v>
      </c>
      <c r="I265" s="2" t="str">
        <f>IF(F265 &lt;= IFERROR(VLOOKUP(B265, Master_Items!C:H, 6, FALSE), 0), "REORDER", "")</f>
        <v>REORDER</v>
      </c>
    </row>
    <row r="266" ht="15.75" customHeight="1">
      <c r="B266" s="2"/>
      <c r="F266" s="2">
        <f t="shared" si="3"/>
        <v>0</v>
      </c>
      <c r="H266" s="2">
        <f t="shared" si="4"/>
        <v>0</v>
      </c>
      <c r="I266" s="2" t="str">
        <f>IF(F266 &lt;= IFERROR(VLOOKUP(B266, Master_Items!C:H, 6, FALSE), 0), "REORDER", "")</f>
        <v>REORDER</v>
      </c>
    </row>
    <row r="267" ht="15.75" customHeight="1">
      <c r="B267" s="2"/>
      <c r="F267" s="2">
        <f t="shared" si="3"/>
        <v>0</v>
      </c>
      <c r="H267" s="2">
        <f t="shared" si="4"/>
        <v>0</v>
      </c>
      <c r="I267" s="2" t="str">
        <f>IF(F267 &lt;= IFERROR(VLOOKUP(B267, Master_Items!C:H, 6, FALSE), 0), "REORDER", "")</f>
        <v>REORDER</v>
      </c>
    </row>
    <row r="268" ht="15.75" customHeight="1">
      <c r="B268" s="2"/>
      <c r="F268" s="2">
        <f t="shared" si="3"/>
        <v>0</v>
      </c>
      <c r="H268" s="2">
        <f t="shared" si="4"/>
        <v>0</v>
      </c>
      <c r="I268" s="2" t="str">
        <f>IF(F268 &lt;= IFERROR(VLOOKUP(B268, Master_Items!C:H, 6, FALSE), 0), "REORDER", "")</f>
        <v>REORDER</v>
      </c>
    </row>
    <row r="269" ht="15.75" customHeight="1">
      <c r="B269" s="2"/>
      <c r="F269" s="2">
        <f t="shared" si="3"/>
        <v>0</v>
      </c>
      <c r="H269" s="2">
        <f t="shared" si="4"/>
        <v>0</v>
      </c>
      <c r="I269" s="2" t="str">
        <f>IF(F269 &lt;= IFERROR(VLOOKUP(B269, Master_Items!C:H, 6, FALSE), 0), "REORDER", "")</f>
        <v>REORDER</v>
      </c>
    </row>
    <row r="270" ht="15.75" customHeight="1">
      <c r="B270" s="2"/>
      <c r="F270" s="2">
        <f t="shared" si="3"/>
        <v>0</v>
      </c>
      <c r="H270" s="2">
        <f t="shared" si="4"/>
        <v>0</v>
      </c>
      <c r="I270" s="2" t="str">
        <f>IF(F270 &lt;= IFERROR(VLOOKUP(B270, Master_Items!C:H, 6, FALSE), 0), "REORDER", "")</f>
        <v>REORDER</v>
      </c>
    </row>
    <row r="271" ht="15.75" customHeight="1">
      <c r="B271" s="2"/>
      <c r="F271" s="2">
        <f t="shared" si="3"/>
        <v>0</v>
      </c>
      <c r="H271" s="2">
        <f t="shared" si="4"/>
        <v>0</v>
      </c>
      <c r="I271" s="2" t="str">
        <f>IF(F271 &lt;= IFERROR(VLOOKUP(B271, Master_Items!C:H, 6, FALSE), 0), "REORDER", "")</f>
        <v>REORDER</v>
      </c>
    </row>
    <row r="272" ht="15.75" customHeight="1">
      <c r="B272" s="2"/>
      <c r="F272" s="2">
        <f t="shared" si="3"/>
        <v>0</v>
      </c>
      <c r="H272" s="2">
        <f t="shared" si="4"/>
        <v>0</v>
      </c>
      <c r="I272" s="2" t="str">
        <f>IF(F272 &lt;= IFERROR(VLOOKUP(B272, Master_Items!C:H, 6, FALSE), 0), "REORDER", "")</f>
        <v>REORDER</v>
      </c>
    </row>
    <row r="273" ht="15.75" customHeight="1">
      <c r="B273" s="2"/>
      <c r="F273" s="2">
        <f t="shared" si="3"/>
        <v>0</v>
      </c>
      <c r="H273" s="2">
        <f t="shared" si="4"/>
        <v>0</v>
      </c>
      <c r="I273" s="2" t="str">
        <f>IF(F273 &lt;= IFERROR(VLOOKUP(B273, Master_Items!C:H, 6, FALSE), 0), "REORDER", "")</f>
        <v>REORDER</v>
      </c>
    </row>
    <row r="274" ht="15.75" customHeight="1">
      <c r="B274" s="2"/>
      <c r="F274" s="2">
        <f t="shared" si="3"/>
        <v>0</v>
      </c>
      <c r="H274" s="2">
        <f t="shared" si="4"/>
        <v>0</v>
      </c>
      <c r="I274" s="2" t="str">
        <f>IF(F274 &lt;= IFERROR(VLOOKUP(B274, Master_Items!C:H, 6, FALSE), 0), "REORDER", "")</f>
        <v>REORDER</v>
      </c>
    </row>
    <row r="275" ht="15.75" customHeight="1">
      <c r="B275" s="2"/>
      <c r="F275" s="2">
        <f t="shared" si="3"/>
        <v>0</v>
      </c>
      <c r="H275" s="2">
        <f t="shared" si="4"/>
        <v>0</v>
      </c>
      <c r="I275" s="2" t="str">
        <f>IF(F275 &lt;= IFERROR(VLOOKUP(B275, Master_Items!C:H, 6, FALSE), 0), "REORDER", "")</f>
        <v>REORDER</v>
      </c>
    </row>
    <row r="276" ht="15.75" customHeight="1">
      <c r="B276" s="2"/>
      <c r="F276" s="2">
        <f t="shared" si="3"/>
        <v>0</v>
      </c>
      <c r="H276" s="2">
        <f t="shared" si="4"/>
        <v>0</v>
      </c>
      <c r="I276" s="2" t="str">
        <f>IF(F276 &lt;= IFERROR(VLOOKUP(B276, Master_Items!C:H, 6, FALSE), 0), "REORDER", "")</f>
        <v>REORDER</v>
      </c>
    </row>
    <row r="277" ht="15.75" customHeight="1">
      <c r="B277" s="2"/>
      <c r="F277" s="2">
        <f t="shared" si="3"/>
        <v>0</v>
      </c>
      <c r="H277" s="2">
        <f t="shared" si="4"/>
        <v>0</v>
      </c>
      <c r="I277" s="2" t="str">
        <f>IF(F277 &lt;= IFERROR(VLOOKUP(B277, Master_Items!C:H, 6, FALSE), 0), "REORDER", "")</f>
        <v>REORDER</v>
      </c>
    </row>
    <row r="278" ht="15.75" customHeight="1">
      <c r="B278" s="2"/>
      <c r="F278" s="2">
        <f t="shared" si="3"/>
        <v>0</v>
      </c>
      <c r="H278" s="2">
        <f t="shared" si="4"/>
        <v>0</v>
      </c>
      <c r="I278" s="2" t="str">
        <f>IF(F278 &lt;= IFERROR(VLOOKUP(B278, Master_Items!C:H, 6, FALSE), 0), "REORDER", "")</f>
        <v>REORDER</v>
      </c>
    </row>
    <row r="279" ht="15.75" customHeight="1">
      <c r="B279" s="2"/>
      <c r="F279" s="2">
        <f t="shared" si="3"/>
        <v>0</v>
      </c>
      <c r="H279" s="2">
        <f t="shared" si="4"/>
        <v>0</v>
      </c>
      <c r="I279" s="2" t="str">
        <f>IF(F279 &lt;= IFERROR(VLOOKUP(B279, Master_Items!C:H, 6, FALSE), 0), "REORDER", "")</f>
        <v>REORDER</v>
      </c>
    </row>
    <row r="280" ht="15.75" customHeight="1">
      <c r="B280" s="2"/>
      <c r="F280" s="2">
        <f t="shared" si="3"/>
        <v>0</v>
      </c>
      <c r="H280" s="2">
        <f t="shared" si="4"/>
        <v>0</v>
      </c>
      <c r="I280" s="2" t="str">
        <f>IF(F280 &lt;= IFERROR(VLOOKUP(B280, Master_Items!C:H, 6, FALSE), 0), "REORDER", "")</f>
        <v>REORDER</v>
      </c>
    </row>
    <row r="281" ht="15.75" customHeight="1">
      <c r="B281" s="2"/>
      <c r="F281" s="2">
        <f t="shared" si="3"/>
        <v>0</v>
      </c>
      <c r="H281" s="2">
        <f t="shared" si="4"/>
        <v>0</v>
      </c>
      <c r="I281" s="2" t="str">
        <f>IF(F281 &lt;= IFERROR(VLOOKUP(B281, Master_Items!C:H, 6, FALSE), 0), "REORDER", "")</f>
        <v>REORDER</v>
      </c>
    </row>
    <row r="282" ht="15.75" customHeight="1">
      <c r="B282" s="2"/>
      <c r="F282" s="2">
        <f t="shared" si="3"/>
        <v>0</v>
      </c>
      <c r="H282" s="2">
        <f t="shared" si="4"/>
        <v>0</v>
      </c>
      <c r="I282" s="2" t="str">
        <f>IF(F282 &lt;= IFERROR(VLOOKUP(B282, Master_Items!C:H, 6, FALSE), 0), "REORDER", "")</f>
        <v>REORDER</v>
      </c>
    </row>
    <row r="283" ht="15.75" customHeight="1">
      <c r="B283" s="2"/>
      <c r="F283" s="2">
        <f t="shared" si="3"/>
        <v>0</v>
      </c>
      <c r="H283" s="2">
        <f t="shared" si="4"/>
        <v>0</v>
      </c>
      <c r="I283" s="2" t="str">
        <f>IF(F283 &lt;= IFERROR(VLOOKUP(B283, Master_Items!C:H, 6, FALSE), 0), "REORDER", "")</f>
        <v>REORDER</v>
      </c>
    </row>
    <row r="284" ht="15.75" customHeight="1">
      <c r="B284" s="2"/>
      <c r="F284" s="2">
        <f t="shared" si="3"/>
        <v>0</v>
      </c>
      <c r="H284" s="2">
        <f t="shared" si="4"/>
        <v>0</v>
      </c>
      <c r="I284" s="2" t="str">
        <f>IF(F284 &lt;= IFERROR(VLOOKUP(B284, Master_Items!C:H, 6, FALSE), 0), "REORDER", "")</f>
        <v>REORDER</v>
      </c>
    </row>
    <row r="285" ht="15.75" customHeight="1">
      <c r="B285" s="2"/>
      <c r="F285" s="2">
        <f t="shared" si="3"/>
        <v>0</v>
      </c>
      <c r="H285" s="2">
        <f t="shared" si="4"/>
        <v>0</v>
      </c>
      <c r="I285" s="2" t="str">
        <f>IF(F285 &lt;= IFERROR(VLOOKUP(B285, Master_Items!C:H, 6, FALSE), 0), "REORDER", "")</f>
        <v>REORDER</v>
      </c>
    </row>
    <row r="286" ht="15.75" customHeight="1">
      <c r="B286" s="2"/>
      <c r="F286" s="2">
        <f t="shared" si="3"/>
        <v>0</v>
      </c>
      <c r="H286" s="2">
        <f t="shared" si="4"/>
        <v>0</v>
      </c>
      <c r="I286" s="2" t="str">
        <f>IF(F286 &lt;= IFERROR(VLOOKUP(B286, Master_Items!C:H, 6, FALSE), 0), "REORDER", "")</f>
        <v>REORDER</v>
      </c>
    </row>
    <row r="287" ht="15.75" customHeight="1">
      <c r="B287" s="2"/>
      <c r="F287" s="2">
        <f t="shared" si="3"/>
        <v>0</v>
      </c>
      <c r="H287" s="2">
        <f t="shared" si="4"/>
        <v>0</v>
      </c>
      <c r="I287" s="2" t="str">
        <f>IF(F287 &lt;= IFERROR(VLOOKUP(B287, Master_Items!C:H, 6, FALSE), 0), "REORDER", "")</f>
        <v>REORDER</v>
      </c>
    </row>
    <row r="288" ht="15.75" customHeight="1">
      <c r="B288" s="2"/>
      <c r="F288" s="2">
        <f t="shared" si="3"/>
        <v>0</v>
      </c>
      <c r="H288" s="2">
        <f t="shared" si="4"/>
        <v>0</v>
      </c>
      <c r="I288" s="2" t="str">
        <f>IF(F288 &lt;= IFERROR(VLOOKUP(B288, Master_Items!C:H, 6, FALSE), 0), "REORDER", "")</f>
        <v>REORDER</v>
      </c>
    </row>
    <row r="289" ht="15.75" customHeight="1">
      <c r="B289" s="2"/>
      <c r="F289" s="2">
        <f t="shared" si="3"/>
        <v>0</v>
      </c>
      <c r="H289" s="2">
        <f t="shared" si="4"/>
        <v>0</v>
      </c>
      <c r="I289" s="2" t="str">
        <f>IF(F289 &lt;= IFERROR(VLOOKUP(B289, Master_Items!C:H, 6, FALSE), 0), "REORDER", "")</f>
        <v>REORDER</v>
      </c>
    </row>
    <row r="290" ht="15.75" customHeight="1">
      <c r="B290" s="2"/>
      <c r="F290" s="2">
        <f t="shared" si="3"/>
        <v>0</v>
      </c>
      <c r="H290" s="2">
        <f t="shared" si="4"/>
        <v>0</v>
      </c>
      <c r="I290" s="2" t="str">
        <f>IF(F290 &lt;= IFERROR(VLOOKUP(B290, Master_Items!C:H, 6, FALSE), 0), "REORDER", "")</f>
        <v>REORDER</v>
      </c>
    </row>
    <row r="291" ht="15.75" customHeight="1">
      <c r="B291" s="2"/>
      <c r="F291" s="2">
        <f t="shared" si="3"/>
        <v>0</v>
      </c>
      <c r="H291" s="2">
        <f t="shared" si="4"/>
        <v>0</v>
      </c>
      <c r="I291" s="2" t="str">
        <f>IF(F291 &lt;= IFERROR(VLOOKUP(B291, Master_Items!C:H, 6, FALSE), 0), "REORDER", "")</f>
        <v>REORDER</v>
      </c>
    </row>
    <row r="292" ht="15.75" customHeight="1">
      <c r="B292" s="2"/>
      <c r="F292" s="2">
        <f t="shared" si="3"/>
        <v>0</v>
      </c>
      <c r="H292" s="2">
        <f t="shared" si="4"/>
        <v>0</v>
      </c>
      <c r="I292" s="2" t="str">
        <f>IF(F292 &lt;= IFERROR(VLOOKUP(B292, Master_Items!C:H, 6, FALSE), 0), "REORDER", "")</f>
        <v>REORDER</v>
      </c>
    </row>
    <row r="293" ht="15.75" customHeight="1">
      <c r="B293" s="2"/>
      <c r="F293" s="2">
        <f t="shared" si="3"/>
        <v>0</v>
      </c>
      <c r="H293" s="2">
        <f t="shared" si="4"/>
        <v>0</v>
      </c>
      <c r="I293" s="2" t="str">
        <f>IF(F293 &lt;= IFERROR(VLOOKUP(B293, Master_Items!C:H, 6, FALSE), 0), "REORDER", "")</f>
        <v>REORDER</v>
      </c>
    </row>
    <row r="294" ht="15.75" customHeight="1">
      <c r="B294" s="2"/>
      <c r="F294" s="2">
        <f t="shared" si="3"/>
        <v>0</v>
      </c>
      <c r="H294" s="2">
        <f t="shared" si="4"/>
        <v>0</v>
      </c>
      <c r="I294" s="2" t="str">
        <f>IF(F294 &lt;= IFERROR(VLOOKUP(B294, Master_Items!C:H, 6, FALSE), 0), "REORDER", "")</f>
        <v>REORDER</v>
      </c>
    </row>
    <row r="295" ht="15.75" customHeight="1">
      <c r="B295" s="2"/>
      <c r="F295" s="2">
        <f t="shared" si="3"/>
        <v>0</v>
      </c>
      <c r="H295" s="2">
        <f t="shared" si="4"/>
        <v>0</v>
      </c>
      <c r="I295" s="2" t="str">
        <f>IF(F295 &lt;= IFERROR(VLOOKUP(B295, Master_Items!C:H, 6, FALSE), 0), "REORDER", "")</f>
        <v>REORDER</v>
      </c>
    </row>
    <row r="296" ht="15.75" customHeight="1">
      <c r="B296" s="2"/>
      <c r="F296" s="2">
        <f t="shared" si="3"/>
        <v>0</v>
      </c>
      <c r="H296" s="2">
        <f t="shared" si="4"/>
        <v>0</v>
      </c>
      <c r="I296" s="2" t="str">
        <f>IF(F296 &lt;= IFERROR(VLOOKUP(B296, Master_Items!C:H, 6, FALSE), 0), "REORDER", "")</f>
        <v>REORDER</v>
      </c>
    </row>
    <row r="297" ht="15.75" customHeight="1">
      <c r="B297" s="2"/>
      <c r="F297" s="2">
        <f t="shared" si="3"/>
        <v>0</v>
      </c>
      <c r="H297" s="2">
        <f t="shared" si="4"/>
        <v>0</v>
      </c>
      <c r="I297" s="2" t="str">
        <f>IF(F297 &lt;= IFERROR(VLOOKUP(B297, Master_Items!C:H, 6, FALSE), 0), "REORDER", "")</f>
        <v>REORDER</v>
      </c>
    </row>
    <row r="298" ht="15.75" customHeight="1">
      <c r="B298" s="2"/>
      <c r="F298" s="2">
        <f t="shared" si="3"/>
        <v>0</v>
      </c>
      <c r="H298" s="2">
        <f t="shared" si="4"/>
        <v>0</v>
      </c>
      <c r="I298" s="2" t="str">
        <f>IF(F298 &lt;= IFERROR(VLOOKUP(B298, Master_Items!C:H, 6, FALSE), 0), "REORDER", "")</f>
        <v>REORDER</v>
      </c>
    </row>
    <row r="299" ht="15.75" customHeight="1">
      <c r="B299" s="2"/>
      <c r="F299" s="2">
        <f t="shared" si="3"/>
        <v>0</v>
      </c>
      <c r="H299" s="2">
        <f t="shared" si="4"/>
        <v>0</v>
      </c>
      <c r="I299" s="2" t="str">
        <f>IF(F299 &lt;= IFERROR(VLOOKUP(B299, Master_Items!C:H, 6, FALSE), 0), "REORDER", "")</f>
        <v>REORDER</v>
      </c>
    </row>
    <row r="300" ht="15.75" customHeight="1">
      <c r="B300" s="2"/>
      <c r="F300" s="2">
        <f t="shared" si="3"/>
        <v>0</v>
      </c>
      <c r="H300" s="2">
        <f t="shared" si="4"/>
        <v>0</v>
      </c>
      <c r="I300" s="2" t="str">
        <f>IF(F300 &lt;= IFERROR(VLOOKUP(B300, Master_Items!C:H, 6, FALSE), 0), "REORDER", "")</f>
        <v>REORDER</v>
      </c>
    </row>
    <row r="301" ht="15.75" customHeight="1">
      <c r="B301" s="2"/>
      <c r="F301" s="2">
        <f t="shared" si="3"/>
        <v>0</v>
      </c>
      <c r="H301" s="2">
        <f t="shared" si="4"/>
        <v>0</v>
      </c>
      <c r="I301" s="2" t="str">
        <f>IF(F301 &lt;= IFERROR(VLOOKUP(B301, Master_Items!C:H, 6, FALSE), 0), "REORDER", "")</f>
        <v>REORDER</v>
      </c>
    </row>
    <row r="302" ht="15.75" customHeight="1">
      <c r="B302" s="2"/>
      <c r="F302" s="2">
        <f t="shared" si="3"/>
        <v>0</v>
      </c>
      <c r="H302" s="2">
        <f t="shared" si="4"/>
        <v>0</v>
      </c>
      <c r="I302" s="2" t="str">
        <f>IF(F302 &lt;= IFERROR(VLOOKUP(B302, Master_Items!C:H, 6, FALSE), 0), "REORDER", "")</f>
        <v>REORDER</v>
      </c>
    </row>
    <row r="303" ht="15.75" customHeight="1">
      <c r="B303" s="2"/>
      <c r="F303" s="2">
        <f t="shared" si="3"/>
        <v>0</v>
      </c>
      <c r="H303" s="2">
        <f t="shared" si="4"/>
        <v>0</v>
      </c>
      <c r="I303" s="2" t="str">
        <f>IF(F303 &lt;= IFERROR(VLOOKUP(B303, Master_Items!C:H, 6, FALSE), 0), "REORDER", "")</f>
        <v>REORDER</v>
      </c>
    </row>
    <row r="304" ht="15.75" customHeight="1">
      <c r="B304" s="2"/>
      <c r="F304" s="2">
        <f t="shared" si="3"/>
        <v>0</v>
      </c>
      <c r="H304" s="2">
        <f t="shared" si="4"/>
        <v>0</v>
      </c>
      <c r="I304" s="2" t="str">
        <f>IF(F304 &lt;= IFERROR(VLOOKUP(B304, Master_Items!C:H, 6, FALSE), 0), "REORDER", "")</f>
        <v>REORDER</v>
      </c>
    </row>
    <row r="305" ht="15.75" customHeight="1">
      <c r="B305" s="2"/>
      <c r="F305" s="2">
        <f t="shared" si="3"/>
        <v>0</v>
      </c>
      <c r="H305" s="2">
        <f t="shared" si="4"/>
        <v>0</v>
      </c>
      <c r="I305" s="2" t="str">
        <f>IF(F305 &lt;= IFERROR(VLOOKUP(B305, Master_Items!C:H, 6, FALSE), 0), "REORDER", "")</f>
        <v>REORDER</v>
      </c>
    </row>
    <row r="306" ht="15.75" customHeight="1">
      <c r="B306" s="2"/>
      <c r="F306" s="2">
        <f t="shared" si="3"/>
        <v>0</v>
      </c>
      <c r="H306" s="2">
        <f t="shared" si="4"/>
        <v>0</v>
      </c>
      <c r="I306" s="2" t="str">
        <f>IF(F306 &lt;= IFERROR(VLOOKUP(B306, Master_Items!C:H, 6, FALSE), 0), "REORDER", "")</f>
        <v>REORDER</v>
      </c>
    </row>
    <row r="307" ht="15.75" customHeight="1">
      <c r="B307" s="2"/>
      <c r="F307" s="2">
        <f t="shared" si="3"/>
        <v>0</v>
      </c>
      <c r="H307" s="2">
        <f t="shared" si="4"/>
        <v>0</v>
      </c>
      <c r="I307" s="2" t="str">
        <f>IF(F307 &lt;= IFERROR(VLOOKUP(B307, Master_Items!C:H, 6, FALSE), 0), "REORDER", "")</f>
        <v>REORDER</v>
      </c>
    </row>
    <row r="308" ht="15.75" customHeight="1">
      <c r="B308" s="2"/>
      <c r="F308" s="2">
        <f t="shared" si="3"/>
        <v>0</v>
      </c>
      <c r="H308" s="2">
        <f t="shared" si="4"/>
        <v>0</v>
      </c>
      <c r="I308" s="2" t="str">
        <f>IF(F308 &lt;= IFERROR(VLOOKUP(B308, Master_Items!C:H, 6, FALSE), 0), "REORDER", "")</f>
        <v>REORDER</v>
      </c>
    </row>
    <row r="309" ht="15.75" customHeight="1">
      <c r="B309" s="2"/>
      <c r="F309" s="2">
        <f t="shared" si="3"/>
        <v>0</v>
      </c>
      <c r="H309" s="2">
        <f t="shared" si="4"/>
        <v>0</v>
      </c>
      <c r="I309" s="2" t="str">
        <f>IF(F309 &lt;= IFERROR(VLOOKUP(B309, Master_Items!C:H, 6, FALSE), 0), "REORDER", "")</f>
        <v>REORDER</v>
      </c>
    </row>
    <row r="310" ht="15.75" customHeight="1">
      <c r="B310" s="2"/>
      <c r="F310" s="2">
        <f t="shared" si="3"/>
        <v>0</v>
      </c>
      <c r="H310" s="2">
        <f t="shared" si="4"/>
        <v>0</v>
      </c>
      <c r="I310" s="2" t="str">
        <f>IF(F310 &lt;= IFERROR(VLOOKUP(B310, Master_Items!C:H, 6, FALSE), 0), "REORDER", "")</f>
        <v>REORDER</v>
      </c>
    </row>
    <row r="311" ht="15.75" customHeight="1">
      <c r="B311" s="2"/>
      <c r="F311" s="2">
        <f t="shared" si="3"/>
        <v>0</v>
      </c>
      <c r="H311" s="2">
        <f t="shared" si="4"/>
        <v>0</v>
      </c>
      <c r="I311" s="2" t="str">
        <f>IF(F311 &lt;= IFERROR(VLOOKUP(B311, Master_Items!C:H, 6, FALSE), 0), "REORDER", "")</f>
        <v>REORDER</v>
      </c>
    </row>
    <row r="312" ht="15.75" customHeight="1">
      <c r="B312" s="2"/>
      <c r="F312" s="2">
        <f t="shared" si="3"/>
        <v>0</v>
      </c>
      <c r="H312" s="2">
        <f t="shared" si="4"/>
        <v>0</v>
      </c>
      <c r="I312" s="2" t="str">
        <f>IF(F312 &lt;= IFERROR(VLOOKUP(B312, Master_Items!C:H, 6, FALSE), 0), "REORDER", "")</f>
        <v>REORDER</v>
      </c>
    </row>
    <row r="313" ht="15.75" customHeight="1">
      <c r="B313" s="2"/>
      <c r="F313" s="2">
        <f t="shared" si="3"/>
        <v>0</v>
      </c>
      <c r="H313" s="2">
        <f t="shared" si="4"/>
        <v>0</v>
      </c>
      <c r="I313" s="2" t="str">
        <f>IF(F313 &lt;= IFERROR(VLOOKUP(B313, Master_Items!C:H, 6, FALSE), 0), "REORDER", "")</f>
        <v>REORDER</v>
      </c>
    </row>
    <row r="314" ht="15.75" customHeight="1">
      <c r="B314" s="2"/>
      <c r="F314" s="2">
        <f t="shared" si="3"/>
        <v>0</v>
      </c>
      <c r="H314" s="2">
        <f t="shared" si="4"/>
        <v>0</v>
      </c>
      <c r="I314" s="2" t="str">
        <f>IF(F314 &lt;= IFERROR(VLOOKUP(B314, Master_Items!C:H, 6, FALSE), 0), "REORDER", "")</f>
        <v>REORDER</v>
      </c>
    </row>
    <row r="315" ht="15.75" customHeight="1">
      <c r="B315" s="2"/>
      <c r="F315" s="2">
        <f t="shared" si="3"/>
        <v>0</v>
      </c>
      <c r="H315" s="2">
        <f t="shared" si="4"/>
        <v>0</v>
      </c>
      <c r="I315" s="2" t="str">
        <f>IF(F315 &lt;= IFERROR(VLOOKUP(B315, Master_Items!C:H, 6, FALSE), 0), "REORDER", "")</f>
        <v>REORDER</v>
      </c>
    </row>
    <row r="316" ht="15.75" customHeight="1">
      <c r="B316" s="2"/>
      <c r="F316" s="2">
        <f t="shared" si="3"/>
        <v>0</v>
      </c>
      <c r="H316" s="2">
        <f t="shared" si="4"/>
        <v>0</v>
      </c>
      <c r="I316" s="2" t="str">
        <f>IF(F316 &lt;= IFERROR(VLOOKUP(B316, Master_Items!C:H, 6, FALSE), 0), "REORDER", "")</f>
        <v>REORDER</v>
      </c>
    </row>
    <row r="317" ht="15.75" customHeight="1">
      <c r="B317" s="2"/>
      <c r="F317" s="2">
        <f t="shared" si="3"/>
        <v>0</v>
      </c>
      <c r="H317" s="2">
        <f t="shared" si="4"/>
        <v>0</v>
      </c>
      <c r="I317" s="2" t="str">
        <f>IF(F317 &lt;= IFERROR(VLOOKUP(B317, Master_Items!C:H, 6, FALSE), 0), "REORDER", "")</f>
        <v>REORDER</v>
      </c>
    </row>
    <row r="318" ht="15.75" customHeight="1">
      <c r="B318" s="2"/>
      <c r="F318" s="2">
        <f t="shared" si="3"/>
        <v>0</v>
      </c>
      <c r="H318" s="2">
        <f t="shared" si="4"/>
        <v>0</v>
      </c>
      <c r="I318" s="2" t="str">
        <f>IF(F318 &lt;= IFERROR(VLOOKUP(B318, Master_Items!C:H, 6, FALSE), 0), "REORDER", "")</f>
        <v>REORDER</v>
      </c>
    </row>
    <row r="319" ht="15.75" customHeight="1">
      <c r="B319" s="2"/>
      <c r="F319" s="2">
        <f t="shared" si="3"/>
        <v>0</v>
      </c>
      <c r="H319" s="2">
        <f t="shared" si="4"/>
        <v>0</v>
      </c>
      <c r="I319" s="2" t="str">
        <f>IF(F319 &lt;= IFERROR(VLOOKUP(B319, Master_Items!C:H, 6, FALSE), 0), "REORDER", "")</f>
        <v>REORDER</v>
      </c>
    </row>
    <row r="320" ht="15.75" customHeight="1">
      <c r="B320" s="2"/>
      <c r="F320" s="2">
        <f t="shared" si="3"/>
        <v>0</v>
      </c>
      <c r="H320" s="2">
        <f t="shared" si="4"/>
        <v>0</v>
      </c>
      <c r="I320" s="2" t="str">
        <f>IF(F320 &lt;= IFERROR(VLOOKUP(B320, Master_Items!C:H, 6, FALSE), 0), "REORDER", "")</f>
        <v>REORDER</v>
      </c>
    </row>
    <row r="321" ht="15.75" customHeight="1">
      <c r="B321" s="2"/>
      <c r="F321" s="2">
        <f t="shared" si="3"/>
        <v>0</v>
      </c>
      <c r="H321" s="2">
        <f t="shared" si="4"/>
        <v>0</v>
      </c>
      <c r="I321" s="2" t="str">
        <f>IF(F321 &lt;= IFERROR(VLOOKUP(B321, Master_Items!C:H, 6, FALSE), 0), "REORDER", "")</f>
        <v>REORDER</v>
      </c>
    </row>
    <row r="322" ht="15.75" customHeight="1">
      <c r="B322" s="2"/>
      <c r="F322" s="2">
        <f t="shared" si="3"/>
        <v>0</v>
      </c>
      <c r="H322" s="2">
        <f t="shared" si="4"/>
        <v>0</v>
      </c>
      <c r="I322" s="2" t="str">
        <f>IF(F322 &lt;= IFERROR(VLOOKUP(B322, Master_Items!C:H, 6, FALSE), 0), "REORDER", "")</f>
        <v>REORDER</v>
      </c>
    </row>
    <row r="323" ht="15.75" customHeight="1">
      <c r="B323" s="2"/>
      <c r="F323" s="2">
        <f t="shared" si="3"/>
        <v>0</v>
      </c>
      <c r="H323" s="2">
        <f t="shared" si="4"/>
        <v>0</v>
      </c>
      <c r="I323" s="2" t="str">
        <f>IF(F323 &lt;= IFERROR(VLOOKUP(B323, Master_Items!C:H, 6, FALSE), 0), "REORDER", "")</f>
        <v>REORDER</v>
      </c>
    </row>
    <row r="324" ht="15.75" customHeight="1">
      <c r="B324" s="2"/>
      <c r="F324" s="2">
        <f t="shared" si="3"/>
        <v>0</v>
      </c>
      <c r="H324" s="2">
        <f t="shared" si="4"/>
        <v>0</v>
      </c>
      <c r="I324" s="2" t="str">
        <f>IF(F324 &lt;= IFERROR(VLOOKUP(B324, Master_Items!C:H, 6, FALSE), 0), "REORDER", "")</f>
        <v>REORDER</v>
      </c>
    </row>
    <row r="325" ht="15.75" customHeight="1">
      <c r="B325" s="2"/>
      <c r="F325" s="2">
        <f t="shared" si="3"/>
        <v>0</v>
      </c>
      <c r="H325" s="2">
        <f t="shared" si="4"/>
        <v>0</v>
      </c>
      <c r="I325" s="2" t="str">
        <f>IF(F325 &lt;= IFERROR(VLOOKUP(B325, Master_Items!C:H, 6, FALSE), 0), "REORDER", "")</f>
        <v>REORDER</v>
      </c>
    </row>
    <row r="326" ht="15.75" customHeight="1">
      <c r="B326" s="2"/>
      <c r="F326" s="2">
        <f t="shared" si="3"/>
        <v>0</v>
      </c>
      <c r="H326" s="2">
        <f t="shared" si="4"/>
        <v>0</v>
      </c>
      <c r="I326" s="2" t="str">
        <f>IF(F326 &lt;= IFERROR(VLOOKUP(B326, Master_Items!C:H, 6, FALSE), 0), "REORDER", "")</f>
        <v>REORDER</v>
      </c>
    </row>
    <row r="327" ht="15.75" customHeight="1">
      <c r="B327" s="2"/>
      <c r="F327" s="2">
        <f t="shared" si="3"/>
        <v>0</v>
      </c>
      <c r="H327" s="2">
        <f t="shared" si="4"/>
        <v>0</v>
      </c>
      <c r="I327" s="2" t="str">
        <f>IF(F327 &lt;= IFERROR(VLOOKUP(B327, Master_Items!C:H, 6, FALSE), 0), "REORDER", "")</f>
        <v>REORDER</v>
      </c>
    </row>
    <row r="328" ht="15.75" customHeight="1">
      <c r="B328" s="2"/>
      <c r="F328" s="2">
        <f t="shared" si="3"/>
        <v>0</v>
      </c>
      <c r="H328" s="2">
        <f t="shared" si="4"/>
        <v>0</v>
      </c>
      <c r="I328" s="2" t="str">
        <f>IF(F328 &lt;= IFERROR(VLOOKUP(B328, Master_Items!C:H, 6, FALSE), 0), "REORDER", "")</f>
        <v>REORDER</v>
      </c>
    </row>
    <row r="329" ht="15.75" customHeight="1">
      <c r="B329" s="2"/>
      <c r="F329" s="2">
        <f t="shared" si="3"/>
        <v>0</v>
      </c>
      <c r="H329" s="2">
        <f t="shared" si="4"/>
        <v>0</v>
      </c>
      <c r="I329" s="2" t="str">
        <f>IF(F329 &lt;= IFERROR(VLOOKUP(B329, Master_Items!C:H, 6, FALSE), 0), "REORDER", "")</f>
        <v>REORDER</v>
      </c>
    </row>
    <row r="330" ht="15.75" customHeight="1">
      <c r="B330" s="2"/>
      <c r="F330" s="2">
        <f t="shared" si="3"/>
        <v>0</v>
      </c>
      <c r="H330" s="2">
        <f t="shared" si="4"/>
        <v>0</v>
      </c>
      <c r="I330" s="2" t="str">
        <f>IF(F330 &lt;= IFERROR(VLOOKUP(B330, Master_Items!C:H, 6, FALSE), 0), "REORDER", "")</f>
        <v>REORDER</v>
      </c>
    </row>
    <row r="331" ht="15.75" customHeight="1">
      <c r="B331" s="2"/>
      <c r="F331" s="2">
        <f t="shared" si="3"/>
        <v>0</v>
      </c>
      <c r="H331" s="2">
        <f t="shared" si="4"/>
        <v>0</v>
      </c>
      <c r="I331" s="2" t="str">
        <f>IF(F331 &lt;= IFERROR(VLOOKUP(B331, Master_Items!C:H, 6, FALSE), 0), "REORDER", "")</f>
        <v>REORDER</v>
      </c>
    </row>
    <row r="332" ht="15.75" customHeight="1">
      <c r="B332" s="2"/>
      <c r="F332" s="2">
        <f t="shared" si="3"/>
        <v>0</v>
      </c>
      <c r="H332" s="2">
        <f t="shared" si="4"/>
        <v>0</v>
      </c>
      <c r="I332" s="2" t="str">
        <f>IF(F332 &lt;= IFERROR(VLOOKUP(B332, Master_Items!C:H, 6, FALSE), 0), "REORDER", "")</f>
        <v>REORDER</v>
      </c>
    </row>
    <row r="333" ht="15.75" customHeight="1">
      <c r="B333" s="2"/>
      <c r="F333" s="2">
        <f t="shared" si="3"/>
        <v>0</v>
      </c>
      <c r="H333" s="2">
        <f t="shared" si="4"/>
        <v>0</v>
      </c>
      <c r="I333" s="2" t="str">
        <f>IF(F333 &lt;= IFERROR(VLOOKUP(B333, Master_Items!C:H, 6, FALSE), 0), "REORDER", "")</f>
        <v>REORDER</v>
      </c>
    </row>
    <row r="334" ht="15.75" customHeight="1">
      <c r="B334" s="2"/>
      <c r="F334" s="2">
        <f t="shared" si="3"/>
        <v>0</v>
      </c>
      <c r="H334" s="2">
        <f t="shared" si="4"/>
        <v>0</v>
      </c>
      <c r="I334" s="2" t="str">
        <f>IF(F334 &lt;= IFERROR(VLOOKUP(B334, Master_Items!C:H, 6, FALSE), 0), "REORDER", "")</f>
        <v>REORDER</v>
      </c>
    </row>
    <row r="335" ht="15.75" customHeight="1">
      <c r="B335" s="2"/>
      <c r="F335" s="2">
        <f t="shared" si="3"/>
        <v>0</v>
      </c>
      <c r="H335" s="2">
        <f t="shared" si="4"/>
        <v>0</v>
      </c>
      <c r="I335" s="2" t="str">
        <f>IF(F335 &lt;= IFERROR(VLOOKUP(B335, Master_Items!C:H, 6, FALSE), 0), "REORDER", "")</f>
        <v>REORDER</v>
      </c>
    </row>
    <row r="336" ht="15.75" customHeight="1">
      <c r="B336" s="2"/>
      <c r="F336" s="2">
        <f t="shared" si="3"/>
        <v>0</v>
      </c>
      <c r="H336" s="2">
        <f t="shared" si="4"/>
        <v>0</v>
      </c>
      <c r="I336" s="2" t="str">
        <f>IF(F336 &lt;= IFERROR(VLOOKUP(B336, Master_Items!C:H, 6, FALSE), 0), "REORDER", "")</f>
        <v>REORDER</v>
      </c>
    </row>
    <row r="337" ht="15.75" customHeight="1">
      <c r="B337" s="2"/>
      <c r="F337" s="2">
        <f t="shared" si="3"/>
        <v>0</v>
      </c>
      <c r="H337" s="2">
        <f t="shared" si="4"/>
        <v>0</v>
      </c>
      <c r="I337" s="2" t="str">
        <f>IF(F337 &lt;= IFERROR(VLOOKUP(B337, Master_Items!C:H, 6, FALSE), 0), "REORDER", "")</f>
        <v>REORDER</v>
      </c>
    </row>
    <row r="338" ht="15.75" customHeight="1">
      <c r="B338" s="2"/>
      <c r="F338" s="2">
        <f t="shared" si="3"/>
        <v>0</v>
      </c>
      <c r="H338" s="2">
        <f t="shared" si="4"/>
        <v>0</v>
      </c>
      <c r="I338" s="2" t="str">
        <f>IF(F338 &lt;= IFERROR(VLOOKUP(B338, Master_Items!C:H, 6, FALSE), 0), "REORDER", "")</f>
        <v>REORDER</v>
      </c>
    </row>
    <row r="339" ht="15.75" customHeight="1">
      <c r="B339" s="2"/>
      <c r="F339" s="2">
        <f t="shared" si="3"/>
        <v>0</v>
      </c>
      <c r="H339" s="2">
        <f t="shared" si="4"/>
        <v>0</v>
      </c>
      <c r="I339" s="2" t="str">
        <f>IF(F339 &lt;= IFERROR(VLOOKUP(B339, Master_Items!C:H, 6, FALSE), 0), "REORDER", "")</f>
        <v>REORDER</v>
      </c>
    </row>
    <row r="340" ht="15.75" customHeight="1">
      <c r="B340" s="2"/>
      <c r="F340" s="2">
        <f t="shared" si="3"/>
        <v>0</v>
      </c>
      <c r="H340" s="2">
        <f t="shared" si="4"/>
        <v>0</v>
      </c>
      <c r="I340" s="2" t="str">
        <f>IF(F340 &lt;= IFERROR(VLOOKUP(B340, Master_Items!C:H, 6, FALSE), 0), "REORDER", "")</f>
        <v>REORDER</v>
      </c>
    </row>
    <row r="341" ht="15.75" customHeight="1">
      <c r="B341" s="2"/>
      <c r="F341" s="2">
        <f t="shared" si="3"/>
        <v>0</v>
      </c>
      <c r="H341" s="2">
        <f t="shared" si="4"/>
        <v>0</v>
      </c>
      <c r="I341" s="2" t="str">
        <f>IF(F341 &lt;= IFERROR(VLOOKUP(B341, Master_Items!C:H, 6, FALSE), 0), "REORDER", "")</f>
        <v>REORDER</v>
      </c>
    </row>
    <row r="342" ht="15.75" customHeight="1">
      <c r="B342" s="2"/>
      <c r="F342" s="2">
        <f t="shared" si="3"/>
        <v>0</v>
      </c>
      <c r="H342" s="2">
        <f t="shared" si="4"/>
        <v>0</v>
      </c>
      <c r="I342" s="2" t="str">
        <f>IF(F342 &lt;= IFERROR(VLOOKUP(B342, Master_Items!C:H, 6, FALSE), 0), "REORDER", "")</f>
        <v>REORDER</v>
      </c>
    </row>
    <row r="343" ht="15.75" customHeight="1">
      <c r="B343" s="2"/>
      <c r="F343" s="2">
        <f t="shared" si="3"/>
        <v>0</v>
      </c>
      <c r="H343" s="2">
        <f t="shared" si="4"/>
        <v>0</v>
      </c>
      <c r="I343" s="2" t="str">
        <f>IF(F343 &lt;= IFERROR(VLOOKUP(B343, Master_Items!C:H, 6, FALSE), 0), "REORDER", "")</f>
        <v>REORDER</v>
      </c>
    </row>
    <row r="344" ht="15.75" customHeight="1">
      <c r="B344" s="2"/>
      <c r="F344" s="2">
        <f t="shared" si="3"/>
        <v>0</v>
      </c>
      <c r="H344" s="2">
        <f t="shared" si="4"/>
        <v>0</v>
      </c>
      <c r="I344" s="2" t="str">
        <f>IF(F344 &lt;= IFERROR(VLOOKUP(B344, Master_Items!C:H, 6, FALSE), 0), "REORDER", "")</f>
        <v>REORDER</v>
      </c>
    </row>
    <row r="345" ht="15.75" customHeight="1">
      <c r="B345" s="2"/>
      <c r="F345" s="2">
        <f t="shared" si="3"/>
        <v>0</v>
      </c>
      <c r="H345" s="2">
        <f t="shared" si="4"/>
        <v>0</v>
      </c>
      <c r="I345" s="2" t="str">
        <f>IF(F345 &lt;= IFERROR(VLOOKUP(B345, Master_Items!C:H, 6, FALSE), 0), "REORDER", "")</f>
        <v>REORDER</v>
      </c>
    </row>
    <row r="346" ht="15.75" customHeight="1">
      <c r="B346" s="2"/>
      <c r="F346" s="2">
        <f t="shared" si="3"/>
        <v>0</v>
      </c>
      <c r="H346" s="2">
        <f t="shared" si="4"/>
        <v>0</v>
      </c>
      <c r="I346" s="2" t="str">
        <f>IF(F346 &lt;= IFERROR(VLOOKUP(B346, Master_Items!C:H, 6, FALSE), 0), "REORDER", "")</f>
        <v>REORDER</v>
      </c>
    </row>
    <row r="347" ht="15.75" customHeight="1">
      <c r="B347" s="2"/>
      <c r="F347" s="2">
        <f t="shared" si="3"/>
        <v>0</v>
      </c>
      <c r="H347" s="2">
        <f t="shared" si="4"/>
        <v>0</v>
      </c>
      <c r="I347" s="2" t="str">
        <f>IF(F347 &lt;= IFERROR(VLOOKUP(B347, Master_Items!C:H, 6, FALSE), 0), "REORDER", "")</f>
        <v>REORDER</v>
      </c>
    </row>
    <row r="348" ht="15.75" customHeight="1">
      <c r="B348" s="2"/>
      <c r="F348" s="2">
        <f t="shared" si="3"/>
        <v>0</v>
      </c>
      <c r="H348" s="2">
        <f t="shared" si="4"/>
        <v>0</v>
      </c>
      <c r="I348" s="2" t="str">
        <f>IF(F348 &lt;= IFERROR(VLOOKUP(B348, Master_Items!C:H, 6, FALSE), 0), "REORDER", "")</f>
        <v>REORDER</v>
      </c>
    </row>
    <row r="349" ht="15.75" customHeight="1">
      <c r="B349" s="2"/>
      <c r="F349" s="2">
        <f t="shared" si="3"/>
        <v>0</v>
      </c>
      <c r="H349" s="2">
        <f t="shared" si="4"/>
        <v>0</v>
      </c>
      <c r="I349" s="2" t="str">
        <f>IF(F349 &lt;= IFERROR(VLOOKUP(B349, Master_Items!C:H, 6, FALSE), 0), "REORDER", "")</f>
        <v>REORDER</v>
      </c>
    </row>
    <row r="350" ht="15.75" customHeight="1">
      <c r="B350" s="2"/>
      <c r="F350" s="2">
        <f t="shared" si="3"/>
        <v>0</v>
      </c>
      <c r="H350" s="2">
        <f t="shared" si="4"/>
        <v>0</v>
      </c>
      <c r="I350" s="2" t="str">
        <f>IF(F350 &lt;= IFERROR(VLOOKUP(B350, Master_Items!C:H, 6, FALSE), 0), "REORDER", "")</f>
        <v>REORDER</v>
      </c>
    </row>
    <row r="351" ht="15.75" customHeight="1">
      <c r="B351" s="2"/>
      <c r="F351" s="2">
        <f t="shared" si="3"/>
        <v>0</v>
      </c>
      <c r="H351" s="2">
        <f t="shared" si="4"/>
        <v>0</v>
      </c>
      <c r="I351" s="2" t="str">
        <f>IF(F351 &lt;= IFERROR(VLOOKUP(B351, Master_Items!C:H, 6, FALSE), 0), "REORDER", "")</f>
        <v>REORDER</v>
      </c>
    </row>
    <row r="352" ht="15.75" customHeight="1">
      <c r="B352" s="2"/>
      <c r="F352" s="2">
        <f t="shared" si="3"/>
        <v>0</v>
      </c>
      <c r="H352" s="2">
        <f t="shared" si="4"/>
        <v>0</v>
      </c>
      <c r="I352" s="2" t="str">
        <f>IF(F352 &lt;= IFERROR(VLOOKUP(B352, Master_Items!C:H, 6, FALSE), 0), "REORDER", "")</f>
        <v>REORDER</v>
      </c>
    </row>
    <row r="353" ht="15.75" customHeight="1">
      <c r="B353" s="2"/>
      <c r="F353" s="2">
        <f t="shared" si="3"/>
        <v>0</v>
      </c>
      <c r="H353" s="2">
        <f t="shared" si="4"/>
        <v>0</v>
      </c>
      <c r="I353" s="2" t="str">
        <f>IF(F353 &lt;= IFERROR(VLOOKUP(B353, Master_Items!C:H, 6, FALSE), 0), "REORDER", "")</f>
        <v>REORDER</v>
      </c>
    </row>
    <row r="354" ht="15.75" customHeight="1">
      <c r="B354" s="2"/>
      <c r="F354" s="2">
        <f t="shared" si="3"/>
        <v>0</v>
      </c>
      <c r="H354" s="2">
        <f t="shared" si="4"/>
        <v>0</v>
      </c>
      <c r="I354" s="2" t="str">
        <f>IF(F354 &lt;= IFERROR(VLOOKUP(B354, Master_Items!C:H, 6, FALSE), 0), "REORDER", "")</f>
        <v>REORDER</v>
      </c>
    </row>
    <row r="355" ht="15.75" customHeight="1">
      <c r="B355" s="2"/>
      <c r="F355" s="2">
        <f t="shared" si="3"/>
        <v>0</v>
      </c>
      <c r="H355" s="2">
        <f t="shared" si="4"/>
        <v>0</v>
      </c>
      <c r="I355" s="2" t="str">
        <f>IF(F355 &lt;= IFERROR(VLOOKUP(B355, Master_Items!C:H, 6, FALSE), 0), "REORDER", "")</f>
        <v>REORDER</v>
      </c>
    </row>
    <row r="356" ht="15.75" customHeight="1">
      <c r="B356" s="2"/>
      <c r="F356" s="2">
        <f t="shared" si="3"/>
        <v>0</v>
      </c>
      <c r="H356" s="2">
        <f t="shared" si="4"/>
        <v>0</v>
      </c>
      <c r="I356" s="2" t="str">
        <f>IF(F356 &lt;= IFERROR(VLOOKUP(B356, Master_Items!C:H, 6, FALSE), 0), "REORDER", "")</f>
        <v>REORDER</v>
      </c>
    </row>
    <row r="357" ht="15.75" customHeight="1">
      <c r="B357" s="2"/>
      <c r="F357" s="2">
        <f t="shared" si="3"/>
        <v>0</v>
      </c>
      <c r="H357" s="2">
        <f t="shared" si="4"/>
        <v>0</v>
      </c>
      <c r="I357" s="2" t="str">
        <f>IF(F357 &lt;= IFERROR(VLOOKUP(B357, Master_Items!C:H, 6, FALSE), 0), "REORDER", "")</f>
        <v>REORDER</v>
      </c>
    </row>
    <row r="358" ht="15.75" customHeight="1">
      <c r="B358" s="2"/>
      <c r="F358" s="2">
        <f t="shared" si="3"/>
        <v>0</v>
      </c>
      <c r="H358" s="2">
        <f t="shared" si="4"/>
        <v>0</v>
      </c>
      <c r="I358" s="2" t="str">
        <f>IF(F358 &lt;= IFERROR(VLOOKUP(B358, Master_Items!C:H, 6, FALSE), 0), "REORDER", "")</f>
        <v>REORDER</v>
      </c>
    </row>
    <row r="359" ht="15.75" customHeight="1">
      <c r="B359" s="2"/>
      <c r="F359" s="2">
        <f t="shared" si="3"/>
        <v>0</v>
      </c>
      <c r="H359" s="2">
        <f t="shared" si="4"/>
        <v>0</v>
      </c>
      <c r="I359" s="2" t="str">
        <f>IF(F359 &lt;= IFERROR(VLOOKUP(B359, Master_Items!C:H, 6, FALSE), 0), "REORDER", "")</f>
        <v>REORDER</v>
      </c>
    </row>
    <row r="360" ht="15.75" customHeight="1">
      <c r="B360" s="2"/>
      <c r="F360" s="2">
        <f t="shared" si="3"/>
        <v>0</v>
      </c>
      <c r="H360" s="2">
        <f t="shared" si="4"/>
        <v>0</v>
      </c>
      <c r="I360" s="2" t="str">
        <f>IF(F360 &lt;= IFERROR(VLOOKUP(B360, Master_Items!C:H, 6, FALSE), 0), "REORDER", "")</f>
        <v>REORDER</v>
      </c>
    </row>
    <row r="361" ht="15.75" customHeight="1">
      <c r="B361" s="2"/>
      <c r="F361" s="2">
        <f t="shared" si="3"/>
        <v>0</v>
      </c>
      <c r="H361" s="2">
        <f t="shared" si="4"/>
        <v>0</v>
      </c>
      <c r="I361" s="2" t="str">
        <f>IF(F361 &lt;= IFERROR(VLOOKUP(B361, Master_Items!C:H, 6, FALSE), 0), "REORDER", "")</f>
        <v>REORDER</v>
      </c>
    </row>
    <row r="362" ht="15.75" customHeight="1">
      <c r="B362" s="2"/>
      <c r="F362" s="2">
        <f t="shared" si="3"/>
        <v>0</v>
      </c>
      <c r="H362" s="2">
        <f t="shared" si="4"/>
        <v>0</v>
      </c>
      <c r="I362" s="2" t="str">
        <f>IF(F362 &lt;= IFERROR(VLOOKUP(B362, Master_Items!C:H, 6, FALSE), 0), "REORDER", "")</f>
        <v>REORDER</v>
      </c>
    </row>
    <row r="363" ht="15.75" customHeight="1">
      <c r="B363" s="2"/>
      <c r="F363" s="2">
        <f t="shared" si="3"/>
        <v>0</v>
      </c>
      <c r="H363" s="2">
        <f t="shared" si="4"/>
        <v>0</v>
      </c>
      <c r="I363" s="2" t="str">
        <f>IF(F363 &lt;= IFERROR(VLOOKUP(B363, Master_Items!C:H, 6, FALSE), 0), "REORDER", "")</f>
        <v>REORDER</v>
      </c>
    </row>
    <row r="364" ht="15.75" customHeight="1">
      <c r="B364" s="2"/>
      <c r="F364" s="2">
        <f t="shared" si="3"/>
        <v>0</v>
      </c>
      <c r="H364" s="2">
        <f t="shared" si="4"/>
        <v>0</v>
      </c>
      <c r="I364" s="2" t="str">
        <f>IF(F364 &lt;= IFERROR(VLOOKUP(B364, Master_Items!C:H, 6, FALSE), 0), "REORDER", "")</f>
        <v>REORDER</v>
      </c>
    </row>
    <row r="365" ht="15.75" customHeight="1">
      <c r="B365" s="2"/>
      <c r="F365" s="2">
        <f t="shared" si="3"/>
        <v>0</v>
      </c>
      <c r="H365" s="2">
        <f t="shared" si="4"/>
        <v>0</v>
      </c>
      <c r="I365" s="2" t="str">
        <f>IF(F365 &lt;= IFERROR(VLOOKUP(B365, Master_Items!C:H, 6, FALSE), 0), "REORDER", "")</f>
        <v>REORDER</v>
      </c>
    </row>
    <row r="366" ht="15.75" customHeight="1">
      <c r="B366" s="2"/>
      <c r="F366" s="2">
        <f t="shared" si="3"/>
        <v>0</v>
      </c>
      <c r="H366" s="2">
        <f t="shared" si="4"/>
        <v>0</v>
      </c>
      <c r="I366" s="2" t="str">
        <f>IF(F366 &lt;= IFERROR(VLOOKUP(B366, Master_Items!C:H, 6, FALSE), 0), "REORDER", "")</f>
        <v>REORDER</v>
      </c>
    </row>
    <row r="367" ht="15.75" customHeight="1">
      <c r="B367" s="2"/>
      <c r="F367" s="2">
        <f t="shared" si="3"/>
        <v>0</v>
      </c>
      <c r="H367" s="2">
        <f t="shared" si="4"/>
        <v>0</v>
      </c>
      <c r="I367" s="2" t="str">
        <f>IF(F367 &lt;= IFERROR(VLOOKUP(B367, Master_Items!C:H, 6, FALSE), 0), "REORDER", "")</f>
        <v>REORDER</v>
      </c>
    </row>
    <row r="368" ht="15.75" customHeight="1">
      <c r="B368" s="2"/>
      <c r="F368" s="2">
        <f t="shared" si="3"/>
        <v>0</v>
      </c>
      <c r="H368" s="2">
        <f t="shared" si="4"/>
        <v>0</v>
      </c>
      <c r="I368" s="2" t="str">
        <f>IF(F368 &lt;= IFERROR(VLOOKUP(B368, Master_Items!C:H, 6, FALSE), 0), "REORDER", "")</f>
        <v>REORDER</v>
      </c>
    </row>
    <row r="369" ht="15.75" customHeight="1">
      <c r="B369" s="2"/>
      <c r="F369" s="2">
        <f t="shared" si="3"/>
        <v>0</v>
      </c>
      <c r="H369" s="2">
        <f t="shared" si="4"/>
        <v>0</v>
      </c>
      <c r="I369" s="2" t="str">
        <f>IF(F369 &lt;= IFERROR(VLOOKUP(B369, Master_Items!C:H, 6, FALSE), 0), "REORDER", "")</f>
        <v>REORDER</v>
      </c>
    </row>
    <row r="370" ht="15.75" customHeight="1">
      <c r="B370" s="2"/>
      <c r="F370" s="2">
        <f t="shared" si="3"/>
        <v>0</v>
      </c>
      <c r="H370" s="2">
        <f t="shared" si="4"/>
        <v>0</v>
      </c>
      <c r="I370" s="2" t="str">
        <f>IF(F370 &lt;= IFERROR(VLOOKUP(B370, Master_Items!C:H, 6, FALSE), 0), "REORDER", "")</f>
        <v>REORDER</v>
      </c>
    </row>
    <row r="371" ht="15.75" customHeight="1">
      <c r="B371" s="2"/>
      <c r="F371" s="2">
        <f t="shared" si="3"/>
        <v>0</v>
      </c>
      <c r="H371" s="2">
        <f t="shared" si="4"/>
        <v>0</v>
      </c>
      <c r="I371" s="2" t="str">
        <f>IF(F371 &lt;= IFERROR(VLOOKUP(B371, Master_Items!C:H, 6, FALSE), 0), "REORDER", "")</f>
        <v>REORDER</v>
      </c>
    </row>
    <row r="372" ht="15.75" customHeight="1">
      <c r="B372" s="2"/>
      <c r="F372" s="2">
        <f t="shared" si="3"/>
        <v>0</v>
      </c>
      <c r="H372" s="2">
        <f t="shared" si="4"/>
        <v>0</v>
      </c>
      <c r="I372" s="2" t="str">
        <f>IF(F372 &lt;= IFERROR(VLOOKUP(B372, Master_Items!C:H, 6, FALSE), 0), "REORDER", "")</f>
        <v>REORDER</v>
      </c>
    </row>
    <row r="373" ht="15.75" customHeight="1">
      <c r="B373" s="2"/>
      <c r="F373" s="2">
        <f t="shared" si="3"/>
        <v>0</v>
      </c>
      <c r="H373" s="2">
        <f t="shared" si="4"/>
        <v>0</v>
      </c>
      <c r="I373" s="2" t="str">
        <f>IF(F373 &lt;= IFERROR(VLOOKUP(B373, Master_Items!C:H, 6, FALSE), 0), "REORDER", "")</f>
        <v>REORDER</v>
      </c>
    </row>
    <row r="374" ht="15.75" customHeight="1">
      <c r="B374" s="2"/>
      <c r="F374" s="2">
        <f t="shared" si="3"/>
        <v>0</v>
      </c>
      <c r="H374" s="2">
        <f t="shared" si="4"/>
        <v>0</v>
      </c>
      <c r="I374" s="2" t="str">
        <f>IF(F374 &lt;= IFERROR(VLOOKUP(B374, Master_Items!C:H, 6, FALSE), 0), "REORDER", "")</f>
        <v>REORDER</v>
      </c>
    </row>
    <row r="375" ht="15.75" customHeight="1">
      <c r="B375" s="2"/>
      <c r="F375" s="2">
        <f t="shared" si="3"/>
        <v>0</v>
      </c>
      <c r="H375" s="2">
        <f t="shared" si="4"/>
        <v>0</v>
      </c>
      <c r="I375" s="2" t="str">
        <f>IF(F375 &lt;= IFERROR(VLOOKUP(B375, Master_Items!C:H, 6, FALSE), 0), "REORDER", "")</f>
        <v>REORDER</v>
      </c>
    </row>
    <row r="376" ht="15.75" customHeight="1">
      <c r="B376" s="2"/>
      <c r="F376" s="2">
        <f t="shared" si="3"/>
        <v>0</v>
      </c>
      <c r="H376" s="2">
        <f t="shared" si="4"/>
        <v>0</v>
      </c>
      <c r="I376" s="2" t="str">
        <f>IF(F376 &lt;= IFERROR(VLOOKUP(B376, Master_Items!C:H, 6, FALSE), 0), "REORDER", "")</f>
        <v>REORDER</v>
      </c>
    </row>
    <row r="377" ht="15.75" customHeight="1">
      <c r="B377" s="2"/>
      <c r="F377" s="2">
        <f t="shared" si="3"/>
        <v>0</v>
      </c>
      <c r="H377" s="2">
        <f t="shared" si="4"/>
        <v>0</v>
      </c>
      <c r="I377" s="2" t="str">
        <f>IF(F377 &lt;= IFERROR(VLOOKUP(B377, Master_Items!C:H, 6, FALSE), 0), "REORDER", "")</f>
        <v>REORDER</v>
      </c>
    </row>
    <row r="378" ht="15.75" customHeight="1">
      <c r="B378" s="2"/>
      <c r="F378" s="2">
        <f t="shared" si="3"/>
        <v>0</v>
      </c>
      <c r="H378" s="2">
        <f t="shared" si="4"/>
        <v>0</v>
      </c>
      <c r="I378" s="2" t="str">
        <f>IF(F378 &lt;= IFERROR(VLOOKUP(B378, Master_Items!C:H, 6, FALSE), 0), "REORDER", "")</f>
        <v>REORDER</v>
      </c>
    </row>
    <row r="379" ht="15.75" customHeight="1">
      <c r="B379" s="2"/>
      <c r="F379" s="2">
        <f t="shared" si="3"/>
        <v>0</v>
      </c>
      <c r="H379" s="2">
        <f t="shared" si="4"/>
        <v>0</v>
      </c>
      <c r="I379" s="2" t="str">
        <f>IF(F379 &lt;= IFERROR(VLOOKUP(B379, Master_Items!C:H, 6, FALSE), 0), "REORDER", "")</f>
        <v>REORDER</v>
      </c>
    </row>
    <row r="380" ht="15.75" customHeight="1">
      <c r="B380" s="2"/>
      <c r="F380" s="2">
        <f t="shared" si="3"/>
        <v>0</v>
      </c>
      <c r="H380" s="2">
        <f t="shared" si="4"/>
        <v>0</v>
      </c>
      <c r="I380" s="2" t="str">
        <f>IF(F380 &lt;= IFERROR(VLOOKUP(B380, Master_Items!C:H, 6, FALSE), 0), "REORDER", "")</f>
        <v>REORDER</v>
      </c>
    </row>
    <row r="381" ht="15.75" customHeight="1">
      <c r="B381" s="2"/>
      <c r="F381" s="2">
        <f t="shared" si="3"/>
        <v>0</v>
      </c>
      <c r="H381" s="2">
        <f t="shared" si="4"/>
        <v>0</v>
      </c>
      <c r="I381" s="2" t="str">
        <f>IF(F381 &lt;= IFERROR(VLOOKUP(B381, Master_Items!C:H, 6, FALSE), 0), "REORDER", "")</f>
        <v>REORDER</v>
      </c>
    </row>
    <row r="382" ht="15.75" customHeight="1">
      <c r="B382" s="2"/>
      <c r="F382" s="2">
        <f t="shared" si="3"/>
        <v>0</v>
      </c>
      <c r="H382" s="2">
        <f t="shared" si="4"/>
        <v>0</v>
      </c>
      <c r="I382" s="2" t="str">
        <f>IF(F382 &lt;= IFERROR(VLOOKUP(B382, Master_Items!C:H, 6, FALSE), 0), "REORDER", "")</f>
        <v>REORDER</v>
      </c>
    </row>
    <row r="383" ht="15.75" customHeight="1">
      <c r="B383" s="2"/>
      <c r="F383" s="2">
        <f t="shared" si="3"/>
        <v>0</v>
      </c>
      <c r="H383" s="2">
        <f t="shared" si="4"/>
        <v>0</v>
      </c>
      <c r="I383" s="2" t="str">
        <f>IF(F383 &lt;= IFERROR(VLOOKUP(B383, Master_Items!C:H, 6, FALSE), 0), "REORDER", "")</f>
        <v>REORDER</v>
      </c>
    </row>
    <row r="384" ht="15.75" customHeight="1">
      <c r="B384" s="2"/>
      <c r="F384" s="2">
        <f t="shared" si="3"/>
        <v>0</v>
      </c>
      <c r="H384" s="2">
        <f t="shared" si="4"/>
        <v>0</v>
      </c>
      <c r="I384" s="2" t="str">
        <f>IF(F384 &lt;= IFERROR(VLOOKUP(B384, Master_Items!C:H, 6, FALSE), 0), "REORDER", "")</f>
        <v>REORDER</v>
      </c>
    </row>
    <row r="385" ht="15.75" customHeight="1">
      <c r="B385" s="2"/>
      <c r="F385" s="2">
        <f t="shared" si="3"/>
        <v>0</v>
      </c>
      <c r="H385" s="2">
        <f t="shared" si="4"/>
        <v>0</v>
      </c>
      <c r="I385" s="2" t="str">
        <f>IF(F385 &lt;= IFERROR(VLOOKUP(B385, Master_Items!C:H, 6, FALSE), 0), "REORDER", "")</f>
        <v>REORDER</v>
      </c>
    </row>
    <row r="386" ht="15.75" customHeight="1">
      <c r="B386" s="2"/>
      <c r="F386" s="2">
        <f t="shared" si="3"/>
        <v>0</v>
      </c>
      <c r="H386" s="2">
        <f t="shared" si="4"/>
        <v>0</v>
      </c>
      <c r="I386" s="2" t="str">
        <f>IF(F386 &lt;= IFERROR(VLOOKUP(B386, Master_Items!C:H, 6, FALSE), 0), "REORDER", "")</f>
        <v>REORDER</v>
      </c>
    </row>
    <row r="387" ht="15.75" customHeight="1">
      <c r="B387" s="2"/>
      <c r="F387" s="2">
        <f t="shared" si="3"/>
        <v>0</v>
      </c>
      <c r="H387" s="2">
        <f t="shared" si="4"/>
        <v>0</v>
      </c>
      <c r="I387" s="2" t="str">
        <f>IF(F387 &lt;= IFERROR(VLOOKUP(B387, Master_Items!C:H, 6, FALSE), 0), "REORDER", "")</f>
        <v>REORDER</v>
      </c>
    </row>
    <row r="388" ht="15.75" customHeight="1">
      <c r="B388" s="2"/>
      <c r="F388" s="2">
        <f t="shared" si="3"/>
        <v>0</v>
      </c>
      <c r="H388" s="2">
        <f t="shared" si="4"/>
        <v>0</v>
      </c>
      <c r="I388" s="2" t="str">
        <f>IF(F388 &lt;= IFERROR(VLOOKUP(B388, Master_Items!C:H, 6, FALSE), 0), "REORDER", "")</f>
        <v>REORDER</v>
      </c>
    </row>
    <row r="389" ht="15.75" customHeight="1">
      <c r="B389" s="2"/>
      <c r="F389" s="2">
        <f t="shared" si="3"/>
        <v>0</v>
      </c>
      <c r="H389" s="2">
        <f t="shared" si="4"/>
        <v>0</v>
      </c>
      <c r="I389" s="2" t="str">
        <f>IF(F389 &lt;= IFERROR(VLOOKUP(B389, Master_Items!C:H, 6, FALSE), 0), "REORDER", "")</f>
        <v>REORDER</v>
      </c>
    </row>
    <row r="390" ht="15.75" customHeight="1">
      <c r="B390" s="2"/>
      <c r="F390" s="2">
        <f t="shared" si="3"/>
        <v>0</v>
      </c>
      <c r="H390" s="2">
        <f t="shared" si="4"/>
        <v>0</v>
      </c>
      <c r="I390" s="2" t="str">
        <f>IF(F390 &lt;= IFERROR(VLOOKUP(B390, Master_Items!C:H, 6, FALSE), 0), "REORDER", "")</f>
        <v>REORDER</v>
      </c>
    </row>
    <row r="391" ht="15.75" customHeight="1">
      <c r="B391" s="2"/>
      <c r="F391" s="2">
        <f t="shared" si="3"/>
        <v>0</v>
      </c>
      <c r="H391" s="2">
        <f t="shared" si="4"/>
        <v>0</v>
      </c>
      <c r="I391" s="2" t="str">
        <f>IF(F391 &lt;= IFERROR(VLOOKUP(B391, Master_Items!C:H, 6, FALSE), 0), "REORDER", "")</f>
        <v>REORDER</v>
      </c>
    </row>
    <row r="392" ht="15.75" customHeight="1">
      <c r="B392" s="2"/>
      <c r="F392" s="2">
        <f t="shared" si="3"/>
        <v>0</v>
      </c>
      <c r="H392" s="2">
        <f t="shared" si="4"/>
        <v>0</v>
      </c>
      <c r="I392" s="2" t="str">
        <f>IF(F392 &lt;= IFERROR(VLOOKUP(B392, Master_Items!C:H, 6, FALSE), 0), "REORDER", "")</f>
        <v>REORDER</v>
      </c>
    </row>
    <row r="393" ht="15.75" customHeight="1">
      <c r="B393" s="2"/>
      <c r="F393" s="2">
        <f t="shared" si="3"/>
        <v>0</v>
      </c>
      <c r="H393" s="2">
        <f t="shared" si="4"/>
        <v>0</v>
      </c>
      <c r="I393" s="2" t="str">
        <f>IF(F393 &lt;= IFERROR(VLOOKUP(B393, Master_Items!C:H, 6, FALSE), 0), "REORDER", "")</f>
        <v>REORDER</v>
      </c>
    </row>
    <row r="394" ht="15.75" customHeight="1">
      <c r="B394" s="2"/>
      <c r="F394" s="2">
        <f t="shared" si="3"/>
        <v>0</v>
      </c>
      <c r="H394" s="2">
        <f t="shared" si="4"/>
        <v>0</v>
      </c>
      <c r="I394" s="2" t="str">
        <f>IF(F394 &lt;= IFERROR(VLOOKUP(B394, Master_Items!C:H, 6, FALSE), 0), "REORDER", "")</f>
        <v>REORDER</v>
      </c>
    </row>
    <row r="395" ht="15.75" customHeight="1">
      <c r="B395" s="2"/>
      <c r="F395" s="2">
        <f t="shared" si="3"/>
        <v>0</v>
      </c>
      <c r="H395" s="2">
        <f t="shared" si="4"/>
        <v>0</v>
      </c>
      <c r="I395" s="2" t="str">
        <f>IF(F395 &lt;= IFERROR(VLOOKUP(B395, Master_Items!C:H, 6, FALSE), 0), "REORDER", "")</f>
        <v>REORDER</v>
      </c>
    </row>
    <row r="396" ht="15.75" customHeight="1">
      <c r="B396" s="2"/>
      <c r="F396" s="2">
        <f t="shared" si="3"/>
        <v>0</v>
      </c>
      <c r="H396" s="2">
        <f t="shared" si="4"/>
        <v>0</v>
      </c>
      <c r="I396" s="2" t="str">
        <f>IF(F396 &lt;= IFERROR(VLOOKUP(B396, Master_Items!C:H, 6, FALSE), 0), "REORDER", "")</f>
        <v>REORDER</v>
      </c>
    </row>
    <row r="397" ht="15.75" customHeight="1">
      <c r="B397" s="2"/>
      <c r="F397" s="2">
        <f t="shared" si="3"/>
        <v>0</v>
      </c>
      <c r="H397" s="2">
        <f t="shared" si="4"/>
        <v>0</v>
      </c>
      <c r="I397" s="2" t="str">
        <f>IF(F397 &lt;= IFERROR(VLOOKUP(B397, Master_Items!C:H, 6, FALSE), 0), "REORDER", "")</f>
        <v>REORDER</v>
      </c>
    </row>
    <row r="398" ht="15.75" customHeight="1">
      <c r="B398" s="2"/>
      <c r="F398" s="2">
        <f t="shared" si="3"/>
        <v>0</v>
      </c>
      <c r="H398" s="2">
        <f t="shared" si="4"/>
        <v>0</v>
      </c>
      <c r="I398" s="2" t="str">
        <f>IF(F398 &lt;= IFERROR(VLOOKUP(B398, Master_Items!C:H, 6, FALSE), 0), "REORDER", "")</f>
        <v>REORDER</v>
      </c>
    </row>
    <row r="399" ht="15.75" customHeight="1">
      <c r="B399" s="2"/>
      <c r="F399" s="2">
        <f t="shared" si="3"/>
        <v>0</v>
      </c>
      <c r="H399" s="2">
        <f t="shared" si="4"/>
        <v>0</v>
      </c>
      <c r="I399" s="2" t="str">
        <f>IF(F399 &lt;= IFERROR(VLOOKUP(B399, Master_Items!C:H, 6, FALSE), 0), "REORDER", "")</f>
        <v>REORDER</v>
      </c>
    </row>
    <row r="400" ht="15.75" customHeight="1">
      <c r="B400" s="2"/>
      <c r="F400" s="2">
        <f t="shared" si="3"/>
        <v>0</v>
      </c>
      <c r="H400" s="2">
        <f t="shared" si="4"/>
        <v>0</v>
      </c>
      <c r="I400" s="2" t="str">
        <f>IF(F400 &lt;= IFERROR(VLOOKUP(B400, Master_Items!C:H, 6, FALSE), 0), "REORDER", "")</f>
        <v>REORDER</v>
      </c>
    </row>
    <row r="401" ht="15.75" customHeight="1">
      <c r="B401" s="2"/>
      <c r="F401" s="2">
        <f t="shared" si="3"/>
        <v>0</v>
      </c>
      <c r="H401" s="2">
        <f t="shared" si="4"/>
        <v>0</v>
      </c>
      <c r="I401" s="2" t="str">
        <f>IF(F401 &lt;= IFERROR(VLOOKUP(B401, Master_Items!C:H, 6, FALSE), 0), "REORDER", "")</f>
        <v>REORDER</v>
      </c>
    </row>
    <row r="402" ht="15.75" customHeight="1">
      <c r="B402" s="2"/>
      <c r="F402" s="2">
        <f t="shared" si="3"/>
        <v>0</v>
      </c>
      <c r="H402" s="2">
        <f t="shared" si="4"/>
        <v>0</v>
      </c>
      <c r="I402" s="2" t="str">
        <f>IF(F402 &lt;= IFERROR(VLOOKUP(B402, Master_Items!C:H, 6, FALSE), 0), "REORDER", "")</f>
        <v>REORDER</v>
      </c>
    </row>
    <row r="403" ht="15.75" customHeight="1">
      <c r="B403" s="2"/>
      <c r="F403" s="2">
        <f t="shared" si="3"/>
        <v>0</v>
      </c>
      <c r="H403" s="2">
        <f t="shared" si="4"/>
        <v>0</v>
      </c>
      <c r="I403" s="2" t="str">
        <f>IF(F403 &lt;= IFERROR(VLOOKUP(B403, Master_Items!C:H, 6, FALSE), 0), "REORDER", "")</f>
        <v>REORDER</v>
      </c>
    </row>
    <row r="404" ht="15.75" customHeight="1">
      <c r="B404" s="2"/>
      <c r="F404" s="2">
        <f t="shared" si="3"/>
        <v>0</v>
      </c>
      <c r="H404" s="2">
        <f t="shared" si="4"/>
        <v>0</v>
      </c>
      <c r="I404" s="2" t="str">
        <f>IF(F404 &lt;= IFERROR(VLOOKUP(B404, Master_Items!C:H, 6, FALSE), 0), "REORDER", "")</f>
        <v>REORDER</v>
      </c>
    </row>
    <row r="405" ht="15.75" customHeight="1">
      <c r="B405" s="2"/>
      <c r="F405" s="2">
        <f t="shared" si="3"/>
        <v>0</v>
      </c>
      <c r="H405" s="2">
        <f t="shared" si="4"/>
        <v>0</v>
      </c>
      <c r="I405" s="2" t="str">
        <f>IF(F405 &lt;= IFERROR(VLOOKUP(B405, Master_Items!C:H, 6, FALSE), 0), "REORDER", "")</f>
        <v>REORDER</v>
      </c>
    </row>
    <row r="406" ht="15.75" customHeight="1">
      <c r="B406" s="2"/>
      <c r="F406" s="2">
        <f t="shared" si="3"/>
        <v>0</v>
      </c>
      <c r="H406" s="2">
        <f t="shared" si="4"/>
        <v>0</v>
      </c>
      <c r="I406" s="2" t="str">
        <f>IF(F406 &lt;= IFERROR(VLOOKUP(B406, Master_Items!C:H, 6, FALSE), 0), "REORDER", "")</f>
        <v>REORDER</v>
      </c>
    </row>
    <row r="407" ht="15.75" customHeight="1">
      <c r="B407" s="2"/>
      <c r="F407" s="2">
        <f t="shared" si="3"/>
        <v>0</v>
      </c>
      <c r="H407" s="2">
        <f t="shared" si="4"/>
        <v>0</v>
      </c>
      <c r="I407" s="2" t="str">
        <f>IF(F407 &lt;= IFERROR(VLOOKUP(B407, Master_Items!C:H, 6, FALSE), 0), "REORDER", "")</f>
        <v>REORDER</v>
      </c>
    </row>
    <row r="408" ht="15.75" customHeight="1">
      <c r="B408" s="2"/>
      <c r="F408" s="2">
        <f t="shared" si="3"/>
        <v>0</v>
      </c>
      <c r="H408" s="2">
        <f t="shared" si="4"/>
        <v>0</v>
      </c>
      <c r="I408" s="2" t="str">
        <f>IF(F408 &lt;= IFERROR(VLOOKUP(B408, Master_Items!C:H, 6, FALSE), 0), "REORDER", "")</f>
        <v>REORDER</v>
      </c>
    </row>
    <row r="409" ht="15.75" customHeight="1">
      <c r="B409" s="2"/>
      <c r="F409" s="2">
        <f t="shared" si="3"/>
        <v>0</v>
      </c>
      <c r="H409" s="2">
        <f t="shared" si="4"/>
        <v>0</v>
      </c>
      <c r="I409" s="2" t="str">
        <f>IF(F409 &lt;= IFERROR(VLOOKUP(B409, Master_Items!C:H, 6, FALSE), 0), "REORDER", "")</f>
        <v>REORDER</v>
      </c>
    </row>
    <row r="410" ht="15.75" customHeight="1">
      <c r="B410" s="2"/>
      <c r="F410" s="2">
        <f t="shared" si="3"/>
        <v>0</v>
      </c>
      <c r="H410" s="2">
        <f t="shared" si="4"/>
        <v>0</v>
      </c>
      <c r="I410" s="2" t="str">
        <f>IF(F410 &lt;= IFERROR(VLOOKUP(B410, Master_Items!C:H, 6, FALSE), 0), "REORDER", "")</f>
        <v>REORDER</v>
      </c>
    </row>
    <row r="411" ht="15.75" customHeight="1">
      <c r="B411" s="2"/>
      <c r="F411" s="2">
        <f t="shared" si="3"/>
        <v>0</v>
      </c>
      <c r="H411" s="2">
        <f t="shared" si="4"/>
        <v>0</v>
      </c>
      <c r="I411" s="2" t="str">
        <f>IF(F411 &lt;= IFERROR(VLOOKUP(B411, Master_Items!C:H, 6, FALSE), 0), "REORDER", "")</f>
        <v>REORDER</v>
      </c>
    </row>
    <row r="412" ht="15.75" customHeight="1">
      <c r="B412" s="2"/>
      <c r="F412" s="2">
        <f t="shared" si="3"/>
        <v>0</v>
      </c>
      <c r="H412" s="2">
        <f t="shared" si="4"/>
        <v>0</v>
      </c>
      <c r="I412" s="2" t="str">
        <f>IF(F412 &lt;= IFERROR(VLOOKUP(B412, Master_Items!C:H, 6, FALSE), 0), "REORDER", "")</f>
        <v>REORDER</v>
      </c>
    </row>
    <row r="413" ht="15.75" customHeight="1">
      <c r="B413" s="2"/>
      <c r="F413" s="2">
        <f t="shared" si="3"/>
        <v>0</v>
      </c>
      <c r="H413" s="2">
        <f t="shared" si="4"/>
        <v>0</v>
      </c>
      <c r="I413" s="2" t="str">
        <f>IF(F413 &lt;= IFERROR(VLOOKUP(B413, Master_Items!C:H, 6, FALSE), 0), "REORDER", "")</f>
        <v>REORDER</v>
      </c>
    </row>
    <row r="414" ht="15.75" customHeight="1">
      <c r="B414" s="2"/>
      <c r="F414" s="2">
        <f t="shared" si="3"/>
        <v>0</v>
      </c>
      <c r="H414" s="2">
        <f t="shared" si="4"/>
        <v>0</v>
      </c>
      <c r="I414" s="2" t="str">
        <f>IF(F414 &lt;= IFERROR(VLOOKUP(B414, Master_Items!C:H, 6, FALSE), 0), "REORDER", "")</f>
        <v>REORDER</v>
      </c>
    </row>
    <row r="415" ht="15.75" customHeight="1">
      <c r="B415" s="2"/>
      <c r="F415" s="2">
        <f t="shared" si="3"/>
        <v>0</v>
      </c>
      <c r="H415" s="2">
        <f t="shared" si="4"/>
        <v>0</v>
      </c>
      <c r="I415" s="2" t="str">
        <f>IF(F415 &lt;= IFERROR(VLOOKUP(B415, Master_Items!C:H, 6, FALSE), 0), "REORDER", "")</f>
        <v>REORDER</v>
      </c>
    </row>
    <row r="416" ht="15.75" customHeight="1">
      <c r="B416" s="2"/>
      <c r="F416" s="2">
        <f t="shared" si="3"/>
        <v>0</v>
      </c>
      <c r="H416" s="2">
        <f t="shared" si="4"/>
        <v>0</v>
      </c>
      <c r="I416" s="2" t="str">
        <f>IF(F416 &lt;= IFERROR(VLOOKUP(B416, Master_Items!C:H, 6, FALSE), 0), "REORDER", "")</f>
        <v>REORDER</v>
      </c>
    </row>
    <row r="417" ht="15.75" customHeight="1">
      <c r="B417" s="2"/>
      <c r="F417" s="2">
        <f t="shared" si="3"/>
        <v>0</v>
      </c>
      <c r="H417" s="2">
        <f t="shared" si="4"/>
        <v>0</v>
      </c>
      <c r="I417" s="2" t="str">
        <f>IF(F417 &lt;= IFERROR(VLOOKUP(B417, Master_Items!C:H, 6, FALSE), 0), "REORDER", "")</f>
        <v>REORDER</v>
      </c>
    </row>
    <row r="418" ht="15.75" customHeight="1">
      <c r="B418" s="2"/>
      <c r="F418" s="2">
        <f t="shared" si="3"/>
        <v>0</v>
      </c>
      <c r="H418" s="2">
        <f t="shared" si="4"/>
        <v>0</v>
      </c>
      <c r="I418" s="2" t="str">
        <f>IF(F418 &lt;= IFERROR(VLOOKUP(B418, Master_Items!C:H, 6, FALSE), 0), "REORDER", "")</f>
        <v>REORDER</v>
      </c>
    </row>
    <row r="419" ht="15.75" customHeight="1">
      <c r="B419" s="2"/>
      <c r="F419" s="2">
        <f t="shared" si="3"/>
        <v>0</v>
      </c>
      <c r="H419" s="2">
        <f t="shared" si="4"/>
        <v>0</v>
      </c>
      <c r="I419" s="2" t="str">
        <f>IF(F419 &lt;= IFERROR(VLOOKUP(B419, Master_Items!C:H, 6, FALSE), 0), "REORDER", "")</f>
        <v>REORDER</v>
      </c>
    </row>
    <row r="420" ht="15.75" customHeight="1">
      <c r="B420" s="2"/>
      <c r="F420" s="2">
        <f t="shared" si="3"/>
        <v>0</v>
      </c>
      <c r="H420" s="2">
        <f t="shared" si="4"/>
        <v>0</v>
      </c>
      <c r="I420" s="2" t="str">
        <f>IF(F420 &lt;= IFERROR(VLOOKUP(B420, Master_Items!C:H, 6, FALSE), 0), "REORDER", "")</f>
        <v>REORDER</v>
      </c>
    </row>
    <row r="421" ht="15.75" customHeight="1">
      <c r="B421" s="2"/>
      <c r="F421" s="2">
        <f t="shared" si="3"/>
        <v>0</v>
      </c>
      <c r="H421" s="2">
        <f t="shared" si="4"/>
        <v>0</v>
      </c>
      <c r="I421" s="2" t="str">
        <f>IF(F421 &lt;= IFERROR(VLOOKUP(B421, Master_Items!C:H, 6, FALSE), 0), "REORDER", "")</f>
        <v>REORDER</v>
      </c>
    </row>
    <row r="422" ht="15.75" customHeight="1">
      <c r="B422" s="2"/>
      <c r="F422" s="2">
        <f t="shared" si="3"/>
        <v>0</v>
      </c>
      <c r="H422" s="2">
        <f t="shared" si="4"/>
        <v>0</v>
      </c>
      <c r="I422" s="2" t="str">
        <f>IF(F422 &lt;= IFERROR(VLOOKUP(B422, Master_Items!C:H, 6, FALSE), 0), "REORDER", "")</f>
        <v>REORDER</v>
      </c>
    </row>
    <row r="423" ht="15.75" customHeight="1">
      <c r="B423" s="2"/>
      <c r="F423" s="2">
        <f t="shared" si="3"/>
        <v>0</v>
      </c>
      <c r="H423" s="2">
        <f t="shared" si="4"/>
        <v>0</v>
      </c>
      <c r="I423" s="2" t="str">
        <f>IF(F423 &lt;= IFERROR(VLOOKUP(B423, Master_Items!C:H, 6, FALSE), 0), "REORDER", "")</f>
        <v>REORDER</v>
      </c>
    </row>
    <row r="424" ht="15.75" customHeight="1">
      <c r="B424" s="2"/>
      <c r="F424" s="2">
        <f t="shared" si="3"/>
        <v>0</v>
      </c>
      <c r="H424" s="2">
        <f t="shared" si="4"/>
        <v>0</v>
      </c>
      <c r="I424" s="2" t="str">
        <f>IF(F424 &lt;= IFERROR(VLOOKUP(B424, Master_Items!C:H, 6, FALSE), 0), "REORDER", "")</f>
        <v>REORDER</v>
      </c>
    </row>
    <row r="425" ht="15.75" customHeight="1">
      <c r="B425" s="2"/>
      <c r="F425" s="2">
        <f t="shared" si="3"/>
        <v>0</v>
      </c>
      <c r="H425" s="2">
        <f t="shared" si="4"/>
        <v>0</v>
      </c>
      <c r="I425" s="2" t="str">
        <f>IF(F425 &lt;= IFERROR(VLOOKUP(B425, Master_Items!C:H, 6, FALSE), 0), "REORDER", "")</f>
        <v>REORDER</v>
      </c>
    </row>
    <row r="426" ht="15.75" customHeight="1">
      <c r="B426" s="2"/>
      <c r="F426" s="2">
        <f t="shared" si="3"/>
        <v>0</v>
      </c>
      <c r="H426" s="2">
        <f t="shared" si="4"/>
        <v>0</v>
      </c>
      <c r="I426" s="2" t="str">
        <f>IF(F426 &lt;= IFERROR(VLOOKUP(B426, Master_Items!C:H, 6, FALSE), 0), "REORDER", "")</f>
        <v>REORDER</v>
      </c>
    </row>
    <row r="427" ht="15.75" customHeight="1">
      <c r="B427" s="2"/>
      <c r="F427" s="2">
        <f t="shared" si="3"/>
        <v>0</v>
      </c>
      <c r="H427" s="2">
        <f t="shared" si="4"/>
        <v>0</v>
      </c>
      <c r="I427" s="2" t="str">
        <f>IF(F427 &lt;= IFERROR(VLOOKUP(B427, Master_Items!C:H, 6, FALSE), 0), "REORDER", "")</f>
        <v>REORDER</v>
      </c>
    </row>
    <row r="428" ht="15.75" customHeight="1">
      <c r="B428" s="2"/>
      <c r="F428" s="2">
        <f t="shared" si="3"/>
        <v>0</v>
      </c>
      <c r="H428" s="2">
        <f t="shared" si="4"/>
        <v>0</v>
      </c>
      <c r="I428" s="2" t="str">
        <f>IF(F428 &lt;= IFERROR(VLOOKUP(B428, Master_Items!C:H, 6, FALSE), 0), "REORDER", "")</f>
        <v>REORDER</v>
      </c>
    </row>
    <row r="429" ht="15.75" customHeight="1">
      <c r="B429" s="2"/>
      <c r="F429" s="2">
        <f t="shared" si="3"/>
        <v>0</v>
      </c>
      <c r="H429" s="2">
        <f t="shared" si="4"/>
        <v>0</v>
      </c>
      <c r="I429" s="2" t="str">
        <f>IF(F429 &lt;= IFERROR(VLOOKUP(B429, Master_Items!C:H, 6, FALSE), 0), "REORDER", "")</f>
        <v>REORDER</v>
      </c>
    </row>
    <row r="430" ht="15.75" customHeight="1">
      <c r="B430" s="2"/>
      <c r="F430" s="2">
        <f t="shared" si="3"/>
        <v>0</v>
      </c>
      <c r="H430" s="2">
        <f t="shared" si="4"/>
        <v>0</v>
      </c>
      <c r="I430" s="2" t="str">
        <f>IF(F430 &lt;= IFERROR(VLOOKUP(B430, Master_Items!C:H, 6, FALSE), 0), "REORDER", "")</f>
        <v>REORDER</v>
      </c>
    </row>
    <row r="431" ht="15.75" customHeight="1">
      <c r="B431" s="2"/>
      <c r="F431" s="2">
        <f t="shared" si="3"/>
        <v>0</v>
      </c>
      <c r="H431" s="2">
        <f t="shared" si="4"/>
        <v>0</v>
      </c>
      <c r="I431" s="2" t="str">
        <f>IF(F431 &lt;= IFERROR(VLOOKUP(B431, Master_Items!C:H, 6, FALSE), 0), "REORDER", "")</f>
        <v>REORDER</v>
      </c>
    </row>
    <row r="432" ht="15.75" customHeight="1">
      <c r="B432" s="2"/>
      <c r="F432" s="2">
        <f t="shared" si="3"/>
        <v>0</v>
      </c>
      <c r="H432" s="2">
        <f t="shared" si="4"/>
        <v>0</v>
      </c>
      <c r="I432" s="2" t="str">
        <f>IF(F432 &lt;= IFERROR(VLOOKUP(B432, Master_Items!C:H, 6, FALSE), 0), "REORDER", "")</f>
        <v>REORDER</v>
      </c>
    </row>
    <row r="433" ht="15.75" customHeight="1">
      <c r="B433" s="2"/>
      <c r="F433" s="2">
        <f t="shared" si="3"/>
        <v>0</v>
      </c>
      <c r="H433" s="2">
        <f t="shared" si="4"/>
        <v>0</v>
      </c>
      <c r="I433" s="2" t="str">
        <f>IF(F433 &lt;= IFERROR(VLOOKUP(B433, Master_Items!C:H, 6, FALSE), 0), "REORDER", "")</f>
        <v>REORDER</v>
      </c>
    </row>
    <row r="434" ht="15.75" customHeight="1">
      <c r="B434" s="2"/>
      <c r="F434" s="2">
        <f t="shared" si="3"/>
        <v>0</v>
      </c>
      <c r="H434" s="2">
        <f t="shared" si="4"/>
        <v>0</v>
      </c>
      <c r="I434" s="2" t="str">
        <f>IF(F434 &lt;= IFERROR(VLOOKUP(B434, Master_Items!C:H, 6, FALSE), 0), "REORDER", "")</f>
        <v>REORDER</v>
      </c>
    </row>
    <row r="435" ht="15.75" customHeight="1">
      <c r="B435" s="2"/>
      <c r="F435" s="2">
        <f t="shared" si="3"/>
        <v>0</v>
      </c>
      <c r="H435" s="2">
        <f t="shared" si="4"/>
        <v>0</v>
      </c>
      <c r="I435" s="2" t="str">
        <f>IF(F435 &lt;= IFERROR(VLOOKUP(B435, Master_Items!C:H, 6, FALSE), 0), "REORDER", "")</f>
        <v>REORDER</v>
      </c>
    </row>
    <row r="436" ht="15.75" customHeight="1">
      <c r="B436" s="2"/>
      <c r="F436" s="2">
        <f t="shared" si="3"/>
        <v>0</v>
      </c>
      <c r="H436" s="2">
        <f t="shared" si="4"/>
        <v>0</v>
      </c>
      <c r="I436" s="2" t="str">
        <f>IF(F436 &lt;= IFERROR(VLOOKUP(B436, Master_Items!C:H, 6, FALSE), 0), "REORDER", "")</f>
        <v>REORDER</v>
      </c>
    </row>
    <row r="437" ht="15.75" customHeight="1">
      <c r="B437" s="2"/>
      <c r="F437" s="2">
        <f t="shared" si="3"/>
        <v>0</v>
      </c>
      <c r="H437" s="2">
        <f t="shared" si="4"/>
        <v>0</v>
      </c>
      <c r="I437" s="2" t="str">
        <f>IF(F437 &lt;= IFERROR(VLOOKUP(B437, Master_Items!C:H, 6, FALSE), 0), "REORDER", "")</f>
        <v>REORDER</v>
      </c>
    </row>
    <row r="438" ht="15.75" customHeight="1">
      <c r="B438" s="2"/>
      <c r="F438" s="2">
        <f t="shared" si="3"/>
        <v>0</v>
      </c>
      <c r="H438" s="2">
        <f t="shared" si="4"/>
        <v>0</v>
      </c>
      <c r="I438" s="2" t="str">
        <f>IF(F438 &lt;= IFERROR(VLOOKUP(B438, Master_Items!C:H, 6, FALSE), 0), "REORDER", "")</f>
        <v>REORDER</v>
      </c>
    </row>
    <row r="439" ht="15.75" customHeight="1">
      <c r="B439" s="2"/>
      <c r="F439" s="2">
        <f t="shared" si="3"/>
        <v>0</v>
      </c>
      <c r="H439" s="2">
        <f t="shared" si="4"/>
        <v>0</v>
      </c>
      <c r="I439" s="2" t="str">
        <f>IF(F439 &lt;= IFERROR(VLOOKUP(B439, Master_Items!C:H, 6, FALSE), 0), "REORDER", "")</f>
        <v>REORDER</v>
      </c>
    </row>
    <row r="440" ht="15.75" customHeight="1">
      <c r="B440" s="2"/>
      <c r="F440" s="2">
        <f t="shared" si="3"/>
        <v>0</v>
      </c>
      <c r="H440" s="2">
        <f t="shared" si="4"/>
        <v>0</v>
      </c>
      <c r="I440" s="2" t="str">
        <f>IF(F440 &lt;= IFERROR(VLOOKUP(B440, Master_Items!C:H, 6, FALSE), 0), "REORDER", "")</f>
        <v>REORDER</v>
      </c>
    </row>
    <row r="441" ht="15.75" customHeight="1">
      <c r="B441" s="2"/>
      <c r="F441" s="2">
        <f t="shared" si="3"/>
        <v>0</v>
      </c>
      <c r="H441" s="2">
        <f t="shared" si="4"/>
        <v>0</v>
      </c>
      <c r="I441" s="2" t="str">
        <f>IF(F441 &lt;= IFERROR(VLOOKUP(B441, Master_Items!C:H, 6, FALSE), 0), "REORDER", "")</f>
        <v>REORDER</v>
      </c>
    </row>
    <row r="442" ht="15.75" customHeight="1">
      <c r="B442" s="2"/>
      <c r="F442" s="2">
        <f t="shared" si="3"/>
        <v>0</v>
      </c>
      <c r="H442" s="2">
        <f t="shared" si="4"/>
        <v>0</v>
      </c>
      <c r="I442" s="2" t="str">
        <f>IF(F442 &lt;= IFERROR(VLOOKUP(B442, Master_Items!C:H, 6, FALSE), 0), "REORDER", "")</f>
        <v>REORDER</v>
      </c>
    </row>
    <row r="443" ht="15.75" customHeight="1">
      <c r="B443" s="2"/>
      <c r="F443" s="2">
        <f t="shared" si="3"/>
        <v>0</v>
      </c>
      <c r="H443" s="2">
        <f t="shared" si="4"/>
        <v>0</v>
      </c>
      <c r="I443" s="2" t="str">
        <f>IF(F443 &lt;= IFERROR(VLOOKUP(B443, Master_Items!C:H, 6, FALSE), 0), "REORDER", "")</f>
        <v>REORDER</v>
      </c>
    </row>
    <row r="444" ht="15.75" customHeight="1">
      <c r="B444" s="2"/>
      <c r="F444" s="2">
        <f t="shared" si="3"/>
        <v>0</v>
      </c>
      <c r="H444" s="2">
        <f t="shared" si="4"/>
        <v>0</v>
      </c>
      <c r="I444" s="2" t="str">
        <f>IF(F444 &lt;= IFERROR(VLOOKUP(B444, Master_Items!C:H, 6, FALSE), 0), "REORDER", "")</f>
        <v>REORDER</v>
      </c>
    </row>
    <row r="445" ht="15.75" customHeight="1">
      <c r="B445" s="2"/>
      <c r="F445" s="2">
        <f t="shared" si="3"/>
        <v>0</v>
      </c>
      <c r="H445" s="2">
        <f t="shared" si="4"/>
        <v>0</v>
      </c>
      <c r="I445" s="2" t="str">
        <f>IF(F445 &lt;= IFERROR(VLOOKUP(B445, Master_Items!C:H, 6, FALSE), 0), "REORDER", "")</f>
        <v>REORDER</v>
      </c>
    </row>
    <row r="446" ht="15.75" customHeight="1">
      <c r="B446" s="2"/>
      <c r="F446" s="2">
        <f t="shared" si="3"/>
        <v>0</v>
      </c>
      <c r="H446" s="2">
        <f t="shared" si="4"/>
        <v>0</v>
      </c>
      <c r="I446" s="2" t="str">
        <f>IF(F446 &lt;= IFERROR(VLOOKUP(B446, Master_Items!C:H, 6, FALSE), 0), "REORDER", "")</f>
        <v>REORDER</v>
      </c>
    </row>
    <row r="447" ht="15.75" customHeight="1">
      <c r="B447" s="2"/>
      <c r="F447" s="2">
        <f t="shared" si="3"/>
        <v>0</v>
      </c>
      <c r="H447" s="2">
        <f t="shared" si="4"/>
        <v>0</v>
      </c>
      <c r="I447" s="2" t="str">
        <f>IF(F447 &lt;= IFERROR(VLOOKUP(B447, Master_Items!C:H, 6, FALSE), 0), "REORDER", "")</f>
        <v>REORDER</v>
      </c>
    </row>
    <row r="448" ht="15.75" customHeight="1">
      <c r="B448" s="2"/>
      <c r="F448" s="2">
        <f t="shared" si="3"/>
        <v>0</v>
      </c>
      <c r="H448" s="2">
        <f t="shared" si="4"/>
        <v>0</v>
      </c>
      <c r="I448" s="2" t="str">
        <f>IF(F448 &lt;= IFERROR(VLOOKUP(B448, Master_Items!C:H, 6, FALSE), 0), "REORDER", "")</f>
        <v>REORDER</v>
      </c>
    </row>
    <row r="449" ht="15.75" customHeight="1">
      <c r="B449" s="2"/>
      <c r="F449" s="2">
        <f t="shared" si="3"/>
        <v>0</v>
      </c>
      <c r="H449" s="2">
        <f t="shared" si="4"/>
        <v>0</v>
      </c>
      <c r="I449" s="2" t="str">
        <f>IF(F449 &lt;= IFERROR(VLOOKUP(B449, Master_Items!C:H, 6, FALSE), 0), "REORDER", "")</f>
        <v>REORDER</v>
      </c>
    </row>
    <row r="450" ht="15.75" customHeight="1">
      <c r="B450" s="2"/>
      <c r="F450" s="2">
        <f t="shared" si="3"/>
        <v>0</v>
      </c>
      <c r="H450" s="2">
        <f t="shared" si="4"/>
        <v>0</v>
      </c>
      <c r="I450" s="2" t="str">
        <f>IF(F450 &lt;= IFERROR(VLOOKUP(B450, Master_Items!C:H, 6, FALSE), 0), "REORDER", "")</f>
        <v>REORDER</v>
      </c>
    </row>
    <row r="451" ht="15.75" customHeight="1">
      <c r="B451" s="2"/>
      <c r="F451" s="2">
        <f t="shared" si="3"/>
        <v>0</v>
      </c>
      <c r="H451" s="2">
        <f t="shared" si="4"/>
        <v>0</v>
      </c>
      <c r="I451" s="2" t="str">
        <f>IF(F451 &lt;= IFERROR(VLOOKUP(B451, Master_Items!C:H, 6, FALSE), 0), "REORDER", "")</f>
        <v>REORDER</v>
      </c>
    </row>
    <row r="452" ht="15.75" customHeight="1">
      <c r="B452" s="2"/>
      <c r="F452" s="2">
        <f t="shared" si="3"/>
        <v>0</v>
      </c>
      <c r="H452" s="2">
        <f t="shared" si="4"/>
        <v>0</v>
      </c>
      <c r="I452" s="2" t="str">
        <f>IF(F452 &lt;= IFERROR(VLOOKUP(B452, Master_Items!C:H, 6, FALSE), 0), "REORDER", "")</f>
        <v>REORDER</v>
      </c>
    </row>
    <row r="453" ht="15.75" customHeight="1">
      <c r="B453" s="2"/>
      <c r="F453" s="2">
        <f t="shared" si="3"/>
        <v>0</v>
      </c>
      <c r="H453" s="2">
        <f t="shared" si="4"/>
        <v>0</v>
      </c>
      <c r="I453" s="2" t="str">
        <f>IF(F453 &lt;= IFERROR(VLOOKUP(B453, Master_Items!C:H, 6, FALSE), 0), "REORDER", "")</f>
        <v>REORDER</v>
      </c>
    </row>
    <row r="454" ht="15.75" customHeight="1">
      <c r="B454" s="2"/>
      <c r="F454" s="2">
        <f t="shared" si="3"/>
        <v>0</v>
      </c>
      <c r="H454" s="2">
        <f t="shared" si="4"/>
        <v>0</v>
      </c>
      <c r="I454" s="2" t="str">
        <f>IF(F454 &lt;= IFERROR(VLOOKUP(B454, Master_Items!C:H, 6, FALSE), 0), "REORDER", "")</f>
        <v>REORDER</v>
      </c>
    </row>
    <row r="455" ht="15.75" customHeight="1">
      <c r="B455" s="2"/>
      <c r="F455" s="2">
        <f t="shared" si="3"/>
        <v>0</v>
      </c>
      <c r="H455" s="2">
        <f t="shared" si="4"/>
        <v>0</v>
      </c>
      <c r="I455" s="2" t="str">
        <f>IF(F455 &lt;= IFERROR(VLOOKUP(B455, Master_Items!C:H, 6, FALSE), 0), "REORDER", "")</f>
        <v>REORDER</v>
      </c>
    </row>
    <row r="456" ht="15.75" customHeight="1">
      <c r="B456" s="2"/>
      <c r="F456" s="2">
        <f t="shared" si="3"/>
        <v>0</v>
      </c>
      <c r="H456" s="2">
        <f t="shared" si="4"/>
        <v>0</v>
      </c>
      <c r="I456" s="2" t="str">
        <f>IF(F456 &lt;= IFERROR(VLOOKUP(B456, Master_Items!C:H, 6, FALSE), 0), "REORDER", "")</f>
        <v>REORDER</v>
      </c>
    </row>
    <row r="457" ht="15.75" customHeight="1">
      <c r="B457" s="2"/>
      <c r="F457" s="2">
        <f t="shared" si="3"/>
        <v>0</v>
      </c>
      <c r="H457" s="2">
        <f t="shared" si="4"/>
        <v>0</v>
      </c>
      <c r="I457" s="2" t="str">
        <f>IF(F457 &lt;= IFERROR(VLOOKUP(B457, Master_Items!C:H, 6, FALSE), 0), "REORDER", "")</f>
        <v>REORDER</v>
      </c>
    </row>
    <row r="458" ht="15.75" customHeight="1">
      <c r="B458" s="2"/>
      <c r="F458" s="2">
        <f t="shared" si="3"/>
        <v>0</v>
      </c>
      <c r="H458" s="2">
        <f t="shared" si="4"/>
        <v>0</v>
      </c>
      <c r="I458" s="2" t="str">
        <f>IF(F458 &lt;= IFERROR(VLOOKUP(B458, Master_Items!C:H, 6, FALSE), 0), "REORDER", "")</f>
        <v>REORDER</v>
      </c>
    </row>
    <row r="459" ht="15.75" customHeight="1">
      <c r="B459" s="2"/>
      <c r="F459" s="2">
        <f t="shared" si="3"/>
        <v>0</v>
      </c>
      <c r="H459" s="2">
        <f t="shared" si="4"/>
        <v>0</v>
      </c>
      <c r="I459" s="2" t="str">
        <f>IF(F459 &lt;= IFERROR(VLOOKUP(B459, Master_Items!C:H, 6, FALSE), 0), "REORDER", "")</f>
        <v>REORDER</v>
      </c>
    </row>
    <row r="460" ht="15.75" customHeight="1">
      <c r="B460" s="2"/>
      <c r="F460" s="2">
        <f t="shared" si="3"/>
        <v>0</v>
      </c>
      <c r="H460" s="2">
        <f t="shared" si="4"/>
        <v>0</v>
      </c>
      <c r="I460" s="2" t="str">
        <f>IF(F460 &lt;= IFERROR(VLOOKUP(B460, Master_Items!C:H, 6, FALSE), 0), "REORDER", "")</f>
        <v>REORDER</v>
      </c>
    </row>
    <row r="461" ht="15.75" customHeight="1">
      <c r="B461" s="2"/>
      <c r="F461" s="2">
        <f t="shared" si="3"/>
        <v>0</v>
      </c>
      <c r="H461" s="2">
        <f t="shared" si="4"/>
        <v>0</v>
      </c>
      <c r="I461" s="2" t="str">
        <f>IF(F461 &lt;= IFERROR(VLOOKUP(B461, Master_Items!C:H, 6, FALSE), 0), "REORDER", "")</f>
        <v>REORDER</v>
      </c>
    </row>
    <row r="462" ht="15.75" customHeight="1">
      <c r="B462" s="2"/>
      <c r="F462" s="2">
        <f t="shared" si="3"/>
        <v>0</v>
      </c>
      <c r="H462" s="2">
        <f t="shared" si="4"/>
        <v>0</v>
      </c>
      <c r="I462" s="2" t="str">
        <f>IF(F462 &lt;= IFERROR(VLOOKUP(B462, Master_Items!C:H, 6, FALSE), 0), "REORDER", "")</f>
        <v>REORDER</v>
      </c>
    </row>
    <row r="463" ht="15.75" customHeight="1">
      <c r="B463" s="2"/>
      <c r="F463" s="2">
        <f t="shared" si="3"/>
        <v>0</v>
      </c>
      <c r="H463" s="2">
        <f t="shared" si="4"/>
        <v>0</v>
      </c>
      <c r="I463" s="2" t="str">
        <f>IF(F463 &lt;= IFERROR(VLOOKUP(B463, Master_Items!C:H, 6, FALSE), 0), "REORDER", "")</f>
        <v>REORDER</v>
      </c>
    </row>
    <row r="464" ht="15.75" customHeight="1">
      <c r="B464" s="2"/>
      <c r="F464" s="2">
        <f t="shared" si="3"/>
        <v>0</v>
      </c>
      <c r="H464" s="2">
        <f t="shared" si="4"/>
        <v>0</v>
      </c>
      <c r="I464" s="2" t="str">
        <f>IF(F464 &lt;= IFERROR(VLOOKUP(B464, Master_Items!C:H, 6, FALSE), 0), "REORDER", "")</f>
        <v>REORDER</v>
      </c>
    </row>
    <row r="465" ht="15.75" customHeight="1">
      <c r="B465" s="2"/>
      <c r="F465" s="2">
        <f t="shared" si="3"/>
        <v>0</v>
      </c>
      <c r="H465" s="2">
        <f t="shared" si="4"/>
        <v>0</v>
      </c>
      <c r="I465" s="2" t="str">
        <f>IF(F465 &lt;= IFERROR(VLOOKUP(B465, Master_Items!C:H, 6, FALSE), 0), "REORDER", "")</f>
        <v>REORDER</v>
      </c>
    </row>
    <row r="466" ht="15.75" customHeight="1">
      <c r="B466" s="2"/>
      <c r="F466" s="2">
        <f t="shared" si="3"/>
        <v>0</v>
      </c>
      <c r="H466" s="2">
        <f t="shared" si="4"/>
        <v>0</v>
      </c>
      <c r="I466" s="2" t="str">
        <f>IF(F466 &lt;= IFERROR(VLOOKUP(B466, Master_Items!C:H, 6, FALSE), 0), "REORDER", "")</f>
        <v>REORDER</v>
      </c>
    </row>
    <row r="467" ht="15.75" customHeight="1">
      <c r="B467" s="2"/>
      <c r="F467" s="2">
        <f t="shared" si="3"/>
        <v>0</v>
      </c>
      <c r="H467" s="2">
        <f t="shared" si="4"/>
        <v>0</v>
      </c>
      <c r="I467" s="2" t="str">
        <f>IF(F467 &lt;= IFERROR(VLOOKUP(B467, Master_Items!C:H, 6, FALSE), 0), "REORDER", "")</f>
        <v>REORDER</v>
      </c>
    </row>
    <row r="468" ht="15.75" customHeight="1">
      <c r="B468" s="2"/>
      <c r="F468" s="2">
        <f t="shared" si="3"/>
        <v>0</v>
      </c>
      <c r="H468" s="2">
        <f t="shared" si="4"/>
        <v>0</v>
      </c>
      <c r="I468" s="2" t="str">
        <f>IF(F468 &lt;= IFERROR(VLOOKUP(B468, Master_Items!C:H, 6, FALSE), 0), "REORDER", "")</f>
        <v>REORDER</v>
      </c>
    </row>
    <row r="469" ht="15.75" customHeight="1">
      <c r="B469" s="2"/>
      <c r="F469" s="2">
        <f t="shared" si="3"/>
        <v>0</v>
      </c>
      <c r="H469" s="2">
        <f t="shared" si="4"/>
        <v>0</v>
      </c>
      <c r="I469" s="2" t="str">
        <f>IF(F469 &lt;= IFERROR(VLOOKUP(B469, Master_Items!C:H, 6, FALSE), 0), "REORDER", "")</f>
        <v>REORDER</v>
      </c>
    </row>
    <row r="470" ht="15.75" customHeight="1">
      <c r="B470" s="2"/>
      <c r="F470" s="2">
        <f t="shared" si="3"/>
        <v>0</v>
      </c>
      <c r="H470" s="2">
        <f t="shared" si="4"/>
        <v>0</v>
      </c>
      <c r="I470" s="2" t="str">
        <f>IF(F470 &lt;= IFERROR(VLOOKUP(B470, Master_Items!C:H, 6, FALSE), 0), "REORDER", "")</f>
        <v>REORDER</v>
      </c>
    </row>
    <row r="471" ht="15.75" customHeight="1">
      <c r="B471" s="2"/>
      <c r="F471" s="2">
        <f t="shared" si="3"/>
        <v>0</v>
      </c>
      <c r="H471" s="2">
        <f t="shared" si="4"/>
        <v>0</v>
      </c>
      <c r="I471" s="2" t="str">
        <f>IF(F471 &lt;= IFERROR(VLOOKUP(B471, Master_Items!C:H, 6, FALSE), 0), "REORDER", "")</f>
        <v>REORDER</v>
      </c>
    </row>
    <row r="472" ht="15.75" customHeight="1">
      <c r="B472" s="2"/>
      <c r="F472" s="2">
        <f t="shared" si="3"/>
        <v>0</v>
      </c>
      <c r="H472" s="2">
        <f t="shared" si="4"/>
        <v>0</v>
      </c>
      <c r="I472" s="2" t="str">
        <f>IF(F472 &lt;= IFERROR(VLOOKUP(B472, Master_Items!C:H, 6, FALSE), 0), "REORDER", "")</f>
        <v>REORDER</v>
      </c>
    </row>
    <row r="473" ht="15.75" customHeight="1">
      <c r="B473" s="2"/>
      <c r="F473" s="2">
        <f t="shared" si="3"/>
        <v>0</v>
      </c>
      <c r="H473" s="2">
        <f t="shared" si="4"/>
        <v>0</v>
      </c>
      <c r="I473" s="2" t="str">
        <f>IF(F473 &lt;= IFERROR(VLOOKUP(B473, Master_Items!C:H, 6, FALSE), 0), "REORDER", "")</f>
        <v>REORDER</v>
      </c>
    </row>
    <row r="474" ht="15.75" customHeight="1">
      <c r="B474" s="2"/>
      <c r="F474" s="2">
        <f t="shared" si="3"/>
        <v>0</v>
      </c>
      <c r="H474" s="2">
        <f t="shared" si="4"/>
        <v>0</v>
      </c>
      <c r="I474" s="2" t="str">
        <f>IF(F474 &lt;= IFERROR(VLOOKUP(B474, Master_Items!C:H, 6, FALSE), 0), "REORDER", "")</f>
        <v>REORDER</v>
      </c>
    </row>
    <row r="475" ht="15.75" customHeight="1">
      <c r="B475" s="2"/>
      <c r="F475" s="2">
        <f t="shared" si="3"/>
        <v>0</v>
      </c>
      <c r="H475" s="2">
        <f t="shared" si="4"/>
        <v>0</v>
      </c>
      <c r="I475" s="2" t="str">
        <f>IF(F475 &lt;= IFERROR(VLOOKUP(B475, Master_Items!C:H, 6, FALSE), 0), "REORDER", "")</f>
        <v>REORDER</v>
      </c>
    </row>
    <row r="476" ht="15.75" customHeight="1">
      <c r="B476" s="2"/>
      <c r="F476" s="2">
        <f t="shared" si="3"/>
        <v>0</v>
      </c>
      <c r="H476" s="2">
        <f t="shared" si="4"/>
        <v>0</v>
      </c>
      <c r="I476" s="2" t="str">
        <f>IF(F476 &lt;= IFERROR(VLOOKUP(B476, Master_Items!C:H, 6, FALSE), 0), "REORDER", "")</f>
        <v>REORDER</v>
      </c>
    </row>
    <row r="477" ht="15.75" customHeight="1">
      <c r="B477" s="2"/>
      <c r="F477" s="2">
        <f t="shared" si="3"/>
        <v>0</v>
      </c>
      <c r="H477" s="2">
        <f t="shared" si="4"/>
        <v>0</v>
      </c>
      <c r="I477" s="2" t="str">
        <f>IF(F477 &lt;= IFERROR(VLOOKUP(B477, Master_Items!C:H, 6, FALSE), 0), "REORDER", "")</f>
        <v>REORDER</v>
      </c>
    </row>
    <row r="478" ht="15.75" customHeight="1">
      <c r="B478" s="2"/>
      <c r="F478" s="2">
        <f t="shared" si="3"/>
        <v>0</v>
      </c>
      <c r="H478" s="2">
        <f t="shared" si="4"/>
        <v>0</v>
      </c>
      <c r="I478" s="2" t="str">
        <f>IF(F478 &lt;= IFERROR(VLOOKUP(B478, Master_Items!C:H, 6, FALSE), 0), "REORDER", "")</f>
        <v>REORDER</v>
      </c>
    </row>
    <row r="479" ht="15.75" customHeight="1">
      <c r="B479" s="2"/>
      <c r="F479" s="2">
        <f t="shared" si="3"/>
        <v>0</v>
      </c>
      <c r="H479" s="2">
        <f t="shared" si="4"/>
        <v>0</v>
      </c>
      <c r="I479" s="2" t="str">
        <f>IF(F479 &lt;= IFERROR(VLOOKUP(B479, Master_Items!C:H, 6, FALSE), 0), "REORDER", "")</f>
        <v>REORDER</v>
      </c>
    </row>
    <row r="480" ht="15.75" customHeight="1">
      <c r="B480" s="2"/>
      <c r="F480" s="2">
        <f t="shared" si="3"/>
        <v>0</v>
      </c>
      <c r="H480" s="2">
        <f t="shared" si="4"/>
        <v>0</v>
      </c>
      <c r="I480" s="2" t="str">
        <f>IF(F480 &lt;= IFERROR(VLOOKUP(B480, Master_Items!C:H, 6, FALSE), 0), "REORDER", "")</f>
        <v>REORDER</v>
      </c>
    </row>
    <row r="481" ht="15.75" customHeight="1">
      <c r="B481" s="2"/>
      <c r="F481" s="2">
        <f t="shared" si="3"/>
        <v>0</v>
      </c>
      <c r="H481" s="2">
        <f t="shared" si="4"/>
        <v>0</v>
      </c>
      <c r="I481" s="2" t="str">
        <f>IF(F481 &lt;= IFERROR(VLOOKUP(B481, Master_Items!C:H, 6, FALSE), 0), "REORDER", "")</f>
        <v>REORDER</v>
      </c>
    </row>
    <row r="482" ht="15.75" customHeight="1">
      <c r="B482" s="2"/>
      <c r="F482" s="2">
        <f t="shared" si="3"/>
        <v>0</v>
      </c>
      <c r="H482" s="2">
        <f t="shared" si="4"/>
        <v>0</v>
      </c>
      <c r="I482" s="2" t="str">
        <f>IF(F482 &lt;= IFERROR(VLOOKUP(B482, Master_Items!C:H, 6, FALSE), 0), "REORDER", "")</f>
        <v>REORDER</v>
      </c>
    </row>
    <row r="483" ht="15.75" customHeight="1">
      <c r="B483" s="2"/>
      <c r="F483" s="2">
        <f t="shared" si="3"/>
        <v>0</v>
      </c>
      <c r="H483" s="2">
        <f t="shared" si="4"/>
        <v>0</v>
      </c>
      <c r="I483" s="2" t="str">
        <f>IF(F483 &lt;= IFERROR(VLOOKUP(B483, Master_Items!C:H, 6, FALSE), 0), "REORDER", "")</f>
        <v>REORDER</v>
      </c>
    </row>
    <row r="484" ht="15.75" customHeight="1">
      <c r="B484" s="2"/>
      <c r="F484" s="2">
        <f t="shared" si="3"/>
        <v>0</v>
      </c>
      <c r="H484" s="2">
        <f t="shared" si="4"/>
        <v>0</v>
      </c>
      <c r="I484" s="2" t="str">
        <f>IF(F484 &lt;= IFERROR(VLOOKUP(B484, Master_Items!C:H, 6, FALSE), 0), "REORDER", "")</f>
        <v>REORDER</v>
      </c>
    </row>
    <row r="485" ht="15.75" customHeight="1">
      <c r="B485" s="2"/>
      <c r="F485" s="2">
        <f t="shared" si="3"/>
        <v>0</v>
      </c>
      <c r="H485" s="2">
        <f t="shared" si="4"/>
        <v>0</v>
      </c>
      <c r="I485" s="2" t="str">
        <f>IF(F485 &lt;= IFERROR(VLOOKUP(B485, Master_Items!C:H, 6, FALSE), 0), "REORDER", "")</f>
        <v>REORDER</v>
      </c>
    </row>
    <row r="486" ht="15.75" customHeight="1">
      <c r="B486" s="2"/>
      <c r="F486" s="2">
        <f t="shared" si="3"/>
        <v>0</v>
      </c>
      <c r="H486" s="2">
        <f t="shared" si="4"/>
        <v>0</v>
      </c>
      <c r="I486" s="2" t="str">
        <f>IF(F486 &lt;= IFERROR(VLOOKUP(B486, Master_Items!C:H, 6, FALSE), 0), "REORDER", "")</f>
        <v>REORDER</v>
      </c>
    </row>
    <row r="487" ht="15.75" customHeight="1">
      <c r="B487" s="2"/>
      <c r="F487" s="2">
        <f t="shared" si="3"/>
        <v>0</v>
      </c>
      <c r="H487" s="2">
        <f t="shared" si="4"/>
        <v>0</v>
      </c>
      <c r="I487" s="2" t="str">
        <f>IF(F487 &lt;= IFERROR(VLOOKUP(B487, Master_Items!C:H, 6, FALSE), 0), "REORDER", "")</f>
        <v>REORDER</v>
      </c>
    </row>
    <row r="488" ht="15.75" customHeight="1">
      <c r="B488" s="2"/>
      <c r="F488" s="2">
        <f t="shared" si="3"/>
        <v>0</v>
      </c>
      <c r="H488" s="2">
        <f t="shared" si="4"/>
        <v>0</v>
      </c>
      <c r="I488" s="2" t="str">
        <f>IF(F488 &lt;= IFERROR(VLOOKUP(B488, Master_Items!C:H, 6, FALSE), 0), "REORDER", "")</f>
        <v>REORDER</v>
      </c>
    </row>
    <row r="489" ht="15.75" customHeight="1">
      <c r="B489" s="2"/>
      <c r="F489" s="2">
        <f t="shared" si="3"/>
        <v>0</v>
      </c>
      <c r="H489" s="2">
        <f t="shared" si="4"/>
        <v>0</v>
      </c>
      <c r="I489" s="2" t="str">
        <f>IF(F489 &lt;= IFERROR(VLOOKUP(B489, Master_Items!C:H, 6, FALSE), 0), "REORDER", "")</f>
        <v>REORDER</v>
      </c>
    </row>
    <row r="490" ht="15.75" customHeight="1">
      <c r="B490" s="2"/>
      <c r="F490" s="2">
        <f t="shared" si="3"/>
        <v>0</v>
      </c>
      <c r="H490" s="2">
        <f t="shared" si="4"/>
        <v>0</v>
      </c>
      <c r="I490" s="2" t="str">
        <f>IF(F490 &lt;= IFERROR(VLOOKUP(B490, Master_Items!C:H, 6, FALSE), 0), "REORDER", "")</f>
        <v>REORDER</v>
      </c>
    </row>
    <row r="491" ht="15.75" customHeight="1">
      <c r="B491" s="2"/>
      <c r="F491" s="2">
        <f t="shared" si="3"/>
        <v>0</v>
      </c>
      <c r="H491" s="2">
        <f t="shared" si="4"/>
        <v>0</v>
      </c>
      <c r="I491" s="2" t="str">
        <f>IF(F491 &lt;= IFERROR(VLOOKUP(B491, Master_Items!C:H, 6, FALSE), 0), "REORDER", "")</f>
        <v>REORDER</v>
      </c>
    </row>
    <row r="492" ht="15.75" customHeight="1">
      <c r="B492" s="2"/>
      <c r="F492" s="2">
        <f t="shared" si="3"/>
        <v>0</v>
      </c>
      <c r="H492" s="2">
        <f t="shared" si="4"/>
        <v>0</v>
      </c>
      <c r="I492" s="2" t="str">
        <f>IF(F492 &lt;= IFERROR(VLOOKUP(B492, Master_Items!C:H, 6, FALSE), 0), "REORDER", "")</f>
        <v>REORDER</v>
      </c>
    </row>
    <row r="493" ht="15.75" customHeight="1">
      <c r="B493" s="2"/>
      <c r="F493" s="2">
        <f t="shared" si="3"/>
        <v>0</v>
      </c>
      <c r="H493" s="2">
        <f t="shared" si="4"/>
        <v>0</v>
      </c>
      <c r="I493" s="2" t="str">
        <f>IF(F493 &lt;= IFERROR(VLOOKUP(B493, Master_Items!C:H, 6, FALSE), 0), "REORDER", "")</f>
        <v>REORDER</v>
      </c>
    </row>
    <row r="494" ht="15.75" customHeight="1">
      <c r="B494" s="2"/>
      <c r="F494" s="2">
        <f t="shared" si="3"/>
        <v>0</v>
      </c>
      <c r="H494" s="2">
        <f t="shared" si="4"/>
        <v>0</v>
      </c>
      <c r="I494" s="2" t="str">
        <f>IF(F494 &lt;= IFERROR(VLOOKUP(B494, Master_Items!C:H, 6, FALSE), 0), "REORDER", "")</f>
        <v>REORDER</v>
      </c>
    </row>
    <row r="495" ht="15.75" customHeight="1">
      <c r="B495" s="2"/>
      <c r="F495" s="2">
        <f t="shared" si="3"/>
        <v>0</v>
      </c>
      <c r="H495" s="2">
        <f t="shared" si="4"/>
        <v>0</v>
      </c>
      <c r="I495" s="2" t="str">
        <f>IF(F495 &lt;= IFERROR(VLOOKUP(B495, Master_Items!C:H, 6, FALSE), 0), "REORDER", "")</f>
        <v>REORDER</v>
      </c>
    </row>
    <row r="496" ht="15.75" customHeight="1">
      <c r="B496" s="2"/>
      <c r="F496" s="2">
        <f t="shared" si="3"/>
        <v>0</v>
      </c>
      <c r="H496" s="2">
        <f t="shared" si="4"/>
        <v>0</v>
      </c>
      <c r="I496" s="2" t="str">
        <f>IF(F496 &lt;= IFERROR(VLOOKUP(B496, Master_Items!C:H, 6, FALSE), 0), "REORDER", "")</f>
        <v>REORDER</v>
      </c>
    </row>
    <row r="497" ht="15.75" customHeight="1">
      <c r="B497" s="2"/>
      <c r="F497" s="2">
        <f t="shared" si="3"/>
        <v>0</v>
      </c>
      <c r="H497" s="2">
        <f t="shared" si="4"/>
        <v>0</v>
      </c>
      <c r="I497" s="2" t="str">
        <f>IF(F497 &lt;= IFERROR(VLOOKUP(B497, Master_Items!C:H, 6, FALSE), 0), "REORDER", "")</f>
        <v>REORDER</v>
      </c>
    </row>
    <row r="498" ht="15.75" customHeight="1">
      <c r="B498" s="2"/>
      <c r="F498" s="2">
        <f t="shared" si="3"/>
        <v>0</v>
      </c>
      <c r="H498" s="2">
        <f t="shared" si="4"/>
        <v>0</v>
      </c>
      <c r="I498" s="2" t="str">
        <f>IF(F498 &lt;= IFERROR(VLOOKUP(B498, Master_Items!C:H, 6, FALSE), 0), "REORDER", "")</f>
        <v>REORDER</v>
      </c>
    </row>
    <row r="499" ht="15.75" customHeight="1">
      <c r="B499" s="2"/>
      <c r="F499" s="2">
        <f t="shared" si="3"/>
        <v>0</v>
      </c>
      <c r="H499" s="2">
        <f t="shared" si="4"/>
        <v>0</v>
      </c>
      <c r="I499" s="2" t="str">
        <f>IF(F499 &lt;= IFERROR(VLOOKUP(B499, Master_Items!C:H, 6, FALSE), 0), "REORDER", "")</f>
        <v>REORDER</v>
      </c>
    </row>
    <row r="500" ht="15.75" customHeight="1">
      <c r="B500" s="2"/>
      <c r="F500" s="2">
        <f t="shared" si="3"/>
        <v>0</v>
      </c>
      <c r="H500" s="2">
        <f t="shared" si="4"/>
        <v>0</v>
      </c>
      <c r="I500" s="2" t="str">
        <f>IF(F500 &lt;= IFERROR(VLOOKUP(B500, Master_Items!C:H, 6, FALSE), 0), "REORDER", "")</f>
        <v>REORDER</v>
      </c>
    </row>
    <row r="501" ht="15.75" customHeight="1">
      <c r="B501" s="2"/>
      <c r="F501" s="2">
        <f t="shared" si="3"/>
        <v>0</v>
      </c>
      <c r="H501" s="2">
        <f t="shared" si="4"/>
        <v>0</v>
      </c>
      <c r="I501" s="2" t="str">
        <f>IF(F501 &lt;= IFERROR(VLOOKUP(B501, Master_Items!C:H, 6, FALSE), 0), "REORDER", "")</f>
        <v>REORDER</v>
      </c>
    </row>
    <row r="502" ht="15.75" customHeight="1">
      <c r="B502" s="2"/>
      <c r="F502" s="2">
        <f t="shared" si="3"/>
        <v>0</v>
      </c>
      <c r="H502" s="2">
        <f t="shared" si="4"/>
        <v>0</v>
      </c>
      <c r="I502" s="2" t="str">
        <f>IF(F502 &lt;= IFERROR(VLOOKUP(B502, Master_Items!C:H, 6, FALSE), 0), "REORDER", "")</f>
        <v>REORDER</v>
      </c>
    </row>
    <row r="503" ht="15.75" customHeight="1">
      <c r="B503" s="2"/>
      <c r="F503" s="2">
        <f t="shared" si="3"/>
        <v>0</v>
      </c>
      <c r="H503" s="2">
        <f t="shared" si="4"/>
        <v>0</v>
      </c>
      <c r="I503" s="2" t="str">
        <f>IF(F503 &lt;= IFERROR(VLOOKUP(B503, Master_Items!C:H, 6, FALSE), 0), "REORDER", "")</f>
        <v>REORDER</v>
      </c>
    </row>
    <row r="504" ht="15.75" customHeight="1">
      <c r="B504" s="2"/>
      <c r="F504" s="2">
        <f t="shared" si="3"/>
        <v>0</v>
      </c>
      <c r="H504" s="2">
        <f t="shared" si="4"/>
        <v>0</v>
      </c>
      <c r="I504" s="2" t="str">
        <f>IF(F504 &lt;= IFERROR(VLOOKUP(B504, Master_Items!C:H, 6, FALSE), 0), "REORDER", "")</f>
        <v>REORDER</v>
      </c>
    </row>
    <row r="505" ht="15.75" customHeight="1">
      <c r="B505" s="2"/>
      <c r="F505" s="2">
        <f t="shared" si="3"/>
        <v>0</v>
      </c>
      <c r="H505" s="2">
        <f t="shared" si="4"/>
        <v>0</v>
      </c>
      <c r="I505" s="2" t="str">
        <f>IF(F505 &lt;= IFERROR(VLOOKUP(B505, Master_Items!C:H, 6, FALSE), 0), "REORDER", "")</f>
        <v>REORDER</v>
      </c>
    </row>
    <row r="506" ht="15.75" customHeight="1">
      <c r="B506" s="2"/>
      <c r="F506" s="2">
        <f t="shared" si="3"/>
        <v>0</v>
      </c>
      <c r="H506" s="2">
        <f t="shared" si="4"/>
        <v>0</v>
      </c>
      <c r="I506" s="2" t="str">
        <f>IF(F506 &lt;= IFERROR(VLOOKUP(B506, Master_Items!C:H, 6, FALSE), 0), "REORDER", "")</f>
        <v>REORDER</v>
      </c>
    </row>
    <row r="507" ht="15.75" customHeight="1">
      <c r="B507" s="2"/>
      <c r="F507" s="2">
        <f t="shared" si="3"/>
        <v>0</v>
      </c>
      <c r="H507" s="2">
        <f t="shared" si="4"/>
        <v>0</v>
      </c>
      <c r="I507" s="2" t="str">
        <f>IF(F507 &lt;= IFERROR(VLOOKUP(B507, Master_Items!C:H, 6, FALSE), 0), "REORDER", "")</f>
        <v>REORDER</v>
      </c>
    </row>
    <row r="508" ht="15.75" customHeight="1">
      <c r="B508" s="2"/>
      <c r="F508" s="2">
        <f t="shared" si="3"/>
        <v>0</v>
      </c>
      <c r="H508" s="2">
        <f t="shared" si="4"/>
        <v>0</v>
      </c>
      <c r="I508" s="2" t="str">
        <f>IF(F508 &lt;= IFERROR(VLOOKUP(B508, Master_Items!C:H, 6, FALSE), 0), "REORDER", "")</f>
        <v>REORDER</v>
      </c>
    </row>
    <row r="509" ht="15.75" customHeight="1">
      <c r="B509" s="2"/>
      <c r="F509" s="2">
        <f t="shared" si="3"/>
        <v>0</v>
      </c>
      <c r="H509" s="2">
        <f t="shared" si="4"/>
        <v>0</v>
      </c>
      <c r="I509" s="2" t="str">
        <f>IF(F509 &lt;= IFERROR(VLOOKUP(B509, Master_Items!C:H, 6, FALSE), 0), "REORDER", "")</f>
        <v>REORDER</v>
      </c>
    </row>
    <row r="510" ht="15.75" customHeight="1">
      <c r="B510" s="2"/>
      <c r="F510" s="2">
        <f t="shared" si="3"/>
        <v>0</v>
      </c>
      <c r="H510" s="2">
        <f t="shared" si="4"/>
        <v>0</v>
      </c>
      <c r="I510" s="2" t="str">
        <f>IF(F510 &lt;= IFERROR(VLOOKUP(B510, Master_Items!C:H, 6, FALSE), 0), "REORDER", "")</f>
        <v>REORDER</v>
      </c>
    </row>
    <row r="511" ht="15.75" customHeight="1">
      <c r="B511" s="2"/>
      <c r="F511" s="2">
        <f t="shared" si="3"/>
        <v>0</v>
      </c>
      <c r="H511" s="2">
        <f t="shared" si="4"/>
        <v>0</v>
      </c>
      <c r="I511" s="2" t="str">
        <f>IF(F511 &lt;= IFERROR(VLOOKUP(B511, Master_Items!C:H, 6, FALSE), 0), "REORDER", "")</f>
        <v>REORDER</v>
      </c>
    </row>
    <row r="512" ht="15.75" customHeight="1">
      <c r="B512" s="2"/>
      <c r="F512" s="2">
        <f t="shared" si="3"/>
        <v>0</v>
      </c>
      <c r="H512" s="2">
        <f t="shared" si="4"/>
        <v>0</v>
      </c>
      <c r="I512" s="2" t="str">
        <f>IF(F512 &lt;= IFERROR(VLOOKUP(B512, Master_Items!C:H, 6, FALSE), 0), "REORDER", "")</f>
        <v>REORDER</v>
      </c>
    </row>
    <row r="513" ht="15.75" customHeight="1">
      <c r="B513" s="2"/>
      <c r="F513" s="2">
        <f t="shared" si="3"/>
        <v>0</v>
      </c>
      <c r="H513" s="2">
        <f t="shared" si="4"/>
        <v>0</v>
      </c>
      <c r="I513" s="2" t="str">
        <f>IF(F513 &lt;= IFERROR(VLOOKUP(B513, Master_Items!C:H, 6, FALSE), 0), "REORDER", "")</f>
        <v>REORDER</v>
      </c>
    </row>
    <row r="514" ht="15.75" customHeight="1">
      <c r="B514" s="2"/>
      <c r="F514" s="2">
        <f t="shared" si="3"/>
        <v>0</v>
      </c>
      <c r="H514" s="2">
        <f t="shared" si="4"/>
        <v>0</v>
      </c>
      <c r="I514" s="2" t="str">
        <f>IF(F514 &lt;= IFERROR(VLOOKUP(B514, Master_Items!C:H, 6, FALSE), 0), "REORDER", "")</f>
        <v>REORDER</v>
      </c>
    </row>
    <row r="515" ht="15.75" customHeight="1">
      <c r="B515" s="2"/>
      <c r="F515" s="2">
        <f t="shared" si="3"/>
        <v>0</v>
      </c>
      <c r="H515" s="2">
        <f t="shared" si="4"/>
        <v>0</v>
      </c>
      <c r="I515" s="2" t="str">
        <f>IF(F515 &lt;= IFERROR(VLOOKUP(B515, Master_Items!C:H, 6, FALSE), 0), "REORDER", "")</f>
        <v>REORDER</v>
      </c>
    </row>
    <row r="516" ht="15.75" customHeight="1">
      <c r="B516" s="2"/>
      <c r="F516" s="2">
        <f t="shared" si="3"/>
        <v>0</v>
      </c>
      <c r="H516" s="2">
        <f t="shared" si="4"/>
        <v>0</v>
      </c>
      <c r="I516" s="2" t="str">
        <f>IF(F516 &lt;= IFERROR(VLOOKUP(B516, Master_Items!C:H, 6, FALSE), 0), "REORDER", "")</f>
        <v>REORDER</v>
      </c>
    </row>
    <row r="517" ht="15.75" customHeight="1">
      <c r="B517" s="2"/>
      <c r="F517" s="2">
        <f t="shared" si="3"/>
        <v>0</v>
      </c>
      <c r="H517" s="2">
        <f t="shared" si="4"/>
        <v>0</v>
      </c>
      <c r="I517" s="2" t="str">
        <f>IF(F517 &lt;= IFERROR(VLOOKUP(B517, Master_Items!C:H, 6, FALSE), 0), "REORDER", "")</f>
        <v>REORDER</v>
      </c>
    </row>
    <row r="518" ht="15.75" customHeight="1">
      <c r="B518" s="2"/>
      <c r="F518" s="2">
        <f t="shared" si="3"/>
        <v>0</v>
      </c>
      <c r="H518" s="2">
        <f t="shared" si="4"/>
        <v>0</v>
      </c>
      <c r="I518" s="2" t="str">
        <f>IF(F518 &lt;= IFERROR(VLOOKUP(B518, Master_Items!C:H, 6, FALSE), 0), "REORDER", "")</f>
        <v>REORDER</v>
      </c>
    </row>
    <row r="519" ht="15.75" customHeight="1">
      <c r="B519" s="2"/>
      <c r="F519" s="2">
        <f t="shared" si="3"/>
        <v>0</v>
      </c>
      <c r="H519" s="2">
        <f t="shared" si="4"/>
        <v>0</v>
      </c>
      <c r="I519" s="2" t="str">
        <f>IF(F519 &lt;= IFERROR(VLOOKUP(B519, Master_Items!C:H, 6, FALSE), 0), "REORDER", "")</f>
        <v>REORDER</v>
      </c>
    </row>
    <row r="520" ht="15.75" customHeight="1">
      <c r="B520" s="2"/>
      <c r="F520" s="2">
        <f t="shared" si="3"/>
        <v>0</v>
      </c>
      <c r="H520" s="2">
        <f t="shared" si="4"/>
        <v>0</v>
      </c>
      <c r="I520" s="2" t="str">
        <f>IF(F520 &lt;= IFERROR(VLOOKUP(B520, Master_Items!C:H, 6, FALSE), 0), "REORDER", "")</f>
        <v>REORDER</v>
      </c>
    </row>
    <row r="521" ht="15.75" customHeight="1">
      <c r="B521" s="2"/>
      <c r="F521" s="2">
        <f t="shared" si="3"/>
        <v>0</v>
      </c>
      <c r="H521" s="2">
        <f t="shared" si="4"/>
        <v>0</v>
      </c>
      <c r="I521" s="2" t="str">
        <f>IF(F521 &lt;= IFERROR(VLOOKUP(B521, Master_Items!C:H, 6, FALSE), 0), "REORDER", "")</f>
        <v>REORDER</v>
      </c>
    </row>
    <row r="522" ht="15.75" customHeight="1">
      <c r="B522" s="2"/>
      <c r="F522" s="2">
        <f t="shared" si="3"/>
        <v>0</v>
      </c>
      <c r="H522" s="2">
        <f t="shared" si="4"/>
        <v>0</v>
      </c>
      <c r="I522" s="2" t="str">
        <f>IF(F522 &lt;= IFERROR(VLOOKUP(B522, Master_Items!C:H, 6, FALSE), 0), "REORDER", "")</f>
        <v>REORDER</v>
      </c>
    </row>
    <row r="523" ht="15.75" customHeight="1">
      <c r="B523" s="2"/>
      <c r="F523" s="2">
        <f t="shared" si="3"/>
        <v>0</v>
      </c>
      <c r="H523" s="2">
        <f t="shared" si="4"/>
        <v>0</v>
      </c>
      <c r="I523" s="2" t="str">
        <f>IF(F523 &lt;= IFERROR(VLOOKUP(B523, Master_Items!C:H, 6, FALSE), 0), "REORDER", "")</f>
        <v>REORDER</v>
      </c>
    </row>
    <row r="524" ht="15.75" customHeight="1">
      <c r="B524" s="2"/>
      <c r="F524" s="2">
        <f t="shared" si="3"/>
        <v>0</v>
      </c>
      <c r="H524" s="2">
        <f t="shared" si="4"/>
        <v>0</v>
      </c>
      <c r="I524" s="2" t="str">
        <f>IF(F524 &lt;= IFERROR(VLOOKUP(B524, Master_Items!C:H, 6, FALSE), 0), "REORDER", "")</f>
        <v>REORDER</v>
      </c>
    </row>
    <row r="525" ht="15.75" customHeight="1">
      <c r="B525" s="2"/>
      <c r="F525" s="2">
        <f t="shared" si="3"/>
        <v>0</v>
      </c>
      <c r="H525" s="2">
        <f t="shared" si="4"/>
        <v>0</v>
      </c>
      <c r="I525" s="2" t="str">
        <f>IF(F525 &lt;= IFERROR(VLOOKUP(B525, Master_Items!C:H, 6, FALSE), 0), "REORDER", "")</f>
        <v>REORDER</v>
      </c>
    </row>
    <row r="526" ht="15.75" customHeight="1">
      <c r="B526" s="2"/>
      <c r="F526" s="2">
        <f t="shared" si="3"/>
        <v>0</v>
      </c>
      <c r="H526" s="2">
        <f t="shared" si="4"/>
        <v>0</v>
      </c>
      <c r="I526" s="2" t="str">
        <f>IF(F526 &lt;= IFERROR(VLOOKUP(B526, Master_Items!C:H, 6, FALSE), 0), "REORDER", "")</f>
        <v>REORDER</v>
      </c>
    </row>
    <row r="527" ht="15.75" customHeight="1">
      <c r="B527" s="2"/>
      <c r="F527" s="2">
        <f t="shared" si="3"/>
        <v>0</v>
      </c>
      <c r="H527" s="2">
        <f t="shared" si="4"/>
        <v>0</v>
      </c>
      <c r="I527" s="2" t="str">
        <f>IF(F527 &lt;= IFERROR(VLOOKUP(B527, Master_Items!C:H, 6, FALSE), 0), "REORDER", "")</f>
        <v>REORDER</v>
      </c>
    </row>
    <row r="528" ht="15.75" customHeight="1">
      <c r="B528" s="2"/>
      <c r="F528" s="2">
        <f t="shared" si="3"/>
        <v>0</v>
      </c>
      <c r="H528" s="2">
        <f t="shared" si="4"/>
        <v>0</v>
      </c>
      <c r="I528" s="2" t="str">
        <f>IF(F528 &lt;= IFERROR(VLOOKUP(B528, Master_Items!C:H, 6, FALSE), 0), "REORDER", "")</f>
        <v>REORDER</v>
      </c>
    </row>
    <row r="529" ht="15.75" customHeight="1">
      <c r="B529" s="2"/>
      <c r="F529" s="2">
        <f t="shared" si="3"/>
        <v>0</v>
      </c>
      <c r="H529" s="2">
        <f t="shared" si="4"/>
        <v>0</v>
      </c>
      <c r="I529" s="2" t="str">
        <f>IF(F529 &lt;= IFERROR(VLOOKUP(B529, Master_Items!C:H, 6, FALSE), 0), "REORDER", "")</f>
        <v>REORDER</v>
      </c>
    </row>
    <row r="530" ht="15.75" customHeight="1">
      <c r="B530" s="2"/>
      <c r="F530" s="2">
        <f t="shared" si="3"/>
        <v>0</v>
      </c>
      <c r="H530" s="2">
        <f t="shared" si="4"/>
        <v>0</v>
      </c>
      <c r="I530" s="2" t="str">
        <f>IF(F530 &lt;= IFERROR(VLOOKUP(B530, Master_Items!C:H, 6, FALSE), 0), "REORDER", "")</f>
        <v>REORDER</v>
      </c>
    </row>
    <row r="531" ht="15.75" customHeight="1">
      <c r="B531" s="2"/>
      <c r="F531" s="2">
        <f t="shared" si="3"/>
        <v>0</v>
      </c>
      <c r="H531" s="2">
        <f t="shared" si="4"/>
        <v>0</v>
      </c>
      <c r="I531" s="2" t="str">
        <f>IF(F531 &lt;= IFERROR(VLOOKUP(B531, Master_Items!C:H, 6, FALSE), 0), "REORDER", "")</f>
        <v>REORDER</v>
      </c>
    </row>
    <row r="532" ht="15.75" customHeight="1">
      <c r="B532" s="2"/>
      <c r="F532" s="2">
        <f t="shared" si="3"/>
        <v>0</v>
      </c>
      <c r="H532" s="2">
        <f t="shared" si="4"/>
        <v>0</v>
      </c>
      <c r="I532" s="2" t="str">
        <f>IF(F532 &lt;= IFERROR(VLOOKUP(B532, Master_Items!C:H, 6, FALSE), 0), "REORDER", "")</f>
        <v>REORDER</v>
      </c>
    </row>
    <row r="533" ht="15.75" customHeight="1">
      <c r="B533" s="2"/>
      <c r="F533" s="2">
        <f t="shared" si="3"/>
        <v>0</v>
      </c>
      <c r="H533" s="2">
        <f t="shared" si="4"/>
        <v>0</v>
      </c>
      <c r="I533" s="2" t="str">
        <f>IF(F533 &lt;= IFERROR(VLOOKUP(B533, Master_Items!C:H, 6, FALSE), 0), "REORDER", "")</f>
        <v>REORDER</v>
      </c>
    </row>
    <row r="534" ht="15.75" customHeight="1">
      <c r="B534" s="2"/>
      <c r="F534" s="2">
        <f t="shared" si="3"/>
        <v>0</v>
      </c>
      <c r="H534" s="2">
        <f t="shared" si="4"/>
        <v>0</v>
      </c>
      <c r="I534" s="2" t="str">
        <f>IF(F534 &lt;= IFERROR(VLOOKUP(B534, Master_Items!C:H, 6, FALSE), 0), "REORDER", "")</f>
        <v>REORDER</v>
      </c>
    </row>
    <row r="535" ht="15.75" customHeight="1">
      <c r="B535" s="2"/>
      <c r="F535" s="2">
        <f t="shared" si="3"/>
        <v>0</v>
      </c>
      <c r="H535" s="2">
        <f t="shared" si="4"/>
        <v>0</v>
      </c>
      <c r="I535" s="2" t="str">
        <f>IF(F535 &lt;= IFERROR(VLOOKUP(B535, Master_Items!C:H, 6, FALSE), 0), "REORDER", "")</f>
        <v>REORDER</v>
      </c>
    </row>
    <row r="536" ht="15.75" customHeight="1">
      <c r="B536" s="2"/>
      <c r="F536" s="2">
        <f t="shared" si="3"/>
        <v>0</v>
      </c>
      <c r="H536" s="2">
        <f t="shared" si="4"/>
        <v>0</v>
      </c>
      <c r="I536" s="2" t="str">
        <f>IF(F536 &lt;= IFERROR(VLOOKUP(B536, Master_Items!C:H, 6, FALSE), 0), "REORDER", "")</f>
        <v>REORDER</v>
      </c>
    </row>
    <row r="537" ht="15.75" customHeight="1">
      <c r="B537" s="2"/>
      <c r="F537" s="2">
        <f t="shared" si="3"/>
        <v>0</v>
      </c>
      <c r="H537" s="2">
        <f t="shared" si="4"/>
        <v>0</v>
      </c>
      <c r="I537" s="2" t="str">
        <f>IF(F537 &lt;= IFERROR(VLOOKUP(B537, Master_Items!C:H, 6, FALSE), 0), "REORDER", "")</f>
        <v>REORDER</v>
      </c>
    </row>
    <row r="538" ht="15.75" customHeight="1">
      <c r="B538" s="2"/>
      <c r="F538" s="2">
        <f t="shared" si="3"/>
        <v>0</v>
      </c>
      <c r="H538" s="2">
        <f t="shared" si="4"/>
        <v>0</v>
      </c>
      <c r="I538" s="2" t="str">
        <f>IF(F538 &lt;= IFERROR(VLOOKUP(B538, Master_Items!C:H, 6, FALSE), 0), "REORDER", "")</f>
        <v>REORDER</v>
      </c>
    </row>
    <row r="539" ht="15.75" customHeight="1">
      <c r="B539" s="2"/>
      <c r="F539" s="2">
        <f t="shared" si="3"/>
        <v>0</v>
      </c>
      <c r="H539" s="2">
        <f t="shared" si="4"/>
        <v>0</v>
      </c>
      <c r="I539" s="2" t="str">
        <f>IF(F539 &lt;= IFERROR(VLOOKUP(B539, Master_Items!C:H, 6, FALSE), 0), "REORDER", "")</f>
        <v>REORDER</v>
      </c>
    </row>
    <row r="540" ht="15.75" customHeight="1">
      <c r="B540" s="2"/>
      <c r="F540" s="2">
        <f t="shared" si="3"/>
        <v>0</v>
      </c>
      <c r="H540" s="2">
        <f t="shared" si="4"/>
        <v>0</v>
      </c>
      <c r="I540" s="2" t="str">
        <f>IF(F540 &lt;= IFERROR(VLOOKUP(B540, Master_Items!C:H, 6, FALSE), 0), "REORDER", "")</f>
        <v>REORDER</v>
      </c>
    </row>
    <row r="541" ht="15.75" customHeight="1">
      <c r="B541" s="2"/>
      <c r="F541" s="2">
        <f t="shared" si="3"/>
        <v>0</v>
      </c>
      <c r="H541" s="2">
        <f t="shared" si="4"/>
        <v>0</v>
      </c>
      <c r="I541" s="2" t="str">
        <f>IF(F541 &lt;= IFERROR(VLOOKUP(B541, Master_Items!C:H, 6, FALSE), 0), "REORDER", "")</f>
        <v>REORDER</v>
      </c>
    </row>
    <row r="542" ht="15.75" customHeight="1">
      <c r="B542" s="2"/>
      <c r="F542" s="2">
        <f t="shared" si="3"/>
        <v>0</v>
      </c>
      <c r="H542" s="2">
        <f t="shared" si="4"/>
        <v>0</v>
      </c>
      <c r="I542" s="2" t="str">
        <f>IF(F542 &lt;= IFERROR(VLOOKUP(B542, Master_Items!C:H, 6, FALSE), 0), "REORDER", "")</f>
        <v>REORDER</v>
      </c>
    </row>
    <row r="543" ht="15.75" customHeight="1">
      <c r="B543" s="2"/>
      <c r="F543" s="2">
        <f t="shared" si="3"/>
        <v>0</v>
      </c>
      <c r="H543" s="2">
        <f t="shared" si="4"/>
        <v>0</v>
      </c>
      <c r="I543" s="2" t="str">
        <f>IF(F543 &lt;= IFERROR(VLOOKUP(B543, Master_Items!C:H, 6, FALSE), 0), "REORDER", "")</f>
        <v>REORDER</v>
      </c>
    </row>
    <row r="544" ht="15.75" customHeight="1">
      <c r="B544" s="2"/>
      <c r="F544" s="2">
        <f t="shared" si="3"/>
        <v>0</v>
      </c>
      <c r="H544" s="2">
        <f t="shared" si="4"/>
        <v>0</v>
      </c>
      <c r="I544" s="2" t="str">
        <f>IF(F544 &lt;= IFERROR(VLOOKUP(B544, Master_Items!C:H, 6, FALSE), 0), "REORDER", "")</f>
        <v>REORDER</v>
      </c>
    </row>
    <row r="545" ht="15.75" customHeight="1">
      <c r="B545" s="2"/>
      <c r="F545" s="2">
        <f t="shared" si="3"/>
        <v>0</v>
      </c>
      <c r="H545" s="2">
        <f t="shared" si="4"/>
        <v>0</v>
      </c>
      <c r="I545" s="2" t="str">
        <f>IF(F545 &lt;= IFERROR(VLOOKUP(B545, Master_Items!C:H, 6, FALSE), 0), "REORDER", "")</f>
        <v>REORDER</v>
      </c>
    </row>
    <row r="546" ht="15.75" customHeight="1">
      <c r="B546" s="2"/>
      <c r="F546" s="2">
        <f t="shared" si="3"/>
        <v>0</v>
      </c>
      <c r="H546" s="2">
        <f t="shared" si="4"/>
        <v>0</v>
      </c>
      <c r="I546" s="2" t="str">
        <f>IF(F546 &lt;= IFERROR(VLOOKUP(B546, Master_Items!C:H, 6, FALSE), 0), "REORDER", "")</f>
        <v>REORDER</v>
      </c>
    </row>
    <row r="547" ht="15.75" customHeight="1">
      <c r="B547" s="2"/>
      <c r="F547" s="2">
        <f t="shared" si="3"/>
        <v>0</v>
      </c>
      <c r="H547" s="2">
        <f t="shared" si="4"/>
        <v>0</v>
      </c>
      <c r="I547" s="2" t="str">
        <f>IF(F547 &lt;= IFERROR(VLOOKUP(B547, Master_Items!C:H, 6, FALSE), 0), "REORDER", "")</f>
        <v>REORDER</v>
      </c>
    </row>
    <row r="548" ht="15.75" customHeight="1">
      <c r="B548" s="2"/>
      <c r="F548" s="2">
        <f t="shared" si="3"/>
        <v>0</v>
      </c>
      <c r="H548" s="2">
        <f t="shared" si="4"/>
        <v>0</v>
      </c>
      <c r="I548" s="2" t="str">
        <f>IF(F548 &lt;= IFERROR(VLOOKUP(B548, Master_Items!C:H, 6, FALSE), 0), "REORDER", "")</f>
        <v>REORDER</v>
      </c>
    </row>
    <row r="549" ht="15.75" customHeight="1">
      <c r="B549" s="2"/>
      <c r="F549" s="2">
        <f t="shared" si="3"/>
        <v>0</v>
      </c>
      <c r="H549" s="2">
        <f t="shared" si="4"/>
        <v>0</v>
      </c>
      <c r="I549" s="2" t="str">
        <f>IF(F549 &lt;= IFERROR(VLOOKUP(B549, Master_Items!C:H, 6, FALSE), 0), "REORDER", "")</f>
        <v>REORDER</v>
      </c>
    </row>
    <row r="550" ht="15.75" customHeight="1">
      <c r="B550" s="2"/>
      <c r="F550" s="2">
        <f t="shared" si="3"/>
        <v>0</v>
      </c>
      <c r="H550" s="2">
        <f t="shared" si="4"/>
        <v>0</v>
      </c>
      <c r="I550" s="2" t="str">
        <f>IF(F550 &lt;= IFERROR(VLOOKUP(B550, Master_Items!C:H, 6, FALSE), 0), "REORDER", "")</f>
        <v>REORDER</v>
      </c>
    </row>
    <row r="551" ht="15.75" customHeight="1">
      <c r="B551" s="2"/>
      <c r="F551" s="2">
        <f t="shared" si="3"/>
        <v>0</v>
      </c>
      <c r="H551" s="2">
        <f t="shared" si="4"/>
        <v>0</v>
      </c>
      <c r="I551" s="2" t="str">
        <f>IF(F551 &lt;= IFERROR(VLOOKUP(B551, Master_Items!C:H, 6, FALSE), 0), "REORDER", "")</f>
        <v>REORDER</v>
      </c>
    </row>
    <row r="552" ht="15.75" customHeight="1">
      <c r="B552" s="2"/>
      <c r="F552" s="2">
        <f t="shared" si="3"/>
        <v>0</v>
      </c>
      <c r="H552" s="2">
        <f t="shared" si="4"/>
        <v>0</v>
      </c>
      <c r="I552" s="2" t="str">
        <f>IF(F552 &lt;= IFERROR(VLOOKUP(B552, Master_Items!C:H, 6, FALSE), 0), "REORDER", "")</f>
        <v>REORDER</v>
      </c>
    </row>
    <row r="553" ht="15.75" customHeight="1">
      <c r="B553" s="2"/>
      <c r="F553" s="2">
        <f t="shared" si="3"/>
        <v>0</v>
      </c>
      <c r="H553" s="2">
        <f t="shared" si="4"/>
        <v>0</v>
      </c>
      <c r="I553" s="2" t="str">
        <f>IF(F553 &lt;= IFERROR(VLOOKUP(B553, Master_Items!C:H, 6, FALSE), 0), "REORDER", "")</f>
        <v>REORDER</v>
      </c>
    </row>
    <row r="554" ht="15.75" customHeight="1">
      <c r="B554" s="2"/>
      <c r="F554" s="2">
        <f t="shared" si="3"/>
        <v>0</v>
      </c>
      <c r="H554" s="2">
        <f t="shared" si="4"/>
        <v>0</v>
      </c>
      <c r="I554" s="2" t="str">
        <f>IF(F554 &lt;= IFERROR(VLOOKUP(B554, Master_Items!C:H, 6, FALSE), 0), "REORDER", "")</f>
        <v>REORDER</v>
      </c>
    </row>
    <row r="555" ht="15.75" customHeight="1">
      <c r="B555" s="2"/>
      <c r="F555" s="2">
        <f t="shared" si="3"/>
        <v>0</v>
      </c>
      <c r="H555" s="2">
        <f t="shared" si="4"/>
        <v>0</v>
      </c>
      <c r="I555" s="2" t="str">
        <f>IF(F555 &lt;= IFERROR(VLOOKUP(B555, Master_Items!C:H, 6, FALSE), 0), "REORDER", "")</f>
        <v>REORDER</v>
      </c>
    </row>
    <row r="556" ht="15.75" customHeight="1">
      <c r="B556" s="2"/>
      <c r="F556" s="2">
        <f t="shared" si="3"/>
        <v>0</v>
      </c>
      <c r="H556" s="2">
        <f t="shared" si="4"/>
        <v>0</v>
      </c>
      <c r="I556" s="2" t="str">
        <f>IF(F556 &lt;= IFERROR(VLOOKUP(B556, Master_Items!C:H, 6, FALSE), 0), "REORDER", "")</f>
        <v>REORDER</v>
      </c>
    </row>
    <row r="557" ht="15.75" customHeight="1">
      <c r="B557" s="2"/>
      <c r="F557" s="2">
        <f t="shared" si="3"/>
        <v>0</v>
      </c>
      <c r="H557" s="2">
        <f t="shared" si="4"/>
        <v>0</v>
      </c>
      <c r="I557" s="2" t="str">
        <f>IF(F557 &lt;= IFERROR(VLOOKUP(B557, Master_Items!C:H, 6, FALSE), 0), "REORDER", "")</f>
        <v>REORDER</v>
      </c>
    </row>
    <row r="558" ht="15.75" customHeight="1">
      <c r="B558" s="2"/>
      <c r="F558" s="2">
        <f t="shared" si="3"/>
        <v>0</v>
      </c>
      <c r="H558" s="2">
        <f t="shared" si="4"/>
        <v>0</v>
      </c>
      <c r="I558" s="2" t="str">
        <f>IF(F558 &lt;= IFERROR(VLOOKUP(B558, Master_Items!C:H, 6, FALSE), 0), "REORDER", "")</f>
        <v>REORDER</v>
      </c>
    </row>
    <row r="559" ht="15.75" customHeight="1">
      <c r="B559" s="2"/>
      <c r="F559" s="2">
        <f t="shared" si="3"/>
        <v>0</v>
      </c>
      <c r="H559" s="2">
        <f t="shared" si="4"/>
        <v>0</v>
      </c>
      <c r="I559" s="2" t="str">
        <f>IF(F559 &lt;= IFERROR(VLOOKUP(B559, Master_Items!C:H, 6, FALSE), 0), "REORDER", "")</f>
        <v>REORDER</v>
      </c>
    </row>
    <row r="560" ht="15.75" customHeight="1">
      <c r="B560" s="2"/>
      <c r="F560" s="2">
        <f t="shared" si="3"/>
        <v>0</v>
      </c>
      <c r="H560" s="2">
        <f t="shared" si="4"/>
        <v>0</v>
      </c>
      <c r="I560" s="2" t="str">
        <f>IF(F560 &lt;= IFERROR(VLOOKUP(B560, Master_Items!C:H, 6, FALSE), 0), "REORDER", "")</f>
        <v>REORDER</v>
      </c>
    </row>
    <row r="561" ht="15.75" customHeight="1">
      <c r="B561" s="2"/>
      <c r="F561" s="2">
        <f t="shared" si="3"/>
        <v>0</v>
      </c>
      <c r="H561" s="2">
        <f t="shared" si="4"/>
        <v>0</v>
      </c>
      <c r="I561" s="2" t="str">
        <f>IF(F561 &lt;= IFERROR(VLOOKUP(B561, Master_Items!C:H, 6, FALSE), 0), "REORDER", "")</f>
        <v>REORDER</v>
      </c>
    </row>
    <row r="562" ht="15.75" customHeight="1">
      <c r="B562" s="2"/>
      <c r="F562" s="2">
        <f t="shared" si="3"/>
        <v>0</v>
      </c>
      <c r="H562" s="2">
        <f t="shared" si="4"/>
        <v>0</v>
      </c>
      <c r="I562" s="2" t="str">
        <f>IF(F562 &lt;= IFERROR(VLOOKUP(B562, Master_Items!C:H, 6, FALSE), 0), "REORDER", "")</f>
        <v>REORDER</v>
      </c>
    </row>
    <row r="563" ht="15.75" customHeight="1">
      <c r="B563" s="2"/>
      <c r="F563" s="2">
        <f t="shared" si="3"/>
        <v>0</v>
      </c>
      <c r="H563" s="2">
        <f t="shared" si="4"/>
        <v>0</v>
      </c>
      <c r="I563" s="2" t="str">
        <f>IF(F563 &lt;= IFERROR(VLOOKUP(B563, Master_Items!C:H, 6, FALSE), 0), "REORDER", "")</f>
        <v>REORDER</v>
      </c>
    </row>
    <row r="564" ht="15.75" customHeight="1">
      <c r="B564" s="2"/>
      <c r="F564" s="2">
        <f t="shared" si="3"/>
        <v>0</v>
      </c>
      <c r="H564" s="2">
        <f t="shared" si="4"/>
        <v>0</v>
      </c>
      <c r="I564" s="2" t="str">
        <f>IF(F564 &lt;= IFERROR(VLOOKUP(B564, Master_Items!C:H, 6, FALSE), 0), "REORDER", "")</f>
        <v>REORDER</v>
      </c>
    </row>
    <row r="565" ht="15.75" customHeight="1">
      <c r="B565" s="2"/>
      <c r="F565" s="2">
        <f t="shared" si="3"/>
        <v>0</v>
      </c>
      <c r="H565" s="2">
        <f t="shared" si="4"/>
        <v>0</v>
      </c>
      <c r="I565" s="2" t="str">
        <f>IF(F565 &lt;= IFERROR(VLOOKUP(B565, Master_Items!C:H, 6, FALSE), 0), "REORDER", "")</f>
        <v>REORDER</v>
      </c>
    </row>
    <row r="566" ht="15.75" customHeight="1">
      <c r="B566" s="2"/>
      <c r="F566" s="2">
        <f t="shared" si="3"/>
        <v>0</v>
      </c>
      <c r="H566" s="2">
        <f t="shared" si="4"/>
        <v>0</v>
      </c>
      <c r="I566" s="2" t="str">
        <f>IF(F566 &lt;= IFERROR(VLOOKUP(B566, Master_Items!C:H, 6, FALSE), 0), "REORDER", "")</f>
        <v>REORDER</v>
      </c>
    </row>
    <row r="567" ht="15.75" customHeight="1">
      <c r="B567" s="2"/>
      <c r="F567" s="2">
        <f t="shared" si="3"/>
        <v>0</v>
      </c>
      <c r="H567" s="2">
        <f t="shared" si="4"/>
        <v>0</v>
      </c>
      <c r="I567" s="2" t="str">
        <f>IF(F567 &lt;= IFERROR(VLOOKUP(B567, Master_Items!C:H, 6, FALSE), 0), "REORDER", "")</f>
        <v>REORDER</v>
      </c>
    </row>
    <row r="568" ht="15.75" customHeight="1">
      <c r="B568" s="2"/>
      <c r="F568" s="2">
        <f t="shared" si="3"/>
        <v>0</v>
      </c>
      <c r="H568" s="2">
        <f t="shared" si="4"/>
        <v>0</v>
      </c>
      <c r="I568" s="2" t="str">
        <f>IF(F568 &lt;= IFERROR(VLOOKUP(B568, Master_Items!C:H, 6, FALSE), 0), "REORDER", "")</f>
        <v>REORDER</v>
      </c>
    </row>
    <row r="569" ht="15.75" customHeight="1">
      <c r="B569" s="2"/>
      <c r="F569" s="2">
        <f t="shared" si="3"/>
        <v>0</v>
      </c>
      <c r="H569" s="2">
        <f t="shared" si="4"/>
        <v>0</v>
      </c>
      <c r="I569" s="2" t="str">
        <f>IF(F569 &lt;= IFERROR(VLOOKUP(B569, Master_Items!C:H, 6, FALSE), 0), "REORDER", "")</f>
        <v>REORDER</v>
      </c>
    </row>
    <row r="570" ht="15.75" customHeight="1">
      <c r="B570" s="2"/>
      <c r="F570" s="2">
        <f t="shared" si="3"/>
        <v>0</v>
      </c>
      <c r="H570" s="2">
        <f t="shared" si="4"/>
        <v>0</v>
      </c>
      <c r="I570" s="2" t="str">
        <f>IF(F570 &lt;= IFERROR(VLOOKUP(B570, Master_Items!C:H, 6, FALSE), 0), "REORDER", "")</f>
        <v>REORDER</v>
      </c>
    </row>
    <row r="571" ht="15.75" customHeight="1">
      <c r="B571" s="2"/>
      <c r="F571" s="2">
        <f t="shared" si="3"/>
        <v>0</v>
      </c>
      <c r="H571" s="2">
        <f t="shared" si="4"/>
        <v>0</v>
      </c>
      <c r="I571" s="2" t="str">
        <f>IF(F571 &lt;= IFERROR(VLOOKUP(B571, Master_Items!C:H, 6, FALSE), 0), "REORDER", "")</f>
        <v>REORDER</v>
      </c>
    </row>
    <row r="572" ht="15.75" customHeight="1">
      <c r="B572" s="2"/>
      <c r="F572" s="2">
        <f t="shared" si="3"/>
        <v>0</v>
      </c>
      <c r="H572" s="2">
        <f t="shared" si="4"/>
        <v>0</v>
      </c>
      <c r="I572" s="2" t="str">
        <f>IF(F572 &lt;= IFERROR(VLOOKUP(B572, Master_Items!C:H, 6, FALSE), 0), "REORDER", "")</f>
        <v>REORDER</v>
      </c>
    </row>
    <row r="573" ht="15.75" customHeight="1">
      <c r="B573" s="2"/>
      <c r="F573" s="2">
        <f t="shared" si="3"/>
        <v>0</v>
      </c>
      <c r="H573" s="2">
        <f t="shared" si="4"/>
        <v>0</v>
      </c>
      <c r="I573" s="2" t="str">
        <f>IF(F573 &lt;= IFERROR(VLOOKUP(B573, Master_Items!C:H, 6, FALSE), 0), "REORDER", "")</f>
        <v>REORDER</v>
      </c>
    </row>
    <row r="574" ht="15.75" customHeight="1">
      <c r="B574" s="2"/>
      <c r="F574" s="2">
        <f t="shared" si="3"/>
        <v>0</v>
      </c>
      <c r="H574" s="2">
        <f t="shared" si="4"/>
        <v>0</v>
      </c>
      <c r="I574" s="2" t="str">
        <f>IF(F574 &lt;= IFERROR(VLOOKUP(B574, Master_Items!C:H, 6, FALSE), 0), "REORDER", "")</f>
        <v>REORDER</v>
      </c>
    </row>
    <row r="575" ht="15.75" customHeight="1">
      <c r="B575" s="2"/>
      <c r="F575" s="2">
        <f t="shared" si="3"/>
        <v>0</v>
      </c>
      <c r="H575" s="2">
        <f t="shared" si="4"/>
        <v>0</v>
      </c>
      <c r="I575" s="2" t="str">
        <f>IF(F575 &lt;= IFERROR(VLOOKUP(B575, Master_Items!C:H, 6, FALSE), 0), "REORDER", "")</f>
        <v>REORDER</v>
      </c>
    </row>
    <row r="576" ht="15.75" customHeight="1">
      <c r="B576" s="2"/>
      <c r="F576" s="2">
        <f t="shared" si="3"/>
        <v>0</v>
      </c>
      <c r="H576" s="2">
        <f t="shared" si="4"/>
        <v>0</v>
      </c>
      <c r="I576" s="2" t="str">
        <f>IF(F576 &lt;= IFERROR(VLOOKUP(B576, Master_Items!C:H, 6, FALSE), 0), "REORDER", "")</f>
        <v>REORDER</v>
      </c>
    </row>
    <row r="577" ht="15.75" customHeight="1">
      <c r="B577" s="2"/>
      <c r="F577" s="2">
        <f t="shared" si="3"/>
        <v>0</v>
      </c>
      <c r="H577" s="2">
        <f t="shared" si="4"/>
        <v>0</v>
      </c>
      <c r="I577" s="2" t="str">
        <f>IF(F577 &lt;= IFERROR(VLOOKUP(B577, Master_Items!C:H, 6, FALSE), 0), "REORDER", "")</f>
        <v>REORDER</v>
      </c>
    </row>
    <row r="578" ht="15.75" customHeight="1">
      <c r="B578" s="2"/>
      <c r="F578" s="2">
        <f t="shared" si="3"/>
        <v>0</v>
      </c>
      <c r="H578" s="2">
        <f t="shared" si="4"/>
        <v>0</v>
      </c>
      <c r="I578" s="2" t="str">
        <f>IF(F578 &lt;= IFERROR(VLOOKUP(B578, Master_Items!C:H, 6, FALSE), 0), "REORDER", "")</f>
        <v>REORDER</v>
      </c>
    </row>
    <row r="579" ht="15.75" customHeight="1">
      <c r="B579" s="2"/>
      <c r="F579" s="2">
        <f t="shared" si="3"/>
        <v>0</v>
      </c>
      <c r="H579" s="2">
        <f t="shared" si="4"/>
        <v>0</v>
      </c>
      <c r="I579" s="2" t="str">
        <f>IF(F579 &lt;= IFERROR(VLOOKUP(B579, Master_Items!C:H, 6, FALSE), 0), "REORDER", "")</f>
        <v>REORDER</v>
      </c>
    </row>
    <row r="580" ht="15.75" customHeight="1">
      <c r="B580" s="2"/>
      <c r="F580" s="2">
        <f t="shared" si="3"/>
        <v>0</v>
      </c>
      <c r="H580" s="2">
        <f t="shared" si="4"/>
        <v>0</v>
      </c>
      <c r="I580" s="2" t="str">
        <f>IF(F580 &lt;= IFERROR(VLOOKUP(B580, Master_Items!C:H, 6, FALSE), 0), "REORDER", "")</f>
        <v>REORDER</v>
      </c>
    </row>
    <row r="581" ht="15.75" customHeight="1">
      <c r="B581" s="2"/>
      <c r="F581" s="2">
        <f t="shared" si="3"/>
        <v>0</v>
      </c>
      <c r="H581" s="2">
        <f t="shared" si="4"/>
        <v>0</v>
      </c>
      <c r="I581" s="2" t="str">
        <f>IF(F581 &lt;= IFERROR(VLOOKUP(B581, Master_Items!C:H, 6, FALSE), 0), "REORDER", "")</f>
        <v>REORDER</v>
      </c>
    </row>
    <row r="582" ht="15.75" customHeight="1">
      <c r="B582" s="2"/>
      <c r="F582" s="2">
        <f t="shared" si="3"/>
        <v>0</v>
      </c>
      <c r="H582" s="2">
        <f t="shared" si="4"/>
        <v>0</v>
      </c>
      <c r="I582" s="2" t="str">
        <f>IF(F582 &lt;= IFERROR(VLOOKUP(B582, Master_Items!C:H, 6, FALSE), 0), "REORDER", "")</f>
        <v>REORDER</v>
      </c>
    </row>
    <row r="583" ht="15.75" customHeight="1">
      <c r="B583" s="2"/>
      <c r="F583" s="2">
        <f t="shared" si="3"/>
        <v>0</v>
      </c>
      <c r="H583" s="2">
        <f t="shared" si="4"/>
        <v>0</v>
      </c>
      <c r="I583" s="2" t="str">
        <f>IF(F583 &lt; IFERROR(VLOOKUP(B583, Master_Items!C:G, 5, FALSE), 0), "YES", "")</f>
        <v/>
      </c>
    </row>
    <row r="584" ht="15.75" customHeight="1">
      <c r="B584" s="2"/>
      <c r="F584" s="2">
        <f t="shared" si="3"/>
        <v>0</v>
      </c>
      <c r="H584" s="2">
        <f t="shared" si="4"/>
        <v>0</v>
      </c>
      <c r="I584" s="2" t="str">
        <f>IF(F584 &lt; IFERROR(VLOOKUP(B584, Master_Items!C:G, 5, FALSE), 0), "YES", "")</f>
        <v/>
      </c>
    </row>
    <row r="585" ht="15.75" customHeight="1">
      <c r="B585" s="2"/>
      <c r="F585" s="2">
        <f t="shared" si="3"/>
        <v>0</v>
      </c>
      <c r="H585" s="2">
        <f t="shared" si="4"/>
        <v>0</v>
      </c>
      <c r="I585" s="2" t="str">
        <f>IF(F585 &lt; IFERROR(VLOOKUP(B585, Master_Items!C:G, 5, FALSE), 0), "YES", "")</f>
        <v/>
      </c>
    </row>
    <row r="586" ht="15.75" customHeight="1">
      <c r="B586" s="2"/>
      <c r="F586" s="2">
        <f t="shared" si="3"/>
        <v>0</v>
      </c>
      <c r="H586" s="2">
        <f t="shared" si="4"/>
        <v>0</v>
      </c>
      <c r="I586" s="2" t="str">
        <f>IF(F586 &lt; IFERROR(VLOOKUP(B586, Master_Items!C:G, 5, FALSE), 0), "YES", "")</f>
        <v/>
      </c>
    </row>
    <row r="587" ht="15.75" customHeight="1">
      <c r="B587" s="2"/>
      <c r="F587" s="2">
        <f t="shared" si="3"/>
        <v>0</v>
      </c>
      <c r="H587" s="2">
        <f t="shared" si="4"/>
        <v>0</v>
      </c>
      <c r="I587" s="2" t="str">
        <f>IF(F587 &lt; IFERROR(VLOOKUP(B587, Master_Items!C:G, 5, FALSE), 0), "YES", "")</f>
        <v/>
      </c>
    </row>
    <row r="588" ht="15.75" customHeight="1">
      <c r="B588" s="2"/>
      <c r="F588" s="2">
        <f t="shared" si="3"/>
        <v>0</v>
      </c>
      <c r="H588" s="2">
        <f t="shared" si="4"/>
        <v>0</v>
      </c>
      <c r="I588" s="2" t="str">
        <f>IF(F588 &lt; IFERROR(VLOOKUP(B588, Master_Items!C:G, 5, FALSE), 0), "YES", "")</f>
        <v/>
      </c>
    </row>
    <row r="589" ht="15.75" customHeight="1">
      <c r="B589" s="2"/>
      <c r="F589" s="2">
        <f t="shared" si="3"/>
        <v>0</v>
      </c>
      <c r="H589" s="2">
        <f t="shared" si="4"/>
        <v>0</v>
      </c>
      <c r="I589" s="2" t="str">
        <f>IF(F589 &lt; IFERROR(VLOOKUP(B589, Master_Items!C:G, 5, FALSE), 0), "YES", "")</f>
        <v/>
      </c>
    </row>
    <row r="590" ht="15.75" customHeight="1">
      <c r="B590" s="2"/>
      <c r="F590" s="2">
        <f t="shared" si="3"/>
        <v>0</v>
      </c>
      <c r="H590" s="2">
        <f t="shared" si="4"/>
        <v>0</v>
      </c>
      <c r="I590" s="2" t="str">
        <f>IF(F590 &lt; IFERROR(VLOOKUP(B590, Master_Items!C:G, 5, FALSE), 0), "YES", "")</f>
        <v/>
      </c>
    </row>
    <row r="591" ht="15.75" customHeight="1">
      <c r="B591" s="2"/>
      <c r="F591" s="2">
        <f t="shared" si="3"/>
        <v>0</v>
      </c>
      <c r="H591" s="2">
        <f t="shared" si="4"/>
        <v>0</v>
      </c>
      <c r="I591" s="2" t="str">
        <f>IF(F591 &lt; IFERROR(VLOOKUP(B591, Master_Items!C:G, 5, FALSE), 0), "YES", "")</f>
        <v/>
      </c>
    </row>
    <row r="592" ht="15.75" customHeight="1">
      <c r="B592" s="2"/>
      <c r="F592" s="2">
        <f t="shared" si="3"/>
        <v>0</v>
      </c>
      <c r="H592" s="2">
        <f t="shared" si="4"/>
        <v>0</v>
      </c>
      <c r="I592" s="2" t="str">
        <f>IF(F592 &lt; IFERROR(VLOOKUP(B592, Master_Items!C:G, 5, FALSE), 0), "YES", "")</f>
        <v/>
      </c>
    </row>
    <row r="593" ht="15.75" customHeight="1">
      <c r="B593" s="2"/>
      <c r="F593" s="2">
        <f t="shared" si="3"/>
        <v>0</v>
      </c>
      <c r="H593" s="2">
        <f t="shared" si="4"/>
        <v>0</v>
      </c>
      <c r="I593" s="2" t="str">
        <f>IF(F593 &lt; IFERROR(VLOOKUP(B593, Master_Items!C:G, 5, FALSE), 0), "YES", "")</f>
        <v/>
      </c>
    </row>
    <row r="594" ht="15.75" customHeight="1">
      <c r="B594" s="2"/>
      <c r="F594" s="2">
        <f t="shared" si="3"/>
        <v>0</v>
      </c>
      <c r="H594" s="2">
        <f t="shared" si="4"/>
        <v>0</v>
      </c>
      <c r="I594" s="2" t="str">
        <f>IF(F594 &lt; IFERROR(VLOOKUP(B594, Master_Items!C:G, 5, FALSE), 0), "YES", "")</f>
        <v/>
      </c>
    </row>
    <row r="595" ht="15.75" customHeight="1">
      <c r="B595" s="2"/>
      <c r="F595" s="2">
        <f t="shared" si="3"/>
        <v>0</v>
      </c>
      <c r="H595" s="2">
        <f t="shared" si="4"/>
        <v>0</v>
      </c>
      <c r="I595" s="2" t="str">
        <f>IF(F595 &lt; IFERROR(VLOOKUP(B595, Master_Items!C:G, 5, FALSE), 0), "YES", "")</f>
        <v/>
      </c>
    </row>
    <row r="596" ht="15.75" customHeight="1">
      <c r="B596" s="2"/>
      <c r="F596" s="2">
        <f t="shared" si="3"/>
        <v>0</v>
      </c>
      <c r="H596" s="2">
        <f t="shared" si="4"/>
        <v>0</v>
      </c>
      <c r="I596" s="2" t="str">
        <f>IF(F596 &lt; IFERROR(VLOOKUP(B596, Master_Items!C:G, 5, FALSE), 0), "YES", "")</f>
        <v/>
      </c>
    </row>
    <row r="597" ht="15.75" customHeight="1">
      <c r="B597" s="2"/>
      <c r="F597" s="2">
        <f t="shared" si="3"/>
        <v>0</v>
      </c>
      <c r="H597" s="2">
        <f t="shared" si="4"/>
        <v>0</v>
      </c>
      <c r="I597" s="2" t="str">
        <f>IF(F597 &lt; IFERROR(VLOOKUP(B597, Master_Items!C:G, 5, FALSE), 0), "YES", "")</f>
        <v/>
      </c>
    </row>
    <row r="598" ht="15.75" customHeight="1">
      <c r="B598" s="2"/>
      <c r="F598" s="2">
        <f t="shared" si="3"/>
        <v>0</v>
      </c>
      <c r="H598" s="2">
        <f t="shared" si="4"/>
        <v>0</v>
      </c>
      <c r="I598" s="2" t="str">
        <f>IF(F598 &lt; IFERROR(VLOOKUP(B598, Master_Items!C:G, 5, FALSE), 0), "YES", "")</f>
        <v/>
      </c>
    </row>
    <row r="599" ht="15.75" customHeight="1">
      <c r="B599" s="2"/>
      <c r="F599" s="2">
        <f t="shared" si="3"/>
        <v>0</v>
      </c>
      <c r="H599" s="2">
        <f t="shared" si="4"/>
        <v>0</v>
      </c>
      <c r="I599" s="2" t="str">
        <f>IF(F599 &lt; IFERROR(VLOOKUP(B599, Master_Items!C:G, 5, FALSE), 0), "YES", "")</f>
        <v/>
      </c>
    </row>
    <row r="600" ht="15.75" customHeight="1">
      <c r="B600" s="2"/>
      <c r="F600" s="2">
        <f t="shared" si="3"/>
        <v>0</v>
      </c>
      <c r="H600" s="2">
        <f t="shared" si="4"/>
        <v>0</v>
      </c>
      <c r="I600" s="2" t="str">
        <f>IF(F600 &lt; IFERROR(VLOOKUP(B600, Master_Items!C:G, 5, FALSE), 0), "YES", "")</f>
        <v/>
      </c>
    </row>
    <row r="601" ht="15.75" customHeight="1">
      <c r="B601" s="2"/>
      <c r="F601" s="2">
        <f t="shared" si="3"/>
        <v>0</v>
      </c>
      <c r="H601" s="2">
        <f t="shared" si="4"/>
        <v>0</v>
      </c>
      <c r="I601" s="2" t="str">
        <f>IF(F601 &lt; IFERROR(VLOOKUP(B601, Master_Items!C:G, 5, FALSE), 0), "YES", "")</f>
        <v/>
      </c>
    </row>
    <row r="602" ht="15.75" customHeight="1">
      <c r="B602" s="2"/>
      <c r="F602" s="2">
        <f t="shared" si="3"/>
        <v>0</v>
      </c>
      <c r="H602" s="2">
        <f t="shared" si="4"/>
        <v>0</v>
      </c>
      <c r="I602" s="2" t="str">
        <f>IF(F602 &lt; IFERROR(VLOOKUP(B602, Master_Items!C:G, 5, FALSE), 0), "YES", "")</f>
        <v/>
      </c>
    </row>
    <row r="603" ht="15.75" customHeight="1">
      <c r="B603" s="2"/>
      <c r="F603" s="2">
        <f t="shared" si="3"/>
        <v>0</v>
      </c>
      <c r="H603" s="2">
        <f t="shared" si="4"/>
        <v>0</v>
      </c>
      <c r="I603" s="2" t="str">
        <f>IF(F603 &lt; IFERROR(VLOOKUP(B603, Master_Items!C:G, 5, FALSE), 0), "YES", "")</f>
        <v/>
      </c>
    </row>
    <row r="604" ht="15.75" customHeight="1">
      <c r="B604" s="2"/>
      <c r="F604" s="2">
        <f t="shared" si="3"/>
        <v>0</v>
      </c>
      <c r="H604" s="2">
        <f t="shared" si="4"/>
        <v>0</v>
      </c>
      <c r="I604" s="2" t="str">
        <f>IF(F604 &lt; IFERROR(VLOOKUP(B604, Master_Items!C:G, 5, FALSE), 0), "YES", "")</f>
        <v/>
      </c>
    </row>
    <row r="605" ht="15.75" customHeight="1">
      <c r="B605" s="2"/>
      <c r="F605" s="2">
        <f t="shared" si="3"/>
        <v>0</v>
      </c>
      <c r="H605" s="2">
        <f t="shared" si="4"/>
        <v>0</v>
      </c>
      <c r="I605" s="2" t="str">
        <f>IF(F605 &lt; IFERROR(VLOOKUP(B605, Master_Items!C:G, 5, FALSE), 0), "YES", "")</f>
        <v/>
      </c>
    </row>
    <row r="606" ht="15.75" customHeight="1">
      <c r="B606" s="2"/>
      <c r="F606" s="2">
        <f t="shared" si="3"/>
        <v>0</v>
      </c>
      <c r="H606" s="2">
        <f t="shared" si="4"/>
        <v>0</v>
      </c>
      <c r="I606" s="2" t="str">
        <f>IF(F606 &lt; IFERROR(VLOOKUP(B606, Master_Items!C:G, 5, FALSE), 0), "YES", "")</f>
        <v/>
      </c>
    </row>
    <row r="607" ht="15.75" customHeight="1">
      <c r="B607" s="2"/>
      <c r="F607" s="2">
        <f t="shared" si="3"/>
        <v>0</v>
      </c>
      <c r="H607" s="2">
        <f t="shared" si="4"/>
        <v>0</v>
      </c>
      <c r="I607" s="2" t="str">
        <f>IF(F607 &lt; IFERROR(VLOOKUP(B607, Master_Items!C:G, 5, FALSE), 0), "YES", "")</f>
        <v/>
      </c>
    </row>
    <row r="608" ht="15.75" customHeight="1">
      <c r="B608" s="2"/>
      <c r="F608" s="2">
        <f t="shared" si="3"/>
        <v>0</v>
      </c>
      <c r="H608" s="2">
        <f t="shared" si="4"/>
        <v>0</v>
      </c>
      <c r="I608" s="2" t="str">
        <f>IF(F608 &lt; IFERROR(VLOOKUP(B608, Master_Items!C:G, 5, FALSE), 0), "YES", "")</f>
        <v/>
      </c>
    </row>
    <row r="609" ht="15.75" customHeight="1">
      <c r="B609" s="2"/>
      <c r="F609" s="2">
        <f t="shared" si="3"/>
        <v>0</v>
      </c>
      <c r="H609" s="2">
        <f t="shared" si="4"/>
        <v>0</v>
      </c>
      <c r="I609" s="2" t="str">
        <f>IF(F609 &lt; IFERROR(VLOOKUP(B609, Master_Items!C:G, 5, FALSE), 0), "YES", "")</f>
        <v/>
      </c>
    </row>
    <row r="610" ht="15.75" customHeight="1">
      <c r="B610" s="2"/>
      <c r="F610" s="2">
        <f t="shared" si="3"/>
        <v>0</v>
      </c>
      <c r="H610" s="2">
        <f t="shared" si="4"/>
        <v>0</v>
      </c>
      <c r="I610" s="2" t="str">
        <f>IF(F610 &lt; IFERROR(VLOOKUP(B610, Master_Items!C:G, 5, FALSE), 0), "YES", "")</f>
        <v/>
      </c>
    </row>
    <row r="611" ht="15.75" customHeight="1">
      <c r="B611" s="2"/>
      <c r="F611" s="2">
        <f t="shared" si="3"/>
        <v>0</v>
      </c>
      <c r="H611" s="2">
        <f t="shared" si="4"/>
        <v>0</v>
      </c>
      <c r="I611" s="2" t="str">
        <f>IF(F611 &lt; IFERROR(VLOOKUP(B611, Master_Items!C:G, 5, FALSE), 0), "YES", "")</f>
        <v/>
      </c>
    </row>
    <row r="612" ht="15.75" customHeight="1">
      <c r="B612" s="2"/>
      <c r="F612" s="2">
        <f t="shared" si="3"/>
        <v>0</v>
      </c>
      <c r="H612" s="2">
        <f t="shared" si="4"/>
        <v>0</v>
      </c>
      <c r="I612" s="2" t="str">
        <f>IF(F612 &lt; IFERROR(VLOOKUP(B612, Master_Items!C:G, 5, FALSE), 0), "YES", "")</f>
        <v/>
      </c>
    </row>
    <row r="613" ht="15.75" customHeight="1">
      <c r="B613" s="2"/>
      <c r="F613" s="2">
        <f t="shared" si="3"/>
        <v>0</v>
      </c>
      <c r="H613" s="2">
        <f t="shared" si="4"/>
        <v>0</v>
      </c>
      <c r="I613" s="2" t="str">
        <f>IF(F613 &lt; IFERROR(VLOOKUP(B613, Master_Items!C:G, 5, FALSE), 0), "YES", "")</f>
        <v/>
      </c>
    </row>
    <row r="614" ht="15.75" customHeight="1">
      <c r="B614" s="2"/>
      <c r="F614" s="2">
        <f t="shared" si="3"/>
        <v>0</v>
      </c>
      <c r="H614" s="2">
        <f t="shared" si="4"/>
        <v>0</v>
      </c>
      <c r="I614" s="2" t="str">
        <f>IF(F614 &lt; IFERROR(VLOOKUP(B614, Master_Items!C:G, 5, FALSE), 0), "YES", "")</f>
        <v/>
      </c>
    </row>
    <row r="615" ht="15.75" customHeight="1">
      <c r="B615" s="2"/>
      <c r="F615" s="2">
        <f t="shared" si="3"/>
        <v>0</v>
      </c>
      <c r="H615" s="2">
        <f t="shared" si="4"/>
        <v>0</v>
      </c>
      <c r="I615" s="2" t="str">
        <f>IF(F615 &lt; IFERROR(VLOOKUP(B615, Master_Items!C:G, 5, FALSE), 0), "YES", "")</f>
        <v/>
      </c>
    </row>
    <row r="616" ht="15.75" customHeight="1">
      <c r="B616" s="2"/>
      <c r="F616" s="2">
        <f t="shared" si="3"/>
        <v>0</v>
      </c>
      <c r="H616" s="2">
        <f t="shared" si="4"/>
        <v>0</v>
      </c>
      <c r="I616" s="2" t="str">
        <f>IF(F616 &lt; IFERROR(VLOOKUP(B616, Master_Items!C:G, 5, FALSE), 0), "YES", "")</f>
        <v/>
      </c>
    </row>
    <row r="617" ht="15.75" customHeight="1">
      <c r="B617" s="2"/>
      <c r="F617" s="2">
        <f t="shared" si="3"/>
        <v>0</v>
      </c>
      <c r="H617" s="2">
        <f t="shared" si="4"/>
        <v>0</v>
      </c>
      <c r="I617" s="2" t="str">
        <f>IF(F617 &lt; IFERROR(VLOOKUP(B617, Master_Items!C:G, 5, FALSE), 0), "YES", "")</f>
        <v/>
      </c>
    </row>
    <row r="618" ht="15.75" customHeight="1">
      <c r="B618" s="2"/>
      <c r="F618" s="2">
        <f t="shared" si="3"/>
        <v>0</v>
      </c>
      <c r="H618" s="2">
        <f t="shared" si="4"/>
        <v>0</v>
      </c>
      <c r="I618" s="2" t="str">
        <f>IF(F618 &lt; IFERROR(VLOOKUP(B618, Master_Items!C:G, 5, FALSE), 0), "YES", "")</f>
        <v/>
      </c>
    </row>
    <row r="619" ht="15.75" customHeight="1">
      <c r="B619" s="2"/>
      <c r="F619" s="2">
        <f t="shared" si="3"/>
        <v>0</v>
      </c>
      <c r="H619" s="2">
        <f t="shared" si="4"/>
        <v>0</v>
      </c>
      <c r="I619" s="2" t="str">
        <f>IF(F619 &lt; IFERROR(VLOOKUP(B619, Master_Items!C:G, 5, FALSE), 0), "YES", "")</f>
        <v/>
      </c>
    </row>
    <row r="620" ht="15.75" customHeight="1">
      <c r="B620" s="2"/>
      <c r="F620" s="2">
        <f t="shared" si="3"/>
        <v>0</v>
      </c>
      <c r="H620" s="2">
        <f t="shared" si="4"/>
        <v>0</v>
      </c>
      <c r="I620" s="2" t="str">
        <f>IF(F620 &lt; IFERROR(VLOOKUP(B620, Master_Items!C:G, 5, FALSE), 0), "YES", "")</f>
        <v/>
      </c>
    </row>
    <row r="621" ht="15.75" customHeight="1">
      <c r="B621" s="2"/>
      <c r="F621" s="2">
        <f t="shared" si="3"/>
        <v>0</v>
      </c>
      <c r="H621" s="2">
        <f t="shared" si="4"/>
        <v>0</v>
      </c>
      <c r="I621" s="2" t="str">
        <f>IF(F621 &lt; IFERROR(VLOOKUP(B621, Master_Items!C:G, 5, FALSE), 0), "YES", "")</f>
        <v/>
      </c>
    </row>
    <row r="622" ht="15.75" customHeight="1">
      <c r="B622" s="2"/>
      <c r="F622" s="2">
        <f t="shared" si="3"/>
        <v>0</v>
      </c>
      <c r="H622" s="2">
        <f t="shared" si="4"/>
        <v>0</v>
      </c>
      <c r="I622" s="2" t="str">
        <f>IF(F622 &lt; IFERROR(VLOOKUP(B622, Master_Items!C:G, 5, FALSE), 0), "YES", "")</f>
        <v/>
      </c>
    </row>
    <row r="623" ht="15.75" customHeight="1">
      <c r="B623" s="2"/>
      <c r="F623" s="2">
        <f t="shared" si="3"/>
        <v>0</v>
      </c>
      <c r="H623" s="2">
        <f t="shared" si="4"/>
        <v>0</v>
      </c>
      <c r="I623" s="2" t="str">
        <f>IF(F623 &lt; IFERROR(VLOOKUP(B623, Master_Items!C:G, 5, FALSE), 0), "YES", "")</f>
        <v/>
      </c>
    </row>
    <row r="624" ht="15.75" customHeight="1">
      <c r="B624" s="2"/>
      <c r="F624" s="2">
        <f t="shared" si="3"/>
        <v>0</v>
      </c>
      <c r="H624" s="2">
        <f t="shared" si="4"/>
        <v>0</v>
      </c>
      <c r="I624" s="2" t="str">
        <f>IF(F624 &lt; IFERROR(VLOOKUP(B624, Master_Items!C:G, 5, FALSE), 0), "YES", "")</f>
        <v/>
      </c>
    </row>
    <row r="625" ht="15.75" customHeight="1">
      <c r="B625" s="2"/>
      <c r="F625" s="2">
        <f t="shared" si="3"/>
        <v>0</v>
      </c>
      <c r="H625" s="2">
        <f t="shared" si="4"/>
        <v>0</v>
      </c>
      <c r="I625" s="2" t="str">
        <f>IF(F625 &lt; IFERROR(VLOOKUP(B625, Master_Items!C:G, 5, FALSE), 0), "YES", "")</f>
        <v/>
      </c>
    </row>
    <row r="626" ht="15.75" customHeight="1">
      <c r="B626" s="2"/>
      <c r="F626" s="2">
        <f t="shared" si="3"/>
        <v>0</v>
      </c>
      <c r="H626" s="2">
        <f t="shared" si="4"/>
        <v>0</v>
      </c>
      <c r="I626" s="2" t="str">
        <f>IF(F626 &lt; IFERROR(VLOOKUP(B626, Master_Items!C:G, 5, FALSE), 0), "YES", "")</f>
        <v/>
      </c>
    </row>
    <row r="627" ht="15.75" customHeight="1">
      <c r="B627" s="2"/>
      <c r="F627" s="2">
        <f t="shared" si="3"/>
        <v>0</v>
      </c>
      <c r="H627" s="2">
        <f t="shared" si="4"/>
        <v>0</v>
      </c>
      <c r="I627" s="2" t="str">
        <f>IF(F627 &lt; IFERROR(VLOOKUP(B627, Master_Items!C:G, 5, FALSE), 0), "YES", "")</f>
        <v/>
      </c>
    </row>
    <row r="628" ht="15.75" customHeight="1">
      <c r="B628" s="2"/>
      <c r="H628" s="2">
        <f t="shared" si="4"/>
        <v>0</v>
      </c>
      <c r="I628" s="2" t="str">
        <f>IF(F628 &lt; IFERROR(VLOOKUP(B628, Master_Items!C:G, 5, FALSE), 0), "YES", "")</f>
        <v/>
      </c>
    </row>
    <row r="629" ht="15.75" customHeight="1">
      <c r="B629" s="2"/>
      <c r="H629" s="2">
        <f t="shared" si="4"/>
        <v>0</v>
      </c>
      <c r="I629" s="2" t="str">
        <f>IF(F629 &lt; IFERROR(VLOOKUP(B629, Master_Items!C:G, 5, FALSE), 0), "YES", "")</f>
        <v/>
      </c>
    </row>
    <row r="630" ht="15.75" customHeight="1">
      <c r="B630" s="2"/>
      <c r="H630" s="2">
        <f t="shared" si="4"/>
        <v>0</v>
      </c>
      <c r="I630" s="2" t="str">
        <f>IF(F630 &lt; IFERROR(VLOOKUP(B630, Master_Items!C:G, 5, FALSE), 0), "YES", "")</f>
        <v/>
      </c>
    </row>
    <row r="631" ht="15.75" customHeight="1">
      <c r="B631" s="2"/>
      <c r="H631" s="2">
        <f t="shared" si="4"/>
        <v>0</v>
      </c>
      <c r="I631" s="2" t="str">
        <f>IF(F631 &lt; IFERROR(VLOOKUP(B631, Master_Items!C:G, 5, FALSE), 0), "YES", "")</f>
        <v/>
      </c>
    </row>
    <row r="632" ht="15.75" customHeight="1">
      <c r="B632" s="2"/>
      <c r="H632" s="2">
        <f t="shared" si="4"/>
        <v>0</v>
      </c>
      <c r="I632" s="2" t="str">
        <f>IF(F632 &lt; IFERROR(VLOOKUP(B632, Master_Items!C:G, 5, FALSE), 0), "YES", "")</f>
        <v/>
      </c>
    </row>
    <row r="633" ht="15.75" customHeight="1">
      <c r="B633" s="2"/>
      <c r="H633" s="2">
        <f t="shared" si="4"/>
        <v>0</v>
      </c>
      <c r="I633" s="2" t="str">
        <f>IF(F633 &lt; IFERROR(VLOOKUP(B633, Master_Items!C:G, 5, FALSE), 0), "YES", "")</f>
        <v/>
      </c>
    </row>
    <row r="634" ht="15.75" customHeight="1">
      <c r="B634" s="2"/>
      <c r="H634" s="2">
        <f t="shared" si="4"/>
        <v>0</v>
      </c>
      <c r="I634" s="2" t="str">
        <f>IF(F634 &lt; IFERROR(VLOOKUP(B634, Master_Items!C:G, 5, FALSE), 0), "YES", "")</f>
        <v/>
      </c>
    </row>
    <row r="635" ht="15.75" customHeight="1">
      <c r="B635" s="2"/>
      <c r="H635" s="2">
        <f t="shared" si="4"/>
        <v>0</v>
      </c>
      <c r="I635" s="2" t="str">
        <f>IF(F635 &lt; IFERROR(VLOOKUP(B635, Master_Items!C:G, 5, FALSE), 0), "YES", "")</f>
        <v/>
      </c>
    </row>
    <row r="636" ht="15.75" customHeight="1">
      <c r="B636" s="2"/>
      <c r="H636" s="2">
        <f t="shared" si="4"/>
        <v>0</v>
      </c>
      <c r="I636" s="2" t="str">
        <f>IF(F636 &lt; IFERROR(VLOOKUP(B636, Master_Items!C:G, 5, FALSE), 0), "YES", "")</f>
        <v/>
      </c>
    </row>
    <row r="637" ht="15.75" customHeight="1">
      <c r="B637" s="2"/>
      <c r="H637" s="2">
        <f t="shared" si="4"/>
        <v>0</v>
      </c>
      <c r="I637" s="2" t="str">
        <f>IF(F637 &lt; IFERROR(VLOOKUP(B637, Master_Items!C:G, 5, FALSE), 0), "YES", "")</f>
        <v/>
      </c>
    </row>
    <row r="638" ht="15.75" customHeight="1">
      <c r="B638" s="2"/>
      <c r="H638" s="2">
        <f t="shared" si="4"/>
        <v>0</v>
      </c>
      <c r="I638" s="2" t="str">
        <f>IF(F638 &lt; IFERROR(VLOOKUP(B638, Master_Items!C:G, 5, FALSE), 0), "YES", "")</f>
        <v/>
      </c>
    </row>
    <row r="639" ht="15.75" customHeight="1">
      <c r="B639" s="2"/>
      <c r="H639" s="2">
        <f t="shared" si="4"/>
        <v>0</v>
      </c>
      <c r="I639" s="2" t="str">
        <f>IF(F639 &lt; IFERROR(VLOOKUP(B639, Master_Items!C:G, 5, FALSE), 0), "YES", "")</f>
        <v/>
      </c>
    </row>
    <row r="640" ht="15.75" customHeight="1">
      <c r="B640" s="2"/>
      <c r="H640" s="2">
        <f t="shared" si="4"/>
        <v>0</v>
      </c>
      <c r="I640" s="2" t="str">
        <f>IF(F640 &lt; IFERROR(VLOOKUP(B640, Master_Items!C:G, 5, FALSE), 0), "YES", "")</f>
        <v/>
      </c>
    </row>
    <row r="641" ht="15.75" customHeight="1">
      <c r="B641" s="2"/>
      <c r="H641" s="2">
        <f t="shared" si="4"/>
        <v>0</v>
      </c>
      <c r="I641" s="2" t="str">
        <f>IF(F641 &lt; IFERROR(VLOOKUP(B641, Master_Items!C:G, 5, FALSE), 0), "YES", "")</f>
        <v/>
      </c>
    </row>
    <row r="642" ht="15.75" customHeight="1">
      <c r="B642" s="2"/>
      <c r="H642" s="2">
        <f t="shared" si="4"/>
        <v>0</v>
      </c>
      <c r="I642" s="2" t="str">
        <f>IF(F642 &lt; IFERROR(VLOOKUP(B642, Master_Items!C:G, 5, FALSE), 0), "YES", "")</f>
        <v/>
      </c>
    </row>
    <row r="643" ht="15.75" customHeight="1">
      <c r="B643" s="2"/>
      <c r="H643" s="2">
        <f t="shared" si="4"/>
        <v>0</v>
      </c>
      <c r="I643" s="2" t="str">
        <f>IF(F643 &lt; IFERROR(VLOOKUP(B643, Master_Items!C:G, 5, FALSE), 0), "YES", "")</f>
        <v/>
      </c>
    </row>
    <row r="644" ht="15.75" customHeight="1">
      <c r="B644" s="2"/>
      <c r="I644" s="2" t="str">
        <f>IF(F644 &lt; IFERROR(VLOOKUP(B644, Master_Items!C:G, 5, FALSE), 0), "YES", "")</f>
        <v/>
      </c>
    </row>
    <row r="645" ht="15.75" customHeight="1">
      <c r="B645" s="2"/>
      <c r="I645" s="2" t="str">
        <f>IF(F645 &lt; IFERROR(VLOOKUP(B645, Master_Items!C:G, 5, FALSE), 0), "YES", "")</f>
        <v/>
      </c>
    </row>
    <row r="646" ht="15.75" customHeight="1">
      <c r="B646" s="2"/>
      <c r="I646" s="2" t="str">
        <f>IF(F646 &lt; IFERROR(VLOOKUP(B646, Master_Items!C:G, 5, FALSE), 0), "YES", "")</f>
        <v/>
      </c>
    </row>
    <row r="647" ht="15.75" customHeight="1">
      <c r="B647" s="2"/>
      <c r="I647" s="2" t="str">
        <f>IF(F647 &lt; IFERROR(VLOOKUP(B647, Master_Items!C:G, 5, FALSE), 0), "YES", "")</f>
        <v/>
      </c>
    </row>
    <row r="648" ht="15.75" customHeight="1">
      <c r="B648" s="2"/>
      <c r="I648" s="2" t="str">
        <f>IF(F648 &lt; IFERROR(VLOOKUP(B648, Master_Items!C:G, 5, FALSE), 0), "YES", "")</f>
        <v/>
      </c>
    </row>
    <row r="649" ht="15.75" customHeight="1">
      <c r="B649" s="2"/>
      <c r="I649" s="2" t="str">
        <f>IF(F649 &lt; IFERROR(VLOOKUP(B649, Master_Items!C:G, 5, FALSE), 0), "YES", "")</f>
        <v/>
      </c>
    </row>
    <row r="650" ht="15.75" customHeight="1">
      <c r="B650" s="2"/>
      <c r="I650" s="2" t="str">
        <f>IF(F650 &lt; IFERROR(VLOOKUP(B650, Master_Items!C:G, 5, FALSE), 0), "YES", "")</f>
        <v/>
      </c>
    </row>
    <row r="651" ht="15.75" customHeight="1">
      <c r="B651" s="2"/>
      <c r="I651" s="2" t="str">
        <f>IF(F651 &lt; IFERROR(VLOOKUP(B651, Master_Items!C:G, 5, FALSE), 0), "YES", "")</f>
        <v/>
      </c>
    </row>
    <row r="652" ht="15.75" customHeight="1">
      <c r="B652" s="2"/>
      <c r="I652" s="2" t="str">
        <f>IF(F652 &lt; IFERROR(VLOOKUP(B652, Master_Items!C:G, 5, FALSE), 0), "YES", "")</f>
        <v/>
      </c>
    </row>
    <row r="653" ht="15.75" customHeight="1">
      <c r="B653" s="2"/>
      <c r="I653" s="2" t="str">
        <f>IF(F653 &lt; IFERROR(VLOOKUP(B653, Master_Items!C:G, 5, FALSE), 0), "YES", "")</f>
        <v/>
      </c>
    </row>
    <row r="654" ht="15.75" customHeight="1">
      <c r="B654" s="2"/>
      <c r="I654" s="2" t="str">
        <f>IF(F654 &lt; IFERROR(VLOOKUP(B654, Master_Items!C:G, 5, FALSE), 0), "YES", "")</f>
        <v/>
      </c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9"/>
    </row>
    <row r="856" ht="15.75" customHeight="1">
      <c r="B856" s="9"/>
    </row>
    <row r="857" ht="15.75" customHeight="1">
      <c r="B857" s="9"/>
    </row>
    <row r="858" ht="15.75" customHeight="1">
      <c r="B858" s="9"/>
    </row>
    <row r="859" ht="15.75" customHeight="1">
      <c r="B859" s="9"/>
    </row>
    <row r="860" ht="15.75" customHeight="1">
      <c r="B860" s="9"/>
    </row>
    <row r="861" ht="15.75" customHeight="1">
      <c r="B861" s="9"/>
    </row>
    <row r="862" ht="15.75" customHeight="1">
      <c r="B862" s="9"/>
    </row>
    <row r="863" ht="15.75" customHeight="1">
      <c r="B863" s="9"/>
    </row>
    <row r="864" ht="15.75" customHeight="1">
      <c r="B864" s="9"/>
    </row>
    <row r="865" ht="15.75" customHeight="1">
      <c r="B865" s="9"/>
    </row>
    <row r="866" ht="15.75" customHeight="1">
      <c r="B866" s="9"/>
    </row>
    <row r="867" ht="15.75" customHeight="1">
      <c r="B867" s="9"/>
    </row>
    <row r="868" ht="15.75" customHeight="1">
      <c r="B868" s="9"/>
    </row>
    <row r="869" ht="15.75" customHeight="1">
      <c r="B869" s="9"/>
    </row>
    <row r="870" ht="15.75" customHeight="1">
      <c r="B870" s="9"/>
    </row>
    <row r="871" ht="15.75" customHeight="1">
      <c r="B871" s="9"/>
    </row>
    <row r="872" ht="15.75" customHeight="1">
      <c r="B872" s="9"/>
    </row>
    <row r="873" ht="15.75" customHeight="1">
      <c r="B873" s="9"/>
    </row>
    <row r="874" ht="15.75" customHeight="1">
      <c r="B874" s="9"/>
    </row>
    <row r="875" ht="15.75" customHeight="1">
      <c r="B875" s="9"/>
    </row>
    <row r="876" ht="15.75" customHeight="1">
      <c r="B876" s="9"/>
    </row>
    <row r="877" ht="15.75" customHeight="1">
      <c r="B877" s="9"/>
    </row>
    <row r="878" ht="15.75" customHeight="1">
      <c r="B878" s="9"/>
    </row>
    <row r="879" ht="15.75" customHeight="1">
      <c r="B879" s="9"/>
    </row>
    <row r="880" ht="15.75" customHeight="1">
      <c r="B880" s="9"/>
    </row>
    <row r="881" ht="15.75" customHeight="1">
      <c r="B881" s="9"/>
    </row>
    <row r="882" ht="15.75" customHeight="1">
      <c r="B882" s="9"/>
    </row>
    <row r="883" ht="15.75" customHeight="1">
      <c r="B883" s="9"/>
    </row>
    <row r="884" ht="15.75" customHeight="1">
      <c r="B884" s="9"/>
    </row>
    <row r="885" ht="15.75" customHeight="1">
      <c r="B885" s="9"/>
    </row>
    <row r="886" ht="15.75" customHeight="1">
      <c r="B886" s="9"/>
    </row>
    <row r="887" ht="15.75" customHeight="1">
      <c r="B887" s="9"/>
    </row>
    <row r="888" ht="15.75" customHeight="1">
      <c r="B888" s="9"/>
    </row>
    <row r="889" ht="15.75" customHeight="1">
      <c r="B889" s="9"/>
    </row>
    <row r="890" ht="15.75" customHeight="1">
      <c r="B890" s="9"/>
    </row>
    <row r="891" ht="15.75" customHeight="1">
      <c r="B891" s="9"/>
    </row>
    <row r="892" ht="15.75" customHeight="1">
      <c r="B892" s="9"/>
    </row>
    <row r="893" ht="15.75" customHeight="1">
      <c r="B893" s="9"/>
    </row>
    <row r="894" ht="15.75" customHeight="1">
      <c r="B894" s="9"/>
    </row>
    <row r="895" ht="15.75" customHeight="1">
      <c r="B895" s="9"/>
    </row>
    <row r="896" ht="15.75" customHeight="1">
      <c r="B896" s="9"/>
    </row>
    <row r="897" ht="15.75" customHeight="1">
      <c r="B897" s="9"/>
    </row>
    <row r="898" ht="15.75" customHeight="1">
      <c r="B898" s="9"/>
    </row>
    <row r="899" ht="15.75" customHeight="1">
      <c r="B899" s="9"/>
    </row>
    <row r="900" ht="15.75" customHeight="1">
      <c r="B900" s="9"/>
    </row>
    <row r="901" ht="15.75" customHeight="1">
      <c r="B901" s="9"/>
    </row>
    <row r="902" ht="15.75" customHeight="1">
      <c r="B902" s="9"/>
    </row>
    <row r="903" ht="15.75" customHeight="1">
      <c r="B903" s="9"/>
    </row>
    <row r="904" ht="15.75" customHeight="1">
      <c r="B904" s="9"/>
    </row>
    <row r="905" ht="15.75" customHeight="1">
      <c r="B905" s="9"/>
    </row>
    <row r="906" ht="15.75" customHeight="1">
      <c r="B906" s="9"/>
    </row>
    <row r="907" ht="15.75" customHeight="1">
      <c r="B907" s="9"/>
    </row>
    <row r="908" ht="15.75" customHeight="1">
      <c r="B908" s="9"/>
    </row>
    <row r="909" ht="15.75" customHeight="1">
      <c r="B909" s="9"/>
    </row>
    <row r="910" ht="15.75" customHeight="1">
      <c r="B910" s="9"/>
    </row>
    <row r="911" ht="15.75" customHeight="1">
      <c r="B911" s="9"/>
    </row>
    <row r="912" ht="15.75" customHeight="1">
      <c r="B912" s="9"/>
    </row>
    <row r="913" ht="15.75" customHeight="1">
      <c r="B913" s="9"/>
    </row>
    <row r="914" ht="15.75" customHeight="1">
      <c r="B914" s="9"/>
    </row>
    <row r="915" ht="15.75" customHeight="1">
      <c r="B915" s="9"/>
    </row>
    <row r="916" ht="15.75" customHeight="1">
      <c r="B916" s="9"/>
    </row>
    <row r="917" ht="15.75" customHeight="1">
      <c r="B917" s="9"/>
    </row>
    <row r="918" ht="15.75" customHeight="1">
      <c r="B918" s="9"/>
    </row>
    <row r="919" ht="15.75" customHeight="1">
      <c r="B919" s="9"/>
    </row>
    <row r="920" ht="15.75" customHeight="1">
      <c r="B920" s="9"/>
    </row>
    <row r="921" ht="15.75" customHeight="1">
      <c r="B921" s="9"/>
    </row>
    <row r="922" ht="15.75" customHeight="1">
      <c r="B922" s="9"/>
    </row>
    <row r="923" ht="15.75" customHeight="1">
      <c r="B923" s="9"/>
    </row>
    <row r="924" ht="15.75" customHeight="1">
      <c r="B924" s="9"/>
    </row>
    <row r="925" ht="15.75" customHeight="1">
      <c r="B925" s="9"/>
    </row>
    <row r="926" ht="15.75" customHeight="1">
      <c r="B926" s="9"/>
    </row>
    <row r="927" ht="15.75" customHeight="1">
      <c r="B927" s="9"/>
    </row>
    <row r="928" ht="15.75" customHeight="1">
      <c r="B928" s="9"/>
    </row>
    <row r="929" ht="15.75" customHeight="1">
      <c r="B929" s="9"/>
    </row>
    <row r="930" ht="15.75" customHeight="1">
      <c r="B930" s="9"/>
    </row>
    <row r="931" ht="15.75" customHeight="1">
      <c r="B931" s="9"/>
    </row>
    <row r="932" ht="15.75" customHeight="1">
      <c r="B932" s="9"/>
    </row>
    <row r="933" ht="15.75" customHeight="1">
      <c r="B933" s="9"/>
    </row>
    <row r="934" ht="15.75" customHeight="1">
      <c r="B934" s="9"/>
    </row>
    <row r="935" ht="15.75" customHeight="1">
      <c r="B935" s="9"/>
    </row>
    <row r="936" ht="15.75" customHeight="1">
      <c r="B936" s="9"/>
    </row>
    <row r="937" ht="15.75" customHeight="1">
      <c r="B937" s="9"/>
    </row>
    <row r="938" ht="15.75" customHeight="1">
      <c r="B938" s="9"/>
    </row>
    <row r="939" ht="15.75" customHeight="1">
      <c r="B939" s="9"/>
    </row>
    <row r="940" ht="15.75" customHeight="1">
      <c r="B940" s="9"/>
    </row>
    <row r="941" ht="15.75" customHeight="1">
      <c r="B941" s="9"/>
    </row>
    <row r="942" ht="15.75" customHeight="1">
      <c r="B942" s="9"/>
    </row>
    <row r="943" ht="15.75" customHeight="1">
      <c r="B943" s="9"/>
    </row>
    <row r="944" ht="15.75" customHeight="1">
      <c r="B944" s="9"/>
    </row>
    <row r="945" ht="15.75" customHeight="1">
      <c r="B945" s="9"/>
    </row>
    <row r="946" ht="15.75" customHeight="1">
      <c r="B946" s="9"/>
    </row>
    <row r="947" ht="15.75" customHeight="1">
      <c r="B947" s="9"/>
    </row>
    <row r="948" ht="15.75" customHeight="1">
      <c r="B948" s="9"/>
    </row>
    <row r="949" ht="15.75" customHeight="1">
      <c r="B949" s="9"/>
    </row>
    <row r="950" ht="15.75" customHeight="1">
      <c r="B950" s="9"/>
    </row>
    <row r="951" ht="15.75" customHeight="1">
      <c r="B951" s="9"/>
    </row>
    <row r="952" ht="15.75" customHeight="1">
      <c r="B952" s="9"/>
    </row>
    <row r="953" ht="15.75" customHeight="1">
      <c r="B953" s="9"/>
    </row>
    <row r="954" ht="15.75" customHeight="1">
      <c r="B954" s="9"/>
    </row>
    <row r="955" ht="15.75" customHeight="1">
      <c r="B955" s="9"/>
    </row>
    <row r="956" ht="15.75" customHeight="1">
      <c r="B956" s="9"/>
    </row>
    <row r="957" ht="15.75" customHeight="1">
      <c r="B957" s="9"/>
    </row>
    <row r="958" ht="15.75" customHeight="1">
      <c r="B958" s="9"/>
    </row>
    <row r="959" ht="15.75" customHeight="1">
      <c r="B959" s="9"/>
    </row>
    <row r="960" ht="15.75" customHeight="1">
      <c r="B960" s="9"/>
    </row>
    <row r="961" ht="15.75" customHeight="1">
      <c r="B961" s="9"/>
    </row>
    <row r="962" ht="15.75" customHeight="1">
      <c r="B962" s="9"/>
    </row>
    <row r="963" ht="15.75" customHeight="1">
      <c r="B963" s="9"/>
    </row>
    <row r="964" ht="15.75" customHeight="1">
      <c r="B964" s="9"/>
    </row>
    <row r="965" ht="15.75" customHeight="1">
      <c r="B965" s="9"/>
    </row>
    <row r="966" ht="15.75" customHeight="1">
      <c r="B966" s="9"/>
    </row>
    <row r="967" ht="15.75" customHeight="1">
      <c r="B967" s="9"/>
    </row>
    <row r="968" ht="15.75" customHeight="1">
      <c r="B968" s="9"/>
    </row>
    <row r="969" ht="15.75" customHeight="1">
      <c r="B969" s="9"/>
    </row>
    <row r="970" ht="15.75" customHeight="1">
      <c r="B970" s="9"/>
    </row>
    <row r="971" ht="15.75" customHeight="1">
      <c r="B971" s="9"/>
    </row>
    <row r="972" ht="15.75" customHeight="1">
      <c r="B972" s="9"/>
    </row>
    <row r="973" ht="15.75" customHeight="1">
      <c r="B973" s="9"/>
    </row>
    <row r="974" ht="15.75" customHeight="1">
      <c r="B974" s="9"/>
    </row>
    <row r="975" ht="15.75" customHeight="1">
      <c r="B975" s="9"/>
    </row>
    <row r="976" ht="15.75" customHeight="1">
      <c r="B976" s="9"/>
    </row>
    <row r="977" ht="15.75" customHeight="1">
      <c r="B977" s="9"/>
    </row>
    <row r="978" ht="15.75" customHeight="1">
      <c r="B978" s="9"/>
    </row>
    <row r="979" ht="15.75" customHeight="1">
      <c r="B979" s="9"/>
    </row>
    <row r="980" ht="15.75" customHeight="1">
      <c r="B980" s="9"/>
    </row>
    <row r="981" ht="15.75" customHeight="1">
      <c r="B981" s="9"/>
    </row>
    <row r="982" ht="15.75" customHeight="1">
      <c r="B982" s="9"/>
    </row>
    <row r="983" ht="15.75" customHeight="1">
      <c r="B983" s="9"/>
    </row>
    <row r="984" ht="15.75" customHeight="1">
      <c r="B984" s="9"/>
    </row>
    <row r="985" ht="15.75" customHeight="1">
      <c r="B985" s="9"/>
    </row>
    <row r="986" ht="15.75" customHeight="1">
      <c r="B986" s="9"/>
    </row>
    <row r="987" ht="15.75" customHeight="1">
      <c r="B987" s="9"/>
    </row>
    <row r="988" ht="15.75" customHeight="1">
      <c r="B988" s="9"/>
    </row>
    <row r="989" ht="15.75" customHeight="1">
      <c r="B989" s="9"/>
    </row>
    <row r="990" ht="15.75" customHeight="1">
      <c r="B990" s="9"/>
    </row>
    <row r="991" ht="15.75" customHeight="1">
      <c r="B991" s="9"/>
    </row>
    <row r="992" ht="15.75" customHeight="1">
      <c r="B992" s="9"/>
    </row>
    <row r="993" ht="15.75" customHeight="1">
      <c r="B993" s="9"/>
    </row>
    <row r="994" ht="15.75" customHeight="1">
      <c r="B994" s="9"/>
    </row>
    <row r="995" ht="15.75" customHeight="1">
      <c r="B995" s="9"/>
    </row>
    <row r="996" ht="15.75" customHeight="1">
      <c r="B996" s="9"/>
    </row>
    <row r="997" ht="15.75" customHeight="1">
      <c r="B997" s="9"/>
    </row>
    <row r="998" ht="15.75" customHeight="1">
      <c r="B998" s="9"/>
    </row>
    <row r="999" ht="15.75" customHeight="1">
      <c r="B999" s="9"/>
    </row>
    <row r="1000" ht="15.75" customHeight="1">
      <c r="B1000" s="9"/>
    </row>
  </sheetData>
  <dataValidations>
    <dataValidation type="list" allowBlank="1" showErrorMessage="1" sqref="B2:B1000">
      <formula1>Master_Items!$C$2:$C1006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266</v>
      </c>
      <c r="B1" s="2" t="s">
        <v>259</v>
      </c>
      <c r="C1" s="2" t="s">
        <v>2</v>
      </c>
      <c r="D1" s="2" t="s">
        <v>274</v>
      </c>
      <c r="E1" s="2" t="s">
        <v>262</v>
      </c>
      <c r="F1" s="2" t="s">
        <v>275</v>
      </c>
      <c r="G1" s="2" t="s">
        <v>276</v>
      </c>
      <c r="H1" s="2" t="s">
        <v>277</v>
      </c>
      <c r="I1" s="2" t="s">
        <v>10</v>
      </c>
    </row>
    <row r="2" ht="15.75" customHeight="1">
      <c r="B2" s="2"/>
      <c r="C2" s="2"/>
      <c r="E2" s="2" t="str">
        <f>IFERROR(__xludf.DUMMYFUNCTION("IFERROR(
 VLOOKUP(
   C2,
   FILTER(Vendors_Pricing!A:E, Vendors_Pricing!H:H=""Yes""),
   5,
   FALSE
 ),
 """"
)
"),"")</f>
        <v/>
      </c>
      <c r="F2" s="2">
        <f t="shared" ref="F2:F536" si="1">D2 * E2</f>
        <v>0</v>
      </c>
    </row>
    <row r="3" ht="15.75" customHeight="1">
      <c r="B3" s="2"/>
      <c r="C3" s="2"/>
      <c r="E3" s="2" t="str">
        <f>IFERROR(__xludf.DUMMYFUNCTION("IFERROR(
 VLOOKUP(
   C3,
   FILTER(Vendors_Pricing!A:E, Vendors_Pricing!H:H=""Yes""),
   5,
   FALSE
 ),
 """"
)
"),"")</f>
        <v/>
      </c>
      <c r="F3" s="2">
        <f t="shared" si="1"/>
        <v>0</v>
      </c>
    </row>
    <row r="4" ht="15.75" customHeight="1">
      <c r="B4" s="2"/>
      <c r="C4" s="2"/>
      <c r="E4" s="2" t="str">
        <f>IFERROR(__xludf.DUMMYFUNCTION("IFERROR(
 VLOOKUP(
   C4,
   FILTER(Vendors_Pricing!A:E, Vendors_Pricing!H:H=""Yes""),
   5,
   FALSE
 ),
 """"
)
"),"")</f>
        <v/>
      </c>
      <c r="F4" s="2">
        <f t="shared" si="1"/>
        <v>0</v>
      </c>
    </row>
    <row r="5" ht="15.75" customHeight="1">
      <c r="B5" s="2"/>
      <c r="C5" s="2"/>
      <c r="E5" s="2" t="str">
        <f>IFERROR(__xludf.DUMMYFUNCTION("IFERROR(
 VLOOKUP(
   C5,
   FILTER(Vendors_Pricing!A:E, Vendors_Pricing!H:H=""Yes""),
   5,
   FALSE
 ),
 """"
)
"),"")</f>
        <v/>
      </c>
      <c r="F5" s="2">
        <f t="shared" si="1"/>
        <v>0</v>
      </c>
    </row>
    <row r="6" ht="15.75" customHeight="1">
      <c r="B6" s="2"/>
      <c r="C6" s="2"/>
      <c r="E6" s="2" t="str">
        <f>IFERROR(__xludf.DUMMYFUNCTION("IFERROR(
 VLOOKUP(
   C6,
   FILTER(Vendors_Pricing!A:E, Vendors_Pricing!H:H=""Yes""),
   5,
   FALSE
 ),
 """"
)
"),"")</f>
        <v/>
      </c>
      <c r="F6" s="2">
        <f t="shared" si="1"/>
        <v>0</v>
      </c>
    </row>
    <row r="7" ht="15.75" customHeight="1">
      <c r="B7" s="2"/>
      <c r="C7" s="2"/>
      <c r="E7" s="2" t="str">
        <f>IFERROR(__xludf.DUMMYFUNCTION("IFERROR(
 VLOOKUP(
   C7,
   FILTER(Vendors_Pricing!A:E, Vendors_Pricing!H:H=""Yes""),
   5,
   FALSE
 ),
 """"
)
"),"")</f>
        <v/>
      </c>
      <c r="F7" s="2">
        <f t="shared" si="1"/>
        <v>0</v>
      </c>
    </row>
    <row r="8" ht="15.75" customHeight="1">
      <c r="B8" s="2"/>
      <c r="C8" s="2"/>
      <c r="E8" s="2" t="str">
        <f>IFERROR(__xludf.DUMMYFUNCTION("IFERROR(
 VLOOKUP(
   C8,
   FILTER(Vendors_Pricing!A:E, Vendors_Pricing!H:H=""Yes""),
   5,
   FALSE
 ),
 """"
)
"),"")</f>
        <v/>
      </c>
      <c r="F8" s="2">
        <f t="shared" si="1"/>
        <v>0</v>
      </c>
    </row>
    <row r="9" ht="15.75" customHeight="1">
      <c r="B9" s="2"/>
      <c r="C9" s="2"/>
      <c r="E9" s="2" t="str">
        <f>IFERROR(__xludf.DUMMYFUNCTION("IFERROR(
 VLOOKUP(
   C9,
   FILTER(Vendors_Pricing!A:E, Vendors_Pricing!H:H=""Yes""),
   5,
   FALSE
 ),
 """"
)
"),"")</f>
        <v/>
      </c>
      <c r="F9" s="2">
        <f t="shared" si="1"/>
        <v>0</v>
      </c>
    </row>
    <row r="10" ht="15.75" customHeight="1">
      <c r="B10" s="2"/>
      <c r="C10" s="2"/>
      <c r="E10" s="2" t="str">
        <f>IFERROR(__xludf.DUMMYFUNCTION("IFERROR(
 VLOOKUP(
   C10,
   FILTER(Vendors_Pricing!A:E, Vendors_Pricing!H:H=""Yes""),
   5,
   FALSE
 ),
 """"
)
"),"")</f>
        <v/>
      </c>
      <c r="F10" s="2">
        <f t="shared" si="1"/>
        <v>0</v>
      </c>
    </row>
    <row r="11" ht="15.75" customHeight="1">
      <c r="B11" s="2"/>
      <c r="C11" s="2"/>
      <c r="E11" s="2" t="str">
        <f>IFERROR(__xludf.DUMMYFUNCTION("IFERROR(
 VLOOKUP(
   C11,
   FILTER(Vendors_Pricing!A:E, Vendors_Pricing!H:H=""Yes""),
   5,
   FALSE
 ),
 """"
)
"),"")</f>
        <v/>
      </c>
      <c r="F11" s="2">
        <f t="shared" si="1"/>
        <v>0</v>
      </c>
    </row>
    <row r="12" ht="15.75" customHeight="1">
      <c r="B12" s="2"/>
      <c r="C12" s="2"/>
      <c r="E12" s="2" t="str">
        <f>IFERROR(__xludf.DUMMYFUNCTION("IFERROR(
 VLOOKUP(
   C12,
   FILTER(Vendors_Pricing!A:E, Vendors_Pricing!H:H=""Yes""),
   5,
   FALSE
 ),
 """"
)
"),"")</f>
        <v/>
      </c>
      <c r="F12" s="2">
        <f t="shared" si="1"/>
        <v>0</v>
      </c>
    </row>
    <row r="13" ht="15.75" customHeight="1">
      <c r="B13" s="2"/>
      <c r="C13" s="2"/>
      <c r="E13" s="2" t="str">
        <f>IFERROR(__xludf.DUMMYFUNCTION("IFERROR(
 VLOOKUP(
   C13,
   FILTER(Vendors_Pricing!A:E, Vendors_Pricing!H:H=""Yes""),
   5,
   FALSE
 ),
 """"
)
"),"")</f>
        <v/>
      </c>
      <c r="F13" s="2">
        <f t="shared" si="1"/>
        <v>0</v>
      </c>
    </row>
    <row r="14" ht="15.75" customHeight="1">
      <c r="B14" s="2"/>
      <c r="C14" s="2"/>
      <c r="E14" s="2" t="str">
        <f>IFERROR(__xludf.DUMMYFUNCTION("IFERROR(
 VLOOKUP(
   C14,
   FILTER(Vendors_Pricing!A:E, Vendors_Pricing!H:H=""Yes""),
   5,
   FALSE
 ),
 """"
)
"),"")</f>
        <v/>
      </c>
      <c r="F14" s="2">
        <f t="shared" si="1"/>
        <v>0</v>
      </c>
    </row>
    <row r="15" ht="15.75" customHeight="1">
      <c r="B15" s="2"/>
      <c r="C15" s="2"/>
      <c r="E15" s="2" t="str">
        <f>IFERROR(__xludf.DUMMYFUNCTION("IFERROR(
 VLOOKUP(
   C15,
   FILTER(Vendors_Pricing!A:E, Vendors_Pricing!H:H=""Yes""),
   5,
   FALSE
 ),
 """"
)
"),"")</f>
        <v/>
      </c>
      <c r="F15" s="2">
        <f t="shared" si="1"/>
        <v>0</v>
      </c>
    </row>
    <row r="16" ht="15.75" customHeight="1">
      <c r="B16" s="2"/>
      <c r="C16" s="2"/>
      <c r="E16" s="2" t="str">
        <f>IFERROR(__xludf.DUMMYFUNCTION("IFERROR(
 VLOOKUP(
   C16,
   FILTER(Vendors_Pricing!A:E, Vendors_Pricing!H:H=""Yes""),
   5,
   FALSE
 ),
 """"
)
"),"")</f>
        <v/>
      </c>
      <c r="F16" s="2">
        <f t="shared" si="1"/>
        <v>0</v>
      </c>
    </row>
    <row r="17" ht="15.75" customHeight="1">
      <c r="B17" s="2"/>
      <c r="C17" s="2"/>
      <c r="E17" s="2" t="str">
        <f>IFERROR(__xludf.DUMMYFUNCTION("IFERROR(
 VLOOKUP(
   C17,
   FILTER(Vendors_Pricing!A:E, Vendors_Pricing!H:H=""Yes""),
   5,
   FALSE
 ),
 """"
)
"),"")</f>
        <v/>
      </c>
      <c r="F17" s="2">
        <f t="shared" si="1"/>
        <v>0</v>
      </c>
    </row>
    <row r="18" ht="15.75" customHeight="1">
      <c r="B18" s="2"/>
      <c r="C18" s="2"/>
      <c r="E18" s="2" t="str">
        <f>IFERROR(__xludf.DUMMYFUNCTION("IFERROR(
 VLOOKUP(
   C18,
   FILTER(Vendors_Pricing!A:E, Vendors_Pricing!H:H=""Yes""),
   5,
   FALSE
 ),
 """"
)
"),"")</f>
        <v/>
      </c>
      <c r="F18" s="2">
        <f t="shared" si="1"/>
        <v>0</v>
      </c>
    </row>
    <row r="19" ht="15.75" customHeight="1">
      <c r="B19" s="2"/>
      <c r="C19" s="2"/>
      <c r="E19" s="2" t="str">
        <f>IFERROR(__xludf.DUMMYFUNCTION("IFERROR(
 VLOOKUP(
   C19,
   FILTER(Vendors_Pricing!A:E, Vendors_Pricing!H:H=""Yes""),
   5,
   FALSE
 ),
 """"
)
"),"")</f>
        <v/>
      </c>
      <c r="F19" s="2">
        <f t="shared" si="1"/>
        <v>0</v>
      </c>
    </row>
    <row r="20" ht="15.75" customHeight="1">
      <c r="B20" s="2"/>
      <c r="C20" s="2"/>
      <c r="E20" s="2" t="str">
        <f>IFERROR(__xludf.DUMMYFUNCTION("IFERROR(
 VLOOKUP(
   C20,
   FILTER(Vendors_Pricing!A:E, Vendors_Pricing!H:H=""Yes""),
   5,
   FALSE
 ),
 """"
)
"),"")</f>
        <v/>
      </c>
      <c r="F20" s="2">
        <f t="shared" si="1"/>
        <v>0</v>
      </c>
    </row>
    <row r="21" ht="15.75" customHeight="1">
      <c r="B21" s="2"/>
      <c r="C21" s="2"/>
      <c r="E21" s="2" t="str">
        <f>IFERROR(__xludf.DUMMYFUNCTION("IFERROR(
 VLOOKUP(
   C21,
   FILTER(Vendors_Pricing!A:E, Vendors_Pricing!H:H=""Yes""),
   5,
   FALSE
 ),
 """"
)
"),"")</f>
        <v/>
      </c>
      <c r="F21" s="2">
        <f t="shared" si="1"/>
        <v>0</v>
      </c>
    </row>
    <row r="22" ht="15.75" customHeight="1">
      <c r="B22" s="2"/>
      <c r="C22" s="2"/>
      <c r="E22" s="2" t="str">
        <f>IFERROR(__xludf.DUMMYFUNCTION("IFERROR(
 VLOOKUP(
   C22,
   FILTER(Vendors_Pricing!A:E, Vendors_Pricing!H:H=""Yes""),
   5,
   FALSE
 ),
 """"
)
"),"")</f>
        <v/>
      </c>
      <c r="F22" s="2">
        <f t="shared" si="1"/>
        <v>0</v>
      </c>
    </row>
    <row r="23" ht="15.75" customHeight="1">
      <c r="B23" s="2"/>
      <c r="C23" s="2"/>
      <c r="E23" s="2" t="str">
        <f>IFERROR(__xludf.DUMMYFUNCTION("IFERROR(
 VLOOKUP(
   C23,
   FILTER(Vendors_Pricing!A:E, Vendors_Pricing!H:H=""Yes""),
   5,
   FALSE
 ),
 """"
)
"),"")</f>
        <v/>
      </c>
      <c r="F23" s="2">
        <f t="shared" si="1"/>
        <v>0</v>
      </c>
    </row>
    <row r="24" ht="15.75" customHeight="1">
      <c r="B24" s="2"/>
      <c r="C24" s="2"/>
      <c r="E24" s="2" t="str">
        <f>IFERROR(__xludf.DUMMYFUNCTION("IFERROR(
 VLOOKUP(
   C24,
   FILTER(Vendors_Pricing!A:E, Vendors_Pricing!H:H=""Yes""),
   5,
   FALSE
 ),
 """"
)
"),"")</f>
        <v/>
      </c>
      <c r="F24" s="2">
        <f t="shared" si="1"/>
        <v>0</v>
      </c>
    </row>
    <row r="25" ht="15.75" customHeight="1">
      <c r="B25" s="2"/>
      <c r="C25" s="2"/>
      <c r="E25" s="2" t="str">
        <f>IFERROR(__xludf.DUMMYFUNCTION("IFERROR(
 VLOOKUP(
   C25,
   FILTER(Vendors_Pricing!A:E, Vendors_Pricing!H:H=""Yes""),
   5,
   FALSE
 ),
 """"
)
"),"")</f>
        <v/>
      </c>
      <c r="F25" s="2">
        <f t="shared" si="1"/>
        <v>0</v>
      </c>
    </row>
    <row r="26" ht="15.75" customHeight="1">
      <c r="B26" s="2"/>
      <c r="C26" s="2"/>
      <c r="E26" s="2" t="str">
        <f>IFERROR(__xludf.DUMMYFUNCTION("IFERROR(
 VLOOKUP(
   C26,
   FILTER(Vendors_Pricing!A:E, Vendors_Pricing!H:H=""Yes""),
   5,
   FALSE
 ),
 """"
)
"),"")</f>
        <v/>
      </c>
      <c r="F26" s="2">
        <f t="shared" si="1"/>
        <v>0</v>
      </c>
    </row>
    <row r="27" ht="15.75" customHeight="1">
      <c r="B27" s="2"/>
      <c r="C27" s="2"/>
      <c r="E27" s="2" t="str">
        <f>IFERROR(__xludf.DUMMYFUNCTION("IFERROR(
 VLOOKUP(
   C27,
   FILTER(Vendors_Pricing!A:E, Vendors_Pricing!H:H=""Yes""),
   5,
   FALSE
 ),
 """"
)
"),"")</f>
        <v/>
      </c>
      <c r="F27" s="2">
        <f t="shared" si="1"/>
        <v>0</v>
      </c>
    </row>
    <row r="28" ht="15.75" customHeight="1">
      <c r="B28" s="2"/>
      <c r="C28" s="2"/>
      <c r="E28" s="2" t="str">
        <f>IFERROR(__xludf.DUMMYFUNCTION("IFERROR(
 VLOOKUP(
   C28,
   FILTER(Vendors_Pricing!A:E, Vendors_Pricing!H:H=""Yes""),
   5,
   FALSE
 ),
 """"
)
"),"")</f>
        <v/>
      </c>
      <c r="F28" s="2">
        <f t="shared" si="1"/>
        <v>0</v>
      </c>
    </row>
    <row r="29" ht="15.75" customHeight="1">
      <c r="B29" s="2"/>
      <c r="C29" s="2"/>
      <c r="E29" s="2" t="str">
        <f>IFERROR(__xludf.DUMMYFUNCTION("IFERROR(
 VLOOKUP(
   C29,
   FILTER(Vendors_Pricing!A:E, Vendors_Pricing!H:H=""Yes""),
   5,
   FALSE
 ),
 """"
)
"),"")</f>
        <v/>
      </c>
      <c r="F29" s="2">
        <f t="shared" si="1"/>
        <v>0</v>
      </c>
    </row>
    <row r="30" ht="15.75" customHeight="1">
      <c r="B30" s="2"/>
      <c r="C30" s="2"/>
      <c r="E30" s="2" t="str">
        <f>IFERROR(__xludf.DUMMYFUNCTION("IFERROR(
 VLOOKUP(
   C30,
   FILTER(Vendors_Pricing!A:E, Vendors_Pricing!H:H=""Yes""),
   5,
   FALSE
 ),
 """"
)
"),"")</f>
        <v/>
      </c>
      <c r="F30" s="2">
        <f t="shared" si="1"/>
        <v>0</v>
      </c>
    </row>
    <row r="31" ht="15.75" customHeight="1">
      <c r="B31" s="2"/>
      <c r="C31" s="2"/>
      <c r="E31" s="2" t="str">
        <f>IFERROR(__xludf.DUMMYFUNCTION("IFERROR(
 VLOOKUP(
   C31,
   FILTER(Vendors_Pricing!A:E, Vendors_Pricing!H:H=""Yes""),
   5,
   FALSE
 ),
 """"
)
"),"")</f>
        <v/>
      </c>
      <c r="F31" s="2">
        <f t="shared" si="1"/>
        <v>0</v>
      </c>
    </row>
    <row r="32" ht="15.75" customHeight="1">
      <c r="B32" s="2"/>
      <c r="C32" s="2"/>
      <c r="E32" s="2" t="str">
        <f>IFERROR(__xludf.DUMMYFUNCTION("IFERROR(
 VLOOKUP(
   C32,
   FILTER(Vendors_Pricing!A:E, Vendors_Pricing!H:H=""Yes""),
   5,
   FALSE
 ),
 """"
)
"),"")</f>
        <v/>
      </c>
      <c r="F32" s="2">
        <f t="shared" si="1"/>
        <v>0</v>
      </c>
    </row>
    <row r="33" ht="15.75" customHeight="1">
      <c r="B33" s="2"/>
      <c r="C33" s="2"/>
      <c r="E33" s="2" t="str">
        <f>IFERROR(__xludf.DUMMYFUNCTION("IFERROR(
 VLOOKUP(
   C33,
   FILTER(Vendors_Pricing!A:E, Vendors_Pricing!H:H=""Yes""),
   5,
   FALSE
 ),
 """"
)
"),"")</f>
        <v/>
      </c>
      <c r="F33" s="2">
        <f t="shared" si="1"/>
        <v>0</v>
      </c>
    </row>
    <row r="34" ht="15.75" customHeight="1">
      <c r="B34" s="2"/>
      <c r="C34" s="2"/>
      <c r="E34" s="2" t="str">
        <f>IFERROR(__xludf.DUMMYFUNCTION("IFERROR(
 VLOOKUP(
   C34,
   FILTER(Vendors_Pricing!A:E, Vendors_Pricing!H:H=""Yes""),
   5,
   FALSE
 ),
 """"
)
"),"")</f>
        <v/>
      </c>
      <c r="F34" s="2">
        <f t="shared" si="1"/>
        <v>0</v>
      </c>
    </row>
    <row r="35" ht="15.75" customHeight="1">
      <c r="B35" s="2"/>
      <c r="C35" s="2"/>
      <c r="E35" s="2" t="str">
        <f>IFERROR(__xludf.DUMMYFUNCTION("IFERROR(
 VLOOKUP(
   C35,
   FILTER(Vendors_Pricing!A:E, Vendors_Pricing!H:H=""Yes""),
   5,
   FALSE
 ),
 """"
)
"),"")</f>
        <v/>
      </c>
      <c r="F35" s="2">
        <f t="shared" si="1"/>
        <v>0</v>
      </c>
    </row>
    <row r="36" ht="15.75" customHeight="1">
      <c r="B36" s="2"/>
      <c r="C36" s="2"/>
      <c r="E36" s="2" t="str">
        <f>IFERROR(__xludf.DUMMYFUNCTION("IFERROR(
 VLOOKUP(
   C36,
   FILTER(Vendors_Pricing!A:E, Vendors_Pricing!H:H=""Yes""),
   5,
   FALSE
 ),
 """"
)
"),"")</f>
        <v/>
      </c>
      <c r="F36" s="2">
        <f t="shared" si="1"/>
        <v>0</v>
      </c>
    </row>
    <row r="37" ht="15.75" customHeight="1">
      <c r="B37" s="2"/>
      <c r="C37" s="2"/>
      <c r="E37" s="2" t="str">
        <f>IFERROR(__xludf.DUMMYFUNCTION("IFERROR(
 VLOOKUP(
   C37,
   FILTER(Vendors_Pricing!A:E, Vendors_Pricing!H:H=""Yes""),
   5,
   FALSE
 ),
 """"
)
"),"")</f>
        <v/>
      </c>
      <c r="F37" s="2">
        <f t="shared" si="1"/>
        <v>0</v>
      </c>
    </row>
    <row r="38" ht="15.75" customHeight="1">
      <c r="B38" s="2"/>
      <c r="C38" s="2"/>
      <c r="E38" s="2" t="str">
        <f>IFERROR(__xludf.DUMMYFUNCTION("IFERROR(
 VLOOKUP(
   C38,
   FILTER(Vendors_Pricing!A:E, Vendors_Pricing!H:H=""Yes""),
   5,
   FALSE
 ),
 """"
)
"),"")</f>
        <v/>
      </c>
      <c r="F38" s="2">
        <f t="shared" si="1"/>
        <v>0</v>
      </c>
    </row>
    <row r="39" ht="15.75" customHeight="1">
      <c r="B39" s="2"/>
      <c r="C39" s="2"/>
      <c r="E39" s="2" t="str">
        <f>IFERROR(__xludf.DUMMYFUNCTION("IFERROR(
 VLOOKUP(
   C39,
   FILTER(Vendors_Pricing!A:E, Vendors_Pricing!H:H=""Yes""),
   5,
   FALSE
 ),
 """"
)
"),"")</f>
        <v/>
      </c>
      <c r="F39" s="2">
        <f t="shared" si="1"/>
        <v>0</v>
      </c>
    </row>
    <row r="40" ht="15.75" customHeight="1">
      <c r="B40" s="2"/>
      <c r="C40" s="2"/>
      <c r="E40" s="2" t="str">
        <f>IFERROR(__xludf.DUMMYFUNCTION("IFERROR(
 VLOOKUP(
   C40,
   FILTER(Vendors_Pricing!A:E, Vendors_Pricing!H:H=""Yes""),
   5,
   FALSE
 ),
 """"
)
"),"")</f>
        <v/>
      </c>
      <c r="F40" s="2">
        <f t="shared" si="1"/>
        <v>0</v>
      </c>
    </row>
    <row r="41" ht="15.75" customHeight="1">
      <c r="B41" s="2"/>
      <c r="C41" s="2"/>
      <c r="E41" s="2" t="str">
        <f>IFERROR(__xludf.DUMMYFUNCTION("IFERROR(
 VLOOKUP(
   C41,
   FILTER(Vendors_Pricing!A:E, Vendors_Pricing!H:H=""Yes""),
   5,
   FALSE
 ),
 """"
)
"),"")</f>
        <v/>
      </c>
      <c r="F41" s="2">
        <f t="shared" si="1"/>
        <v>0</v>
      </c>
    </row>
    <row r="42" ht="15.75" customHeight="1">
      <c r="B42" s="2"/>
      <c r="C42" s="2"/>
      <c r="E42" s="2" t="str">
        <f>IFERROR(__xludf.DUMMYFUNCTION("IFERROR(
 VLOOKUP(
   C42,
   FILTER(Vendors_Pricing!A:E, Vendors_Pricing!H:H=""Yes""),
   5,
   FALSE
 ),
 """"
)
"),"")</f>
        <v/>
      </c>
      <c r="F42" s="2">
        <f t="shared" si="1"/>
        <v>0</v>
      </c>
    </row>
    <row r="43" ht="15.75" customHeight="1">
      <c r="B43" s="2"/>
      <c r="C43" s="2"/>
      <c r="E43" s="2" t="str">
        <f>IFERROR(__xludf.DUMMYFUNCTION("IFERROR(
 VLOOKUP(
   C43,
   FILTER(Vendors_Pricing!A:E, Vendors_Pricing!H:H=""Yes""),
   5,
   FALSE
 ),
 """"
)
"),"")</f>
        <v/>
      </c>
      <c r="F43" s="2">
        <f t="shared" si="1"/>
        <v>0</v>
      </c>
    </row>
    <row r="44" ht="15.75" customHeight="1">
      <c r="B44" s="2"/>
      <c r="C44" s="2"/>
      <c r="E44" s="2" t="str">
        <f>IFERROR(__xludf.DUMMYFUNCTION("IFERROR(
 VLOOKUP(
   C44,
   FILTER(Vendors_Pricing!A:E, Vendors_Pricing!H:H=""Yes""),
   5,
   FALSE
 ),
 """"
)
"),"")</f>
        <v/>
      </c>
      <c r="F44" s="2">
        <f t="shared" si="1"/>
        <v>0</v>
      </c>
    </row>
    <row r="45" ht="15.75" customHeight="1">
      <c r="B45" s="2"/>
      <c r="C45" s="2"/>
      <c r="E45" s="2" t="str">
        <f>IFERROR(__xludf.DUMMYFUNCTION("IFERROR(
 VLOOKUP(
   C45,
   FILTER(Vendors_Pricing!A:E, Vendors_Pricing!H:H=""Yes""),
   5,
   FALSE
 ),
 """"
)
"),"")</f>
        <v/>
      </c>
      <c r="F45" s="2">
        <f t="shared" si="1"/>
        <v>0</v>
      </c>
    </row>
    <row r="46" ht="15.75" customHeight="1">
      <c r="B46" s="2"/>
      <c r="C46" s="2"/>
      <c r="E46" s="2" t="str">
        <f>IFERROR(__xludf.DUMMYFUNCTION("IFERROR(
 VLOOKUP(
   C46,
   FILTER(Vendors_Pricing!A:E, Vendors_Pricing!H:H=""Yes""),
   5,
   FALSE
 ),
 """"
)
"),"")</f>
        <v/>
      </c>
      <c r="F46" s="2">
        <f t="shared" si="1"/>
        <v>0</v>
      </c>
    </row>
    <row r="47" ht="15.75" customHeight="1">
      <c r="B47" s="2"/>
      <c r="C47" s="2"/>
      <c r="E47" s="2" t="str">
        <f>IFERROR(__xludf.DUMMYFUNCTION("IFERROR(
 VLOOKUP(
   C47,
   FILTER(Vendors_Pricing!A:E, Vendors_Pricing!H:H=""Yes""),
   5,
   FALSE
 ),
 """"
)
"),"")</f>
        <v/>
      </c>
      <c r="F47" s="2">
        <f t="shared" si="1"/>
        <v>0</v>
      </c>
    </row>
    <row r="48" ht="15.75" customHeight="1">
      <c r="B48" s="2"/>
      <c r="C48" s="2"/>
      <c r="E48" s="2" t="str">
        <f>IFERROR(__xludf.DUMMYFUNCTION("IFERROR(
 VLOOKUP(
   C48,
   FILTER(Vendors_Pricing!A:E, Vendors_Pricing!H:H=""Yes""),
   5,
   FALSE
 ),
 """"
)
"),"")</f>
        <v/>
      </c>
      <c r="F48" s="2">
        <f t="shared" si="1"/>
        <v>0</v>
      </c>
    </row>
    <row r="49" ht="15.75" customHeight="1">
      <c r="B49" s="2"/>
      <c r="C49" s="2"/>
      <c r="E49" s="2" t="str">
        <f>IFERROR(__xludf.DUMMYFUNCTION("IFERROR(
 VLOOKUP(
   C49,
   FILTER(Vendors_Pricing!A:E, Vendors_Pricing!H:H=""Yes""),
   5,
   FALSE
 ),
 """"
)
"),"")</f>
        <v/>
      </c>
      <c r="F49" s="2">
        <f t="shared" si="1"/>
        <v>0</v>
      </c>
    </row>
    <row r="50" ht="15.75" customHeight="1">
      <c r="B50" s="2"/>
      <c r="C50" s="2"/>
      <c r="E50" s="2" t="str">
        <f>IFERROR(__xludf.DUMMYFUNCTION("IFERROR(
 VLOOKUP(
   C50,
   FILTER(Vendors_Pricing!A:E, Vendors_Pricing!H:H=""Yes""),
   5,
   FALSE
 ),
 """"
)
"),"")</f>
        <v/>
      </c>
      <c r="F50" s="2">
        <f t="shared" si="1"/>
        <v>0</v>
      </c>
    </row>
    <row r="51" ht="15.75" customHeight="1">
      <c r="B51" s="2"/>
      <c r="C51" s="2"/>
      <c r="E51" s="2" t="str">
        <f>IFERROR(__xludf.DUMMYFUNCTION("IFERROR(
 VLOOKUP(
   C51,
   FILTER(Vendors_Pricing!A:E, Vendors_Pricing!H:H=""Yes""),
   5,
   FALSE
 ),
 """"
)
"),"")</f>
        <v/>
      </c>
      <c r="F51" s="2">
        <f t="shared" si="1"/>
        <v>0</v>
      </c>
    </row>
    <row r="52" ht="15.75" customHeight="1">
      <c r="B52" s="2"/>
      <c r="C52" s="2"/>
      <c r="E52" s="2" t="str">
        <f>IFERROR(__xludf.DUMMYFUNCTION("IFERROR(
 VLOOKUP(
   C52,
   FILTER(Vendors_Pricing!A:E, Vendors_Pricing!H:H=""Yes""),
   5,
   FALSE
 ),
 """"
)
"),"")</f>
        <v/>
      </c>
      <c r="F52" s="2">
        <f t="shared" si="1"/>
        <v>0</v>
      </c>
    </row>
    <row r="53" ht="15.75" customHeight="1">
      <c r="B53" s="2"/>
      <c r="C53" s="2"/>
      <c r="E53" s="2" t="str">
        <f>IFERROR(__xludf.DUMMYFUNCTION("IFERROR(
 VLOOKUP(
   C53,
   FILTER(Vendors_Pricing!A:E, Vendors_Pricing!H:H=""Yes""),
   5,
   FALSE
 ),
 """"
)
"),"")</f>
        <v/>
      </c>
      <c r="F53" s="2">
        <f t="shared" si="1"/>
        <v>0</v>
      </c>
    </row>
    <row r="54" ht="15.75" customHeight="1">
      <c r="B54" s="2"/>
      <c r="C54" s="2"/>
      <c r="E54" s="2" t="str">
        <f>IFERROR(__xludf.DUMMYFUNCTION("IFERROR(
 VLOOKUP(
   C54,
   FILTER(Vendors_Pricing!A:E, Vendors_Pricing!H:H=""Yes""),
   5,
   FALSE
 ),
 """"
)
"),"")</f>
        <v/>
      </c>
      <c r="F54" s="2">
        <f t="shared" si="1"/>
        <v>0</v>
      </c>
    </row>
    <row r="55" ht="15.75" customHeight="1">
      <c r="B55" s="2"/>
      <c r="C55" s="2"/>
      <c r="E55" s="2" t="str">
        <f>IFERROR(__xludf.DUMMYFUNCTION("IFERROR(
 VLOOKUP(
   C55,
   FILTER(Vendors_Pricing!A:E, Vendors_Pricing!H:H=""Yes""),
   5,
   FALSE
 ),
 """"
)
"),"")</f>
        <v/>
      </c>
      <c r="F55" s="2">
        <f t="shared" si="1"/>
        <v>0</v>
      </c>
    </row>
    <row r="56" ht="15.75" customHeight="1">
      <c r="B56" s="2"/>
      <c r="C56" s="2"/>
      <c r="E56" s="2" t="str">
        <f>IFERROR(__xludf.DUMMYFUNCTION("IFERROR(
 VLOOKUP(
   C56,
   FILTER(Vendors_Pricing!A:E, Vendors_Pricing!H:H=""Yes""),
   5,
   FALSE
 ),
 """"
)
"),"")</f>
        <v/>
      </c>
      <c r="F56" s="2">
        <f t="shared" si="1"/>
        <v>0</v>
      </c>
    </row>
    <row r="57" ht="15.75" customHeight="1">
      <c r="B57" s="2"/>
      <c r="C57" s="2"/>
      <c r="E57" s="2" t="str">
        <f>IFERROR(__xludf.DUMMYFUNCTION("IFERROR(
 VLOOKUP(
   C57,
   FILTER(Vendors_Pricing!A:E, Vendors_Pricing!H:H=""Yes""),
   5,
   FALSE
 ),
 """"
)
"),"")</f>
        <v/>
      </c>
      <c r="F57" s="2">
        <f t="shared" si="1"/>
        <v>0</v>
      </c>
    </row>
    <row r="58" ht="15.75" customHeight="1">
      <c r="B58" s="2"/>
      <c r="C58" s="2"/>
      <c r="E58" s="2" t="str">
        <f>IFERROR(__xludf.DUMMYFUNCTION("IFERROR(
 VLOOKUP(
   C58,
   FILTER(Vendors_Pricing!A:E, Vendors_Pricing!H:H=""Yes""),
   5,
   FALSE
 ),
 """"
)
"),"")</f>
        <v/>
      </c>
      <c r="F58" s="2">
        <f t="shared" si="1"/>
        <v>0</v>
      </c>
    </row>
    <row r="59" ht="15.75" customHeight="1">
      <c r="B59" s="2"/>
      <c r="C59" s="2"/>
      <c r="E59" s="2" t="str">
        <f>IFERROR(__xludf.DUMMYFUNCTION("IFERROR(
 VLOOKUP(
   C59,
   FILTER(Vendors_Pricing!A:E, Vendors_Pricing!H:H=""Yes""),
   5,
   FALSE
 ),
 """"
)
"),"")</f>
        <v/>
      </c>
      <c r="F59" s="2">
        <f t="shared" si="1"/>
        <v>0</v>
      </c>
    </row>
    <row r="60" ht="15.75" customHeight="1">
      <c r="B60" s="2"/>
      <c r="C60" s="2"/>
      <c r="E60" s="2" t="str">
        <f>IFERROR(__xludf.DUMMYFUNCTION("IFERROR(
 VLOOKUP(
   C60,
   FILTER(Vendors_Pricing!A:E, Vendors_Pricing!H:H=""Yes""),
   5,
   FALSE
 ),
 """"
)
"),"")</f>
        <v/>
      </c>
      <c r="F60" s="2">
        <f t="shared" si="1"/>
        <v>0</v>
      </c>
    </row>
    <row r="61" ht="15.75" customHeight="1">
      <c r="B61" s="2"/>
      <c r="C61" s="2"/>
      <c r="E61" s="2" t="str">
        <f>IFERROR(__xludf.DUMMYFUNCTION("IFERROR(
 VLOOKUP(
   C61,
   FILTER(Vendors_Pricing!A:E, Vendors_Pricing!H:H=""Yes""),
   5,
   FALSE
 ),
 """"
)
"),"")</f>
        <v/>
      </c>
      <c r="F61" s="2">
        <f t="shared" si="1"/>
        <v>0</v>
      </c>
    </row>
    <row r="62" ht="15.75" customHeight="1">
      <c r="B62" s="2"/>
      <c r="C62" s="2"/>
      <c r="E62" s="2" t="str">
        <f>IFERROR(__xludf.DUMMYFUNCTION("IFERROR(
 VLOOKUP(
   C62,
   FILTER(Vendors_Pricing!A:E, Vendors_Pricing!H:H=""Yes""),
   5,
   FALSE
 ),
 """"
)
"),"")</f>
        <v/>
      </c>
      <c r="F62" s="2">
        <f t="shared" si="1"/>
        <v>0</v>
      </c>
    </row>
    <row r="63" ht="15.75" customHeight="1">
      <c r="B63" s="2"/>
      <c r="C63" s="2"/>
      <c r="E63" s="2" t="str">
        <f>IFERROR(__xludf.DUMMYFUNCTION("IFERROR(
 VLOOKUP(
   C63,
   FILTER(Vendors_Pricing!A:E, Vendors_Pricing!H:H=""Yes""),
   5,
   FALSE
 ),
 """"
)
"),"")</f>
        <v/>
      </c>
      <c r="F63" s="2">
        <f t="shared" si="1"/>
        <v>0</v>
      </c>
    </row>
    <row r="64" ht="15.75" customHeight="1">
      <c r="B64" s="2"/>
      <c r="C64" s="2"/>
      <c r="E64" s="2" t="str">
        <f>IFERROR(__xludf.DUMMYFUNCTION("IFERROR(
 VLOOKUP(
   C64,
   FILTER(Vendors_Pricing!A:E, Vendors_Pricing!H:H=""Yes""),
   5,
   FALSE
 ),
 """"
)
"),"")</f>
        <v/>
      </c>
      <c r="F64" s="2">
        <f t="shared" si="1"/>
        <v>0</v>
      </c>
    </row>
    <row r="65" ht="15.75" customHeight="1">
      <c r="B65" s="2"/>
      <c r="C65" s="2"/>
      <c r="E65" s="2" t="str">
        <f>IFERROR(__xludf.DUMMYFUNCTION("IFERROR(
 VLOOKUP(
   C65,
   FILTER(Vendors_Pricing!A:E, Vendors_Pricing!H:H=""Yes""),
   5,
   FALSE
 ),
 """"
)
"),"")</f>
        <v/>
      </c>
      <c r="F65" s="2">
        <f t="shared" si="1"/>
        <v>0</v>
      </c>
    </row>
    <row r="66" ht="15.75" customHeight="1">
      <c r="B66" s="2"/>
      <c r="C66" s="2"/>
      <c r="E66" s="2" t="str">
        <f>IFERROR(__xludf.DUMMYFUNCTION("IFERROR(
 VLOOKUP(
   C66,
   FILTER(Vendors_Pricing!A:E, Vendors_Pricing!H:H=""Yes""),
   5,
   FALSE
 ),
 """"
)
"),"")</f>
        <v/>
      </c>
      <c r="F66" s="2">
        <f t="shared" si="1"/>
        <v>0</v>
      </c>
    </row>
    <row r="67" ht="15.75" customHeight="1">
      <c r="B67" s="2"/>
      <c r="C67" s="2"/>
      <c r="E67" s="2" t="str">
        <f>IFERROR(__xludf.DUMMYFUNCTION("IFERROR(
 VLOOKUP(
   C67,
   FILTER(Vendors_Pricing!A:E, Vendors_Pricing!H:H=""Yes""),
   5,
   FALSE
 ),
 """"
)
"),"")</f>
        <v/>
      </c>
      <c r="F67" s="2">
        <f t="shared" si="1"/>
        <v>0</v>
      </c>
    </row>
    <row r="68" ht="15.75" customHeight="1">
      <c r="B68" s="2"/>
      <c r="C68" s="2"/>
      <c r="E68" s="2" t="str">
        <f>IFERROR(__xludf.DUMMYFUNCTION("IFERROR(
 VLOOKUP(
   C68,
   FILTER(Vendors_Pricing!A:E, Vendors_Pricing!H:H=""Yes""),
   5,
   FALSE
 ),
 """"
)
"),"")</f>
        <v/>
      </c>
      <c r="F68" s="2">
        <f t="shared" si="1"/>
        <v>0</v>
      </c>
    </row>
    <row r="69" ht="15.75" customHeight="1">
      <c r="B69" s="2"/>
      <c r="C69" s="2"/>
      <c r="E69" s="2" t="str">
        <f>IFERROR(__xludf.DUMMYFUNCTION("IFERROR(
 VLOOKUP(
   C69,
   FILTER(Vendors_Pricing!A:E, Vendors_Pricing!H:H=""Yes""),
   5,
   FALSE
 ),
 """"
)
"),"")</f>
        <v/>
      </c>
      <c r="F69" s="2">
        <f t="shared" si="1"/>
        <v>0</v>
      </c>
    </row>
    <row r="70" ht="15.75" customHeight="1">
      <c r="B70" s="2"/>
      <c r="C70" s="2"/>
      <c r="E70" s="2" t="str">
        <f>IFERROR(__xludf.DUMMYFUNCTION("IFERROR(
 VLOOKUP(
   C70,
   FILTER(Vendors_Pricing!A:E, Vendors_Pricing!H:H=""Yes""),
   5,
   FALSE
 ),
 """"
)
"),"")</f>
        <v/>
      </c>
      <c r="F70" s="2">
        <f t="shared" si="1"/>
        <v>0</v>
      </c>
    </row>
    <row r="71" ht="15.75" customHeight="1">
      <c r="B71" s="2"/>
      <c r="C71" s="2"/>
      <c r="E71" s="2" t="str">
        <f>IFERROR(__xludf.DUMMYFUNCTION("IFERROR(
 VLOOKUP(
   C71,
   FILTER(Vendors_Pricing!A:E, Vendors_Pricing!H:H=""Yes""),
   5,
   FALSE
 ),
 """"
)
"),"")</f>
        <v/>
      </c>
      <c r="F71" s="2">
        <f t="shared" si="1"/>
        <v>0</v>
      </c>
    </row>
    <row r="72" ht="15.75" customHeight="1">
      <c r="B72" s="2"/>
      <c r="C72" s="2"/>
      <c r="E72" s="2" t="str">
        <f>IFERROR(__xludf.DUMMYFUNCTION("IFERROR(
 VLOOKUP(
   C72,
   FILTER(Vendors_Pricing!A:E, Vendors_Pricing!H:H=""Yes""),
   5,
   FALSE
 ),
 """"
)
"),"")</f>
        <v/>
      </c>
      <c r="F72" s="2">
        <f t="shared" si="1"/>
        <v>0</v>
      </c>
    </row>
    <row r="73" ht="15.75" customHeight="1">
      <c r="B73" s="2"/>
      <c r="C73" s="2"/>
      <c r="E73" s="2" t="str">
        <f>IFERROR(__xludf.DUMMYFUNCTION("IFERROR(
 VLOOKUP(
   C73,
   FILTER(Vendors_Pricing!A:E, Vendors_Pricing!H:H=""Yes""),
   5,
   FALSE
 ),
 """"
)
"),"")</f>
        <v/>
      </c>
      <c r="F73" s="2">
        <f t="shared" si="1"/>
        <v>0</v>
      </c>
    </row>
    <row r="74" ht="15.75" customHeight="1">
      <c r="B74" s="2"/>
      <c r="C74" s="2"/>
      <c r="E74" s="2" t="str">
        <f>IFERROR(__xludf.DUMMYFUNCTION("IFERROR(
 VLOOKUP(
   C74,
   FILTER(Vendors_Pricing!A:E, Vendors_Pricing!H:H=""Yes""),
   5,
   FALSE
 ),
 """"
)
"),"")</f>
        <v/>
      </c>
      <c r="F74" s="2">
        <f t="shared" si="1"/>
        <v>0</v>
      </c>
    </row>
    <row r="75" ht="15.75" customHeight="1">
      <c r="B75" s="2"/>
      <c r="C75" s="2"/>
      <c r="E75" s="2" t="str">
        <f>IFERROR(__xludf.DUMMYFUNCTION("IFERROR(
 VLOOKUP(
   C75,
   FILTER(Vendors_Pricing!A:E, Vendors_Pricing!H:H=""Yes""),
   5,
   FALSE
 ),
 """"
)
"),"")</f>
        <v/>
      </c>
      <c r="F75" s="2">
        <f t="shared" si="1"/>
        <v>0</v>
      </c>
    </row>
    <row r="76" ht="15.75" customHeight="1">
      <c r="B76" s="2"/>
      <c r="C76" s="2"/>
      <c r="E76" s="2" t="str">
        <f>IFERROR(__xludf.DUMMYFUNCTION("IFERROR(
 VLOOKUP(
   C76,
   FILTER(Vendors_Pricing!A:E, Vendors_Pricing!H:H=""Yes""),
   5,
   FALSE
 ),
 """"
)
"),"")</f>
        <v/>
      </c>
      <c r="F76" s="2">
        <f t="shared" si="1"/>
        <v>0</v>
      </c>
    </row>
    <row r="77" ht="15.75" customHeight="1">
      <c r="B77" s="2"/>
      <c r="C77" s="2"/>
      <c r="E77" s="2" t="str">
        <f>IFERROR(__xludf.DUMMYFUNCTION("IFERROR(
 VLOOKUP(
   C77,
   FILTER(Vendors_Pricing!A:E, Vendors_Pricing!H:H=""Yes""),
   5,
   FALSE
 ),
 """"
)
"),"")</f>
        <v/>
      </c>
      <c r="F77" s="2">
        <f t="shared" si="1"/>
        <v>0</v>
      </c>
    </row>
    <row r="78" ht="15.75" customHeight="1">
      <c r="B78" s="2"/>
      <c r="C78" s="2"/>
      <c r="E78" s="2" t="str">
        <f>IFERROR(__xludf.DUMMYFUNCTION("IFERROR(
 VLOOKUP(
   C78,
   FILTER(Vendors_Pricing!A:E, Vendors_Pricing!H:H=""Yes""),
   5,
   FALSE
 ),
 """"
)
"),"")</f>
        <v/>
      </c>
      <c r="F78" s="2">
        <f t="shared" si="1"/>
        <v>0</v>
      </c>
    </row>
    <row r="79" ht="15.75" customHeight="1">
      <c r="B79" s="2"/>
      <c r="C79" s="2"/>
      <c r="E79" s="2" t="str">
        <f>IFERROR(__xludf.DUMMYFUNCTION("IFERROR(
 VLOOKUP(
   C79,
   FILTER(Vendors_Pricing!A:E, Vendors_Pricing!H:H=""Yes""),
   5,
   FALSE
 ),
 """"
)
"),"")</f>
        <v/>
      </c>
      <c r="F79" s="2">
        <f t="shared" si="1"/>
        <v>0</v>
      </c>
    </row>
    <row r="80" ht="15.75" customHeight="1">
      <c r="B80" s="2"/>
      <c r="C80" s="2"/>
      <c r="E80" s="2" t="str">
        <f>IFERROR(__xludf.DUMMYFUNCTION("IFERROR(
 VLOOKUP(
   C80,
   FILTER(Vendors_Pricing!A:E, Vendors_Pricing!H:H=""Yes""),
   5,
   FALSE
 ),
 """"
)
"),"")</f>
        <v/>
      </c>
      <c r="F80" s="2">
        <f t="shared" si="1"/>
        <v>0</v>
      </c>
    </row>
    <row r="81" ht="15.75" customHeight="1">
      <c r="B81" s="2"/>
      <c r="C81" s="2"/>
      <c r="E81" s="2" t="str">
        <f>IFERROR(__xludf.DUMMYFUNCTION("IFERROR(
 VLOOKUP(
   C81,
   FILTER(Vendors_Pricing!A:E, Vendors_Pricing!H:H=""Yes""),
   5,
   FALSE
 ),
 """"
)
"),"")</f>
        <v/>
      </c>
      <c r="F81" s="2">
        <f t="shared" si="1"/>
        <v>0</v>
      </c>
    </row>
    <row r="82" ht="15.75" customHeight="1">
      <c r="B82" s="2"/>
      <c r="C82" s="2"/>
      <c r="E82" s="2" t="str">
        <f>IFERROR(__xludf.DUMMYFUNCTION("IFERROR(
 VLOOKUP(
   C82,
   FILTER(Vendors_Pricing!A:E, Vendors_Pricing!H:H=""Yes""),
   5,
   FALSE
 ),
 """"
)
"),"")</f>
        <v/>
      </c>
      <c r="F82" s="2">
        <f t="shared" si="1"/>
        <v>0</v>
      </c>
    </row>
    <row r="83" ht="15.75" customHeight="1">
      <c r="B83" s="2"/>
      <c r="C83" s="2"/>
      <c r="E83" s="2" t="str">
        <f>IFERROR(__xludf.DUMMYFUNCTION("IFERROR(
 VLOOKUP(
   C83,
   FILTER(Vendors_Pricing!A:E, Vendors_Pricing!H:H=""Yes""),
   5,
   FALSE
 ),
 """"
)
"),"")</f>
        <v/>
      </c>
      <c r="F83" s="2">
        <f t="shared" si="1"/>
        <v>0</v>
      </c>
    </row>
    <row r="84" ht="15.75" customHeight="1">
      <c r="B84" s="2"/>
      <c r="C84" s="2"/>
      <c r="E84" s="2" t="str">
        <f>IFERROR(__xludf.DUMMYFUNCTION("IFERROR(
 VLOOKUP(
   C84,
   FILTER(Vendors_Pricing!A:E, Vendors_Pricing!H:H=""Yes""),
   5,
   FALSE
 ),
 """"
)
"),"")</f>
        <v/>
      </c>
      <c r="F84" s="2">
        <f t="shared" si="1"/>
        <v>0</v>
      </c>
    </row>
    <row r="85" ht="15.75" customHeight="1">
      <c r="B85" s="2"/>
      <c r="C85" s="2"/>
      <c r="E85" s="2" t="str">
        <f>IFERROR(__xludf.DUMMYFUNCTION("IFERROR(
 VLOOKUP(
   C85,
   FILTER(Vendors_Pricing!A:E, Vendors_Pricing!H:H=""Yes""),
   5,
   FALSE
 ),
 """"
)
"),"")</f>
        <v/>
      </c>
      <c r="F85" s="2">
        <f t="shared" si="1"/>
        <v>0</v>
      </c>
    </row>
    <row r="86" ht="15.75" customHeight="1">
      <c r="B86" s="2"/>
      <c r="C86" s="2"/>
      <c r="E86" s="2" t="str">
        <f>IFERROR(__xludf.DUMMYFUNCTION("IFERROR(
 VLOOKUP(
   C86,
   FILTER(Vendors_Pricing!A:E, Vendors_Pricing!H:H=""Yes""),
   5,
   FALSE
 ),
 """"
)
"),"")</f>
        <v/>
      </c>
      <c r="F86" s="2">
        <f t="shared" si="1"/>
        <v>0</v>
      </c>
    </row>
    <row r="87" ht="15.75" customHeight="1">
      <c r="B87" s="2"/>
      <c r="C87" s="2"/>
      <c r="E87" s="2" t="str">
        <f>IFERROR(__xludf.DUMMYFUNCTION("IFERROR(
 VLOOKUP(
   C87,
   FILTER(Vendors_Pricing!A:E, Vendors_Pricing!H:H=""Yes""),
   5,
   FALSE
 ),
 """"
)
"),"")</f>
        <v/>
      </c>
      <c r="F87" s="2">
        <f t="shared" si="1"/>
        <v>0</v>
      </c>
    </row>
    <row r="88" ht="15.75" customHeight="1">
      <c r="B88" s="2"/>
      <c r="C88" s="2"/>
      <c r="E88" s="2" t="str">
        <f>IFERROR(__xludf.DUMMYFUNCTION("IFERROR(
 VLOOKUP(
   C88,
   FILTER(Vendors_Pricing!A:E, Vendors_Pricing!H:H=""Yes""),
   5,
   FALSE
 ),
 """"
)
"),"")</f>
        <v/>
      </c>
      <c r="F88" s="2">
        <f t="shared" si="1"/>
        <v>0</v>
      </c>
    </row>
    <row r="89" ht="15.75" customHeight="1">
      <c r="B89" s="2"/>
      <c r="C89" s="2"/>
      <c r="E89" s="2" t="str">
        <f>IFERROR(__xludf.DUMMYFUNCTION("IFERROR(
 VLOOKUP(
   C89,
   FILTER(Vendors_Pricing!A:E, Vendors_Pricing!H:H=""Yes""),
   5,
   FALSE
 ),
 """"
)
"),"")</f>
        <v/>
      </c>
      <c r="F89" s="2">
        <f t="shared" si="1"/>
        <v>0</v>
      </c>
    </row>
    <row r="90" ht="15.75" customHeight="1">
      <c r="B90" s="2"/>
      <c r="C90" s="2"/>
      <c r="E90" s="2" t="str">
        <f>IFERROR(__xludf.DUMMYFUNCTION("IFERROR(
 VLOOKUP(
   C90,
   FILTER(Vendors_Pricing!A:E, Vendors_Pricing!H:H=""Yes""),
   5,
   FALSE
 ),
 """"
)
"),"")</f>
        <v/>
      </c>
      <c r="F90" s="2">
        <f t="shared" si="1"/>
        <v>0</v>
      </c>
    </row>
    <row r="91" ht="15.75" customHeight="1">
      <c r="B91" s="2"/>
      <c r="C91" s="2"/>
      <c r="E91" s="2" t="str">
        <f>IFERROR(__xludf.DUMMYFUNCTION("IFERROR(
 VLOOKUP(
   C91,
   FILTER(Vendors_Pricing!A:E, Vendors_Pricing!H:H=""Yes""),
   5,
   FALSE
 ),
 """"
)
"),"")</f>
        <v/>
      </c>
      <c r="F91" s="2">
        <f t="shared" si="1"/>
        <v>0</v>
      </c>
    </row>
    <row r="92" ht="15.75" customHeight="1">
      <c r="B92" s="2"/>
      <c r="C92" s="2"/>
      <c r="E92" s="2" t="str">
        <f>IFERROR(__xludf.DUMMYFUNCTION("IFERROR(
 VLOOKUP(
   C92,
   FILTER(Vendors_Pricing!A:E, Vendors_Pricing!H:H=""Yes""),
   5,
   FALSE
 ),
 """"
)
"),"")</f>
        <v/>
      </c>
      <c r="F92" s="2">
        <f t="shared" si="1"/>
        <v>0</v>
      </c>
    </row>
    <row r="93" ht="15.75" customHeight="1">
      <c r="B93" s="2"/>
      <c r="C93" s="2"/>
      <c r="E93" s="2" t="str">
        <f>IFERROR(__xludf.DUMMYFUNCTION("IFERROR(
 VLOOKUP(
   C93,
   FILTER(Vendors_Pricing!A:E, Vendors_Pricing!H:H=""Yes""),
   5,
   FALSE
 ),
 """"
)
"),"")</f>
        <v/>
      </c>
      <c r="F93" s="2">
        <f t="shared" si="1"/>
        <v>0</v>
      </c>
    </row>
    <row r="94" ht="15.75" customHeight="1">
      <c r="B94" s="2"/>
      <c r="C94" s="2"/>
      <c r="E94" s="2" t="str">
        <f>IFERROR(__xludf.DUMMYFUNCTION("IFERROR(
 VLOOKUP(
   C94,
   FILTER(Vendors_Pricing!A:E, Vendors_Pricing!H:H=""Yes""),
   5,
   FALSE
 ),
 """"
)
"),"")</f>
        <v/>
      </c>
      <c r="F94" s="2">
        <f t="shared" si="1"/>
        <v>0</v>
      </c>
    </row>
    <row r="95" ht="15.75" customHeight="1">
      <c r="B95" s="2"/>
      <c r="C95" s="2"/>
      <c r="E95" s="2" t="str">
        <f>IFERROR(__xludf.DUMMYFUNCTION("IFERROR(
 VLOOKUP(
   C95,
   FILTER(Vendors_Pricing!A:E, Vendors_Pricing!H:H=""Yes""),
   5,
   FALSE
 ),
 """"
)
"),"")</f>
        <v/>
      </c>
      <c r="F95" s="2">
        <f t="shared" si="1"/>
        <v>0</v>
      </c>
    </row>
    <row r="96" ht="15.75" customHeight="1">
      <c r="B96" s="2"/>
      <c r="C96" s="2"/>
      <c r="E96" s="2" t="str">
        <f>IFERROR(__xludf.DUMMYFUNCTION("IFERROR(
 VLOOKUP(
   C96,
   FILTER(Vendors_Pricing!A:E, Vendors_Pricing!H:H=""Yes""),
   5,
   FALSE
 ),
 """"
)
"),"")</f>
        <v/>
      </c>
      <c r="F96" s="2">
        <f t="shared" si="1"/>
        <v>0</v>
      </c>
    </row>
    <row r="97" ht="15.75" customHeight="1">
      <c r="B97" s="2"/>
      <c r="C97" s="2"/>
      <c r="E97" s="2" t="str">
        <f>IFERROR(__xludf.DUMMYFUNCTION("IFERROR(
 VLOOKUP(
   C97,
   FILTER(Vendors_Pricing!A:E, Vendors_Pricing!H:H=""Yes""),
   5,
   FALSE
 ),
 """"
)
"),"")</f>
        <v/>
      </c>
      <c r="F97" s="2">
        <f t="shared" si="1"/>
        <v>0</v>
      </c>
    </row>
    <row r="98" ht="15.75" customHeight="1">
      <c r="B98" s="2"/>
      <c r="C98" s="2"/>
      <c r="E98" s="2" t="str">
        <f>IFERROR(__xludf.DUMMYFUNCTION("IFERROR(
 VLOOKUP(
   C98,
   FILTER(Vendors_Pricing!A:E, Vendors_Pricing!H:H=""Yes""),
   5,
   FALSE
 ),
 """"
)
"),"")</f>
        <v/>
      </c>
      <c r="F98" s="2">
        <f t="shared" si="1"/>
        <v>0</v>
      </c>
    </row>
    <row r="99" ht="15.75" customHeight="1">
      <c r="B99" s="2"/>
      <c r="C99" s="2"/>
      <c r="E99" s="2" t="str">
        <f>IFERROR(__xludf.DUMMYFUNCTION("IFERROR(
 VLOOKUP(
   C99,
   FILTER(Vendors_Pricing!A:E, Vendors_Pricing!H:H=""Yes""),
   5,
   FALSE
 ),
 """"
)
"),"")</f>
        <v/>
      </c>
      <c r="F99" s="2">
        <f t="shared" si="1"/>
        <v>0</v>
      </c>
    </row>
    <row r="100" ht="15.75" customHeight="1">
      <c r="B100" s="2"/>
      <c r="C100" s="2"/>
      <c r="E100" s="2" t="str">
        <f>IFERROR(__xludf.DUMMYFUNCTION("IFERROR(
 VLOOKUP(
   C100,
   FILTER(Vendors_Pricing!A:E, Vendors_Pricing!H:H=""Yes""),
   5,
   FALSE
 ),
 """"
)
"),"")</f>
        <v/>
      </c>
      <c r="F100" s="2">
        <f t="shared" si="1"/>
        <v>0</v>
      </c>
    </row>
    <row r="101" ht="15.75" customHeight="1">
      <c r="B101" s="2"/>
      <c r="C101" s="2"/>
      <c r="E101" s="2" t="str">
        <f>IFERROR(__xludf.DUMMYFUNCTION("IFERROR(
 VLOOKUP(
   C101,
   FILTER(Vendors_Pricing!A:E, Vendors_Pricing!H:H=""Yes""),
   5,
   FALSE
 ),
 """"
)
"),"")</f>
        <v/>
      </c>
      <c r="F101" s="2">
        <f t="shared" si="1"/>
        <v>0</v>
      </c>
    </row>
    <row r="102" ht="15.75" customHeight="1">
      <c r="B102" s="2"/>
      <c r="C102" s="2"/>
      <c r="E102" s="2" t="str">
        <f>IFERROR(__xludf.DUMMYFUNCTION("IFERROR(
 VLOOKUP(
   C102,
   FILTER(Vendors_Pricing!A:E, Vendors_Pricing!H:H=""Yes""),
   5,
   FALSE
 ),
 """"
)
"),"")</f>
        <v/>
      </c>
      <c r="F102" s="2">
        <f t="shared" si="1"/>
        <v>0</v>
      </c>
    </row>
    <row r="103" ht="15.75" customHeight="1">
      <c r="B103" s="2"/>
      <c r="C103" s="2"/>
      <c r="E103" s="2" t="str">
        <f>IFERROR(__xludf.DUMMYFUNCTION("IFERROR(
 VLOOKUP(
   C103,
   FILTER(Vendors_Pricing!A:E, Vendors_Pricing!H:H=""Yes""),
   5,
   FALSE
 ),
 """"
)
"),"")</f>
        <v/>
      </c>
      <c r="F103" s="2">
        <f t="shared" si="1"/>
        <v>0</v>
      </c>
    </row>
    <row r="104" ht="15.75" customHeight="1">
      <c r="B104" s="2"/>
      <c r="C104" s="2"/>
      <c r="E104" s="2" t="str">
        <f>IFERROR(__xludf.DUMMYFUNCTION("IFERROR(
 VLOOKUP(
   C104,
   FILTER(Vendors_Pricing!A:E, Vendors_Pricing!H:H=""Yes""),
   5,
   FALSE
 ),
 """"
)
"),"")</f>
        <v/>
      </c>
      <c r="F104" s="2">
        <f t="shared" si="1"/>
        <v>0</v>
      </c>
    </row>
    <row r="105" ht="15.75" customHeight="1">
      <c r="B105" s="2"/>
      <c r="C105" s="2"/>
      <c r="E105" s="2" t="str">
        <f>IFERROR(__xludf.DUMMYFUNCTION("IFERROR(
 VLOOKUP(
   C105,
   FILTER(Vendors_Pricing!A:E, Vendors_Pricing!H:H=""Yes""),
   5,
   FALSE
 ),
 """"
)
"),"")</f>
        <v/>
      </c>
      <c r="F105" s="2">
        <f t="shared" si="1"/>
        <v>0</v>
      </c>
    </row>
    <row r="106" ht="15.75" customHeight="1">
      <c r="B106" s="2"/>
      <c r="C106" s="2"/>
      <c r="E106" s="2" t="str">
        <f>IFERROR(__xludf.DUMMYFUNCTION("IFERROR(
 VLOOKUP(
   C106,
   FILTER(Vendors_Pricing!A:E, Vendors_Pricing!H:H=""Yes""),
   5,
   FALSE
 ),
 """"
)
"),"")</f>
        <v/>
      </c>
      <c r="F106" s="2">
        <f t="shared" si="1"/>
        <v>0</v>
      </c>
    </row>
    <row r="107" ht="15.75" customHeight="1">
      <c r="B107" s="2"/>
      <c r="C107" s="2"/>
      <c r="E107" s="2" t="str">
        <f>IFERROR(__xludf.DUMMYFUNCTION("IFERROR(
 VLOOKUP(
   C107,
   FILTER(Vendors_Pricing!A:E, Vendors_Pricing!H:H=""Yes""),
   5,
   FALSE
 ),
 """"
)
"),"")</f>
        <v/>
      </c>
      <c r="F107" s="2">
        <f t="shared" si="1"/>
        <v>0</v>
      </c>
    </row>
    <row r="108" ht="15.75" customHeight="1">
      <c r="B108" s="2"/>
      <c r="C108" s="2"/>
      <c r="E108" s="2" t="str">
        <f>IFERROR(__xludf.DUMMYFUNCTION("IFERROR(
 VLOOKUP(
   C108,
   FILTER(Vendors_Pricing!A:E, Vendors_Pricing!H:H=""Yes""),
   5,
   FALSE
 ),
 """"
)
"),"")</f>
        <v/>
      </c>
      <c r="F108" s="2">
        <f t="shared" si="1"/>
        <v>0</v>
      </c>
    </row>
    <row r="109" ht="15.75" customHeight="1">
      <c r="B109" s="2"/>
      <c r="C109" s="2"/>
      <c r="E109" s="2" t="str">
        <f>IFERROR(__xludf.DUMMYFUNCTION("IFERROR(
 VLOOKUP(
   C109,
   FILTER(Vendors_Pricing!A:E, Vendors_Pricing!H:H=""Yes""),
   5,
   FALSE
 ),
 """"
)
"),"")</f>
        <v/>
      </c>
      <c r="F109" s="2">
        <f t="shared" si="1"/>
        <v>0</v>
      </c>
    </row>
    <row r="110" ht="15.75" customHeight="1">
      <c r="B110" s="2"/>
      <c r="C110" s="2"/>
      <c r="E110" s="2" t="str">
        <f>IFERROR(__xludf.DUMMYFUNCTION("IFERROR(
 VLOOKUP(
   C110,
   FILTER(Vendors_Pricing!A:E, Vendors_Pricing!H:H=""Yes""),
   5,
   FALSE
 ),
 """"
)
"),"")</f>
        <v/>
      </c>
      <c r="F110" s="2">
        <f t="shared" si="1"/>
        <v>0</v>
      </c>
    </row>
    <row r="111" ht="15.75" customHeight="1">
      <c r="B111" s="2"/>
      <c r="C111" s="2"/>
      <c r="E111" s="2" t="str">
        <f>IFERROR(__xludf.DUMMYFUNCTION("IFERROR(
 VLOOKUP(
   C111,
   FILTER(Vendors_Pricing!A:E, Vendors_Pricing!H:H=""Yes""),
   5,
   FALSE
 ),
 """"
)
"),"")</f>
        <v/>
      </c>
      <c r="F111" s="2">
        <f t="shared" si="1"/>
        <v>0</v>
      </c>
    </row>
    <row r="112" ht="15.75" customHeight="1">
      <c r="B112" s="2"/>
      <c r="C112" s="2"/>
      <c r="E112" s="2" t="str">
        <f>IFERROR(__xludf.DUMMYFUNCTION("IFERROR(
 VLOOKUP(
   C112,
   FILTER(Vendors_Pricing!A:E, Vendors_Pricing!H:H=""Yes""),
   5,
   FALSE
 ),
 """"
)
"),"")</f>
        <v/>
      </c>
      <c r="F112" s="2">
        <f t="shared" si="1"/>
        <v>0</v>
      </c>
    </row>
    <row r="113" ht="15.75" customHeight="1">
      <c r="B113" s="2"/>
      <c r="C113" s="2"/>
      <c r="E113" s="2" t="str">
        <f>IFERROR(__xludf.DUMMYFUNCTION("IFERROR(
 VLOOKUP(
   C113,
   FILTER(Vendors_Pricing!A:E, Vendors_Pricing!H:H=""Yes""),
   5,
   FALSE
 ),
 """"
)
"),"")</f>
        <v/>
      </c>
      <c r="F113" s="2">
        <f t="shared" si="1"/>
        <v>0</v>
      </c>
    </row>
    <row r="114" ht="15.75" customHeight="1">
      <c r="B114" s="2"/>
      <c r="C114" s="2"/>
      <c r="E114" s="2" t="str">
        <f>IFERROR(__xludf.DUMMYFUNCTION("IFERROR(
 VLOOKUP(
   C114,
   FILTER(Vendors_Pricing!A:E, Vendors_Pricing!H:H=""Yes""),
   5,
   FALSE
 ),
 """"
)
"),"")</f>
        <v/>
      </c>
      <c r="F114" s="2">
        <f t="shared" si="1"/>
        <v>0</v>
      </c>
    </row>
    <row r="115" ht="15.75" customHeight="1">
      <c r="B115" s="2"/>
      <c r="C115" s="2"/>
      <c r="E115" s="2" t="str">
        <f>IFERROR(__xludf.DUMMYFUNCTION("IFERROR(
 VLOOKUP(
   C115,
   FILTER(Vendors_Pricing!A:E, Vendors_Pricing!H:H=""Yes""),
   5,
   FALSE
 ),
 """"
)
"),"")</f>
        <v/>
      </c>
      <c r="F115" s="2">
        <f t="shared" si="1"/>
        <v>0</v>
      </c>
    </row>
    <row r="116" ht="15.75" customHeight="1">
      <c r="B116" s="2"/>
      <c r="C116" s="2"/>
      <c r="E116" s="2" t="str">
        <f>IFERROR(__xludf.DUMMYFUNCTION("IFERROR(
 VLOOKUP(
   C116,
   FILTER(Vendors_Pricing!A:E, Vendors_Pricing!H:H=""Yes""),
   5,
   FALSE
 ),
 """"
)
"),"")</f>
        <v/>
      </c>
      <c r="F116" s="2">
        <f t="shared" si="1"/>
        <v>0</v>
      </c>
    </row>
    <row r="117" ht="15.75" customHeight="1">
      <c r="B117" s="2"/>
      <c r="C117" s="2"/>
      <c r="E117" s="2" t="str">
        <f>IFERROR(__xludf.DUMMYFUNCTION("IFERROR(
 VLOOKUP(
   C117,
   FILTER(Vendors_Pricing!A:E, Vendors_Pricing!H:H=""Yes""),
   5,
   FALSE
 ),
 """"
)
"),"")</f>
        <v/>
      </c>
      <c r="F117" s="2">
        <f t="shared" si="1"/>
        <v>0</v>
      </c>
    </row>
    <row r="118" ht="15.75" customHeight="1">
      <c r="B118" s="2"/>
      <c r="C118" s="2"/>
      <c r="E118" s="2" t="str">
        <f>IFERROR(__xludf.DUMMYFUNCTION("IFERROR(
 VLOOKUP(
   C118,
   FILTER(Vendors_Pricing!A:E, Vendors_Pricing!H:H=""Yes""),
   5,
   FALSE
 ),
 """"
)
"),"")</f>
        <v/>
      </c>
      <c r="F118" s="2">
        <f t="shared" si="1"/>
        <v>0</v>
      </c>
    </row>
    <row r="119" ht="15.75" customHeight="1">
      <c r="B119" s="2"/>
      <c r="C119" s="2"/>
      <c r="E119" s="2" t="str">
        <f>IFERROR(__xludf.DUMMYFUNCTION("IFERROR(
 VLOOKUP(
   C119,
   FILTER(Vendors_Pricing!A:E, Vendors_Pricing!H:H=""Yes""),
   5,
   FALSE
 ),
 """"
)
"),"")</f>
        <v/>
      </c>
      <c r="F119" s="2">
        <f t="shared" si="1"/>
        <v>0</v>
      </c>
    </row>
    <row r="120" ht="15.75" customHeight="1">
      <c r="B120" s="2"/>
      <c r="C120" s="2"/>
      <c r="E120" s="2" t="str">
        <f>IFERROR(__xludf.DUMMYFUNCTION("IFERROR(
 VLOOKUP(
   C120,
   FILTER(Vendors_Pricing!A:E, Vendors_Pricing!H:H=""Yes""),
   5,
   FALSE
 ),
 """"
)
"),"")</f>
        <v/>
      </c>
      <c r="F120" s="2">
        <f t="shared" si="1"/>
        <v>0</v>
      </c>
    </row>
    <row r="121" ht="15.75" customHeight="1">
      <c r="B121" s="2"/>
      <c r="C121" s="2"/>
      <c r="E121" s="2" t="str">
        <f>IFERROR(__xludf.DUMMYFUNCTION("IFERROR(
 VLOOKUP(
   C121,
   FILTER(Vendors_Pricing!A:E, Vendors_Pricing!H:H=""Yes""),
   5,
   FALSE
 ),
 """"
)
"),"")</f>
        <v/>
      </c>
      <c r="F121" s="2">
        <f t="shared" si="1"/>
        <v>0</v>
      </c>
    </row>
    <row r="122" ht="15.75" customHeight="1">
      <c r="B122" s="2"/>
      <c r="C122" s="2"/>
      <c r="E122" s="2" t="str">
        <f>IFERROR(__xludf.DUMMYFUNCTION("IFERROR(
 VLOOKUP(
   C122,
   FILTER(Vendors_Pricing!A:E, Vendors_Pricing!H:H=""Yes""),
   5,
   FALSE
 ),
 """"
)
"),"")</f>
        <v/>
      </c>
      <c r="F122" s="2">
        <f t="shared" si="1"/>
        <v>0</v>
      </c>
    </row>
    <row r="123" ht="15.75" customHeight="1">
      <c r="B123" s="2"/>
      <c r="C123" s="2"/>
      <c r="E123" s="2" t="str">
        <f>IFERROR(__xludf.DUMMYFUNCTION("IFERROR(
 VLOOKUP(
   C123,
   FILTER(Vendors_Pricing!A:E, Vendors_Pricing!H:H=""Yes""),
   5,
   FALSE
 ),
 """"
)
"),"")</f>
        <v/>
      </c>
      <c r="F123" s="2">
        <f t="shared" si="1"/>
        <v>0</v>
      </c>
    </row>
    <row r="124" ht="15.75" customHeight="1">
      <c r="B124" s="2"/>
      <c r="C124" s="2"/>
      <c r="E124" s="2" t="str">
        <f>IFERROR(__xludf.DUMMYFUNCTION("IFERROR(
 VLOOKUP(
   C124,
   FILTER(Vendors_Pricing!A:E, Vendors_Pricing!H:H=""Yes""),
   5,
   FALSE
 ),
 """"
)
"),"")</f>
        <v/>
      </c>
      <c r="F124" s="2">
        <f t="shared" si="1"/>
        <v>0</v>
      </c>
    </row>
    <row r="125" ht="15.75" customHeight="1">
      <c r="B125" s="2"/>
      <c r="C125" s="2"/>
      <c r="E125" s="2" t="str">
        <f>IFERROR(__xludf.DUMMYFUNCTION("IFERROR(
 VLOOKUP(
   C125,
   FILTER(Vendors_Pricing!A:E, Vendors_Pricing!H:H=""Yes""),
   5,
   FALSE
 ),
 """"
)
"),"")</f>
        <v/>
      </c>
      <c r="F125" s="2">
        <f t="shared" si="1"/>
        <v>0</v>
      </c>
    </row>
    <row r="126" ht="15.75" customHeight="1">
      <c r="B126" s="2"/>
      <c r="C126" s="2"/>
      <c r="E126" s="2" t="str">
        <f>IFERROR(__xludf.DUMMYFUNCTION("IFERROR(
 VLOOKUP(
   C126,
   FILTER(Vendors_Pricing!A:E, Vendors_Pricing!H:H=""Yes""),
   5,
   FALSE
 ),
 """"
)
"),"")</f>
        <v/>
      </c>
      <c r="F126" s="2">
        <f t="shared" si="1"/>
        <v>0</v>
      </c>
    </row>
    <row r="127" ht="15.75" customHeight="1">
      <c r="B127" s="2"/>
      <c r="C127" s="2"/>
      <c r="E127" s="2" t="str">
        <f>IFERROR(__xludf.DUMMYFUNCTION("IFERROR(
 VLOOKUP(
   C127,
   FILTER(Vendors_Pricing!A:E, Vendors_Pricing!H:H=""Yes""),
   5,
   FALSE
 ),
 """"
)
"),"")</f>
        <v/>
      </c>
      <c r="F127" s="2">
        <f t="shared" si="1"/>
        <v>0</v>
      </c>
    </row>
    <row r="128" ht="15.75" customHeight="1">
      <c r="B128" s="2"/>
      <c r="C128" s="2"/>
      <c r="E128" s="2" t="str">
        <f>IFERROR(__xludf.DUMMYFUNCTION("IFERROR(
 VLOOKUP(
   C128,
   FILTER(Vendors_Pricing!A:E, Vendors_Pricing!H:H=""Yes""),
   5,
   FALSE
 ),
 """"
)
"),"")</f>
        <v/>
      </c>
      <c r="F128" s="2">
        <f t="shared" si="1"/>
        <v>0</v>
      </c>
    </row>
    <row r="129" ht="15.75" customHeight="1">
      <c r="B129" s="2"/>
      <c r="C129" s="2"/>
      <c r="E129" s="2" t="str">
        <f>IFERROR(__xludf.DUMMYFUNCTION("IFERROR(
 VLOOKUP(
   C129,
   FILTER(Vendors_Pricing!A:E, Vendors_Pricing!H:H=""Yes""),
   5,
   FALSE
 ),
 """"
)
"),"")</f>
        <v/>
      </c>
      <c r="F129" s="2">
        <f t="shared" si="1"/>
        <v>0</v>
      </c>
    </row>
    <row r="130" ht="15.75" customHeight="1">
      <c r="B130" s="2"/>
      <c r="C130" s="2"/>
      <c r="E130" s="2" t="str">
        <f>IFERROR(__xludf.DUMMYFUNCTION("IFERROR(
 VLOOKUP(
   C130,
   FILTER(Vendors_Pricing!A:E, Vendors_Pricing!H:H=""Yes""),
   5,
   FALSE
 ),
 """"
)
"),"")</f>
        <v/>
      </c>
      <c r="F130" s="2">
        <f t="shared" si="1"/>
        <v>0</v>
      </c>
    </row>
    <row r="131" ht="15.75" customHeight="1">
      <c r="B131" s="2"/>
      <c r="C131" s="2"/>
      <c r="E131" s="2" t="str">
        <f>IFERROR(__xludf.DUMMYFUNCTION("IFERROR(
 VLOOKUP(
   C131,
   FILTER(Vendors_Pricing!A:E, Vendors_Pricing!H:H=""Yes""),
   5,
   FALSE
 ),
 """"
)
"),"")</f>
        <v/>
      </c>
      <c r="F131" s="2">
        <f t="shared" si="1"/>
        <v>0</v>
      </c>
    </row>
    <row r="132" ht="15.75" customHeight="1">
      <c r="B132" s="2"/>
      <c r="C132" s="2"/>
      <c r="E132" s="2" t="str">
        <f>IFERROR(__xludf.DUMMYFUNCTION("IFERROR(
 VLOOKUP(
   C132,
   FILTER(Vendors_Pricing!A:E, Vendors_Pricing!H:H=""Yes""),
   5,
   FALSE
 ),
 """"
)
"),"")</f>
        <v/>
      </c>
      <c r="F132" s="2">
        <f t="shared" si="1"/>
        <v>0</v>
      </c>
    </row>
    <row r="133" ht="15.75" customHeight="1">
      <c r="B133" s="2"/>
      <c r="C133" s="2"/>
      <c r="E133" s="2" t="str">
        <f>IFERROR(__xludf.DUMMYFUNCTION("IFERROR(
 VLOOKUP(
   C133,
   FILTER(Vendors_Pricing!A:E, Vendors_Pricing!H:H=""Yes""),
   5,
   FALSE
 ),
 """"
)
"),"")</f>
        <v/>
      </c>
      <c r="F133" s="2">
        <f t="shared" si="1"/>
        <v>0</v>
      </c>
    </row>
    <row r="134" ht="15.75" customHeight="1">
      <c r="B134" s="2"/>
      <c r="C134" s="2"/>
      <c r="E134" s="2" t="str">
        <f>IFERROR(__xludf.DUMMYFUNCTION("IFERROR(
 VLOOKUP(
   C134,
   FILTER(Vendors_Pricing!A:E, Vendors_Pricing!H:H=""Yes""),
   5,
   FALSE
 ),
 """"
)
"),"")</f>
        <v/>
      </c>
      <c r="F134" s="2">
        <f t="shared" si="1"/>
        <v>0</v>
      </c>
    </row>
    <row r="135" ht="15.75" customHeight="1">
      <c r="B135" s="2"/>
      <c r="C135" s="2"/>
      <c r="E135" s="2" t="str">
        <f>IFERROR(__xludf.DUMMYFUNCTION("IFERROR(
 VLOOKUP(
   C135,
   FILTER(Vendors_Pricing!A:E, Vendors_Pricing!H:H=""Yes""),
   5,
   FALSE
 ),
 """"
)
"),"")</f>
        <v/>
      </c>
      <c r="F135" s="2">
        <f t="shared" si="1"/>
        <v>0</v>
      </c>
    </row>
    <row r="136" ht="15.75" customHeight="1">
      <c r="B136" s="2"/>
      <c r="C136" s="2"/>
      <c r="E136" s="2" t="str">
        <f>IFERROR(__xludf.DUMMYFUNCTION("IFERROR(
 VLOOKUP(
   C136,
   FILTER(Vendors_Pricing!A:E, Vendors_Pricing!H:H=""Yes""),
   5,
   FALSE
 ),
 """"
)
"),"")</f>
        <v/>
      </c>
      <c r="F136" s="2">
        <f t="shared" si="1"/>
        <v>0</v>
      </c>
    </row>
    <row r="137" ht="15.75" customHeight="1">
      <c r="B137" s="2"/>
      <c r="C137" s="2"/>
      <c r="E137" s="2" t="str">
        <f>IFERROR(__xludf.DUMMYFUNCTION("IFERROR(
 VLOOKUP(
   C137,
   FILTER(Vendors_Pricing!A:E, Vendors_Pricing!H:H=""Yes""),
   5,
   FALSE
 ),
 """"
)
"),"")</f>
        <v/>
      </c>
      <c r="F137" s="2">
        <f t="shared" si="1"/>
        <v>0</v>
      </c>
    </row>
    <row r="138" ht="15.75" customHeight="1">
      <c r="B138" s="2"/>
      <c r="C138" s="2"/>
      <c r="E138" s="2" t="str">
        <f>IFERROR(__xludf.DUMMYFUNCTION("IFERROR(
 VLOOKUP(
   C138,
   FILTER(Vendors_Pricing!A:E, Vendors_Pricing!H:H=""Yes""),
   5,
   FALSE
 ),
 """"
)
"),"")</f>
        <v/>
      </c>
      <c r="F138" s="2">
        <f t="shared" si="1"/>
        <v>0</v>
      </c>
    </row>
    <row r="139" ht="15.75" customHeight="1">
      <c r="B139" s="2"/>
      <c r="C139" s="2"/>
      <c r="E139" s="2" t="str">
        <f>IFERROR(__xludf.DUMMYFUNCTION("IFERROR(
 VLOOKUP(
   C139,
   FILTER(Vendors_Pricing!A:E, Vendors_Pricing!H:H=""Yes""),
   5,
   FALSE
 ),
 """"
)
"),"")</f>
        <v/>
      </c>
      <c r="F139" s="2">
        <f t="shared" si="1"/>
        <v>0</v>
      </c>
    </row>
    <row r="140" ht="15.75" customHeight="1">
      <c r="B140" s="2"/>
      <c r="C140" s="2"/>
      <c r="E140" s="2" t="str">
        <f>IFERROR(__xludf.DUMMYFUNCTION("IFERROR(
 VLOOKUP(
   C140,
   FILTER(Vendors_Pricing!A:E, Vendors_Pricing!H:H=""Yes""),
   5,
   FALSE
 ),
 """"
)
"),"")</f>
        <v/>
      </c>
      <c r="F140" s="2">
        <f t="shared" si="1"/>
        <v>0</v>
      </c>
    </row>
    <row r="141" ht="15.75" customHeight="1">
      <c r="B141" s="2"/>
      <c r="C141" s="2"/>
      <c r="E141" s="2" t="str">
        <f>IFERROR(__xludf.DUMMYFUNCTION("IFERROR(
 VLOOKUP(
   C141,
   FILTER(Vendors_Pricing!A:E, Vendors_Pricing!H:H=""Yes""),
   5,
   FALSE
 ),
 """"
)
"),"")</f>
        <v/>
      </c>
      <c r="F141" s="2">
        <f t="shared" si="1"/>
        <v>0</v>
      </c>
    </row>
    <row r="142" ht="15.75" customHeight="1">
      <c r="B142" s="2"/>
      <c r="C142" s="2"/>
      <c r="E142" s="2" t="str">
        <f>IFERROR(__xludf.DUMMYFUNCTION("IFERROR(
 VLOOKUP(
   C142,
   FILTER(Vendors_Pricing!A:E, Vendors_Pricing!H:H=""Yes""),
   5,
   FALSE
 ),
 """"
)
"),"")</f>
        <v/>
      </c>
      <c r="F142" s="2">
        <f t="shared" si="1"/>
        <v>0</v>
      </c>
    </row>
    <row r="143" ht="15.75" customHeight="1">
      <c r="B143" s="2"/>
      <c r="C143" s="2"/>
      <c r="E143" s="2" t="str">
        <f>IFERROR(__xludf.DUMMYFUNCTION("IFERROR(
 VLOOKUP(
   C143,
   FILTER(Vendors_Pricing!A:E, Vendors_Pricing!H:H=""Yes""),
   5,
   FALSE
 ),
 """"
)
"),"")</f>
        <v/>
      </c>
      <c r="F143" s="2">
        <f t="shared" si="1"/>
        <v>0</v>
      </c>
    </row>
    <row r="144" ht="15.75" customHeight="1">
      <c r="B144" s="2"/>
      <c r="C144" s="2"/>
      <c r="E144" s="2" t="str">
        <f>IFERROR(__xludf.DUMMYFUNCTION("IFERROR(
 VLOOKUP(
   C144,
   FILTER(Vendors_Pricing!A:E, Vendors_Pricing!H:H=""Yes""),
   5,
   FALSE
 ),
 """"
)
"),"")</f>
        <v/>
      </c>
      <c r="F144" s="2">
        <f t="shared" si="1"/>
        <v>0</v>
      </c>
    </row>
    <row r="145" ht="15.75" customHeight="1">
      <c r="B145" s="2"/>
      <c r="C145" s="2"/>
      <c r="E145" s="2" t="str">
        <f>IFERROR(__xludf.DUMMYFUNCTION("IFERROR(
 VLOOKUP(
   C145,
   FILTER(Vendors_Pricing!A:E, Vendors_Pricing!H:H=""Yes""),
   5,
   FALSE
 ),
 """"
)
"),"")</f>
        <v/>
      </c>
      <c r="F145" s="2">
        <f t="shared" si="1"/>
        <v>0</v>
      </c>
    </row>
    <row r="146" ht="15.75" customHeight="1">
      <c r="B146" s="2"/>
      <c r="C146" s="2"/>
      <c r="E146" s="2" t="str">
        <f>IFERROR(__xludf.DUMMYFUNCTION("IFERROR(
 VLOOKUP(
   C146,
   FILTER(Vendors_Pricing!A:E, Vendors_Pricing!H:H=""Yes""),
   5,
   FALSE
 ),
 """"
)
"),"")</f>
        <v/>
      </c>
      <c r="F146" s="2">
        <f t="shared" si="1"/>
        <v>0</v>
      </c>
    </row>
    <row r="147" ht="15.75" customHeight="1">
      <c r="B147" s="2"/>
      <c r="C147" s="2"/>
      <c r="E147" s="2" t="str">
        <f>IFERROR(__xludf.DUMMYFUNCTION("IFERROR(
 VLOOKUP(
   C147,
   FILTER(Vendors_Pricing!A:E, Vendors_Pricing!H:H=""Yes""),
   5,
   FALSE
 ),
 """"
)
"),"")</f>
        <v/>
      </c>
      <c r="F147" s="2">
        <f t="shared" si="1"/>
        <v>0</v>
      </c>
    </row>
    <row r="148" ht="15.75" customHeight="1">
      <c r="B148" s="2"/>
      <c r="C148" s="2"/>
      <c r="E148" s="2" t="str">
        <f>IFERROR(__xludf.DUMMYFUNCTION("IFERROR(
 VLOOKUP(
   C148,
   FILTER(Vendors_Pricing!A:E, Vendors_Pricing!H:H=""Yes""),
   5,
   FALSE
 ),
 """"
)
"),"")</f>
        <v/>
      </c>
      <c r="F148" s="2">
        <f t="shared" si="1"/>
        <v>0</v>
      </c>
    </row>
    <row r="149" ht="15.75" customHeight="1">
      <c r="B149" s="2"/>
      <c r="C149" s="2"/>
      <c r="E149" s="2" t="str">
        <f>IFERROR(__xludf.DUMMYFUNCTION("IFERROR(
 VLOOKUP(
   C149,
   FILTER(Vendors_Pricing!A:E, Vendors_Pricing!H:H=""Yes""),
   5,
   FALSE
 ),
 """"
)
"),"")</f>
        <v/>
      </c>
      <c r="F149" s="2">
        <f t="shared" si="1"/>
        <v>0</v>
      </c>
    </row>
    <row r="150" ht="15.75" customHeight="1">
      <c r="B150" s="2"/>
      <c r="C150" s="2"/>
      <c r="E150" s="2" t="str">
        <f>IFERROR(__xludf.DUMMYFUNCTION("IFERROR(
 VLOOKUP(
   C150,
   FILTER(Vendors_Pricing!A:E, Vendors_Pricing!H:H=""Yes""),
   5,
   FALSE
 ),
 """"
)
"),"")</f>
        <v/>
      </c>
      <c r="F150" s="2">
        <f t="shared" si="1"/>
        <v>0</v>
      </c>
    </row>
    <row r="151" ht="15.75" customHeight="1">
      <c r="B151" s="2"/>
      <c r="C151" s="2"/>
      <c r="E151" s="2" t="str">
        <f>IFERROR(__xludf.DUMMYFUNCTION("IFERROR(
 VLOOKUP(
   C151,
   FILTER(Vendors_Pricing!A:E, Vendors_Pricing!H:H=""Yes""),
   5,
   FALSE
 ),
 """"
)
"),"")</f>
        <v/>
      </c>
      <c r="F151" s="2">
        <f t="shared" si="1"/>
        <v>0</v>
      </c>
    </row>
    <row r="152" ht="15.75" customHeight="1">
      <c r="B152" s="2"/>
      <c r="C152" s="2"/>
      <c r="E152" s="2" t="str">
        <f>IFERROR(__xludf.DUMMYFUNCTION("IFERROR(
 VLOOKUP(
   C152,
   FILTER(Vendors_Pricing!A:E, Vendors_Pricing!H:H=""Yes""),
   5,
   FALSE
 ),
 """"
)
"),"")</f>
        <v/>
      </c>
      <c r="F152" s="2">
        <f t="shared" si="1"/>
        <v>0</v>
      </c>
    </row>
    <row r="153" ht="15.75" customHeight="1">
      <c r="B153" s="2"/>
      <c r="C153" s="2"/>
      <c r="E153" s="2" t="str">
        <f>IFERROR(__xludf.DUMMYFUNCTION("IFERROR(
 VLOOKUP(
   C153,
   FILTER(Vendors_Pricing!A:E, Vendors_Pricing!H:H=""Yes""),
   5,
   FALSE
 ),
 """"
)
"),"")</f>
        <v/>
      </c>
      <c r="F153" s="2">
        <f t="shared" si="1"/>
        <v>0</v>
      </c>
    </row>
    <row r="154" ht="15.75" customHeight="1">
      <c r="B154" s="2"/>
      <c r="C154" s="2"/>
      <c r="E154" s="2" t="str">
        <f>IFERROR(__xludf.DUMMYFUNCTION("IFERROR(
 VLOOKUP(
   C154,
   FILTER(Vendors_Pricing!A:E, Vendors_Pricing!H:H=""Yes""),
   5,
   FALSE
 ),
 """"
)
"),"")</f>
        <v/>
      </c>
      <c r="F154" s="2">
        <f t="shared" si="1"/>
        <v>0</v>
      </c>
    </row>
    <row r="155" ht="15.75" customHeight="1">
      <c r="B155" s="2"/>
      <c r="C155" s="2"/>
      <c r="E155" s="2" t="str">
        <f>IFERROR(__xludf.DUMMYFUNCTION("IFERROR(
 VLOOKUP(
   C155,
   FILTER(Vendors_Pricing!A:E, Vendors_Pricing!H:H=""Yes""),
   5,
   FALSE
 ),
 """"
)
"),"")</f>
        <v/>
      </c>
      <c r="F155" s="2">
        <f t="shared" si="1"/>
        <v>0</v>
      </c>
    </row>
    <row r="156" ht="15.75" customHeight="1">
      <c r="B156" s="2"/>
      <c r="C156" s="2"/>
      <c r="E156" s="2" t="str">
        <f>IFERROR(__xludf.DUMMYFUNCTION("IFERROR(
 VLOOKUP(
   C156,
   FILTER(Vendors_Pricing!A:E, Vendors_Pricing!H:H=""Yes""),
   5,
   FALSE
 ),
 """"
)
"),"")</f>
        <v/>
      </c>
      <c r="F156" s="2">
        <f t="shared" si="1"/>
        <v>0</v>
      </c>
    </row>
    <row r="157" ht="15.75" customHeight="1">
      <c r="B157" s="2"/>
      <c r="C157" s="2"/>
      <c r="E157" s="2" t="str">
        <f>IFERROR(__xludf.DUMMYFUNCTION("IFERROR(
 VLOOKUP(
   C157,
   FILTER(Vendors_Pricing!A:E, Vendors_Pricing!H:H=""Yes""),
   5,
   FALSE
 ),
 """"
)
"),"")</f>
        <v/>
      </c>
      <c r="F157" s="2">
        <f t="shared" si="1"/>
        <v>0</v>
      </c>
    </row>
    <row r="158" ht="15.75" customHeight="1">
      <c r="B158" s="2"/>
      <c r="C158" s="2"/>
      <c r="E158" s="2" t="str">
        <f>IFERROR(__xludf.DUMMYFUNCTION("IFERROR(
 VLOOKUP(
   C158,
   FILTER(Vendors_Pricing!A:E, Vendors_Pricing!H:H=""Yes""),
   5,
   FALSE
 ),
 """"
)
"),"")</f>
        <v/>
      </c>
      <c r="F158" s="2">
        <f t="shared" si="1"/>
        <v>0</v>
      </c>
    </row>
    <row r="159" ht="15.75" customHeight="1">
      <c r="B159" s="2"/>
      <c r="C159" s="2"/>
      <c r="E159" s="2" t="str">
        <f>IFERROR(__xludf.DUMMYFUNCTION("IFERROR(
 VLOOKUP(
   C159,
   FILTER(Vendors_Pricing!A:E, Vendors_Pricing!H:H=""Yes""),
   5,
   FALSE
 ),
 """"
)
"),"")</f>
        <v/>
      </c>
      <c r="F159" s="2">
        <f t="shared" si="1"/>
        <v>0</v>
      </c>
    </row>
    <row r="160" ht="15.75" customHeight="1">
      <c r="B160" s="2"/>
      <c r="C160" s="2"/>
      <c r="E160" s="2" t="str">
        <f>IFERROR(__xludf.DUMMYFUNCTION("IFERROR(
 VLOOKUP(
   C160,
   FILTER(Vendors_Pricing!A:E, Vendors_Pricing!H:H=""Yes""),
   5,
   FALSE
 ),
 """"
)
"),"")</f>
        <v/>
      </c>
      <c r="F160" s="2">
        <f t="shared" si="1"/>
        <v>0</v>
      </c>
    </row>
    <row r="161" ht="15.75" customHeight="1">
      <c r="B161" s="2"/>
      <c r="C161" s="2"/>
      <c r="E161" s="2" t="str">
        <f>IFERROR(__xludf.DUMMYFUNCTION("IFERROR(
 VLOOKUP(
   C161,
   FILTER(Vendors_Pricing!A:E, Vendors_Pricing!H:H=""Yes""),
   5,
   FALSE
 ),
 """"
)
"),"")</f>
        <v/>
      </c>
      <c r="F161" s="2">
        <f t="shared" si="1"/>
        <v>0</v>
      </c>
    </row>
    <row r="162" ht="15.75" customHeight="1">
      <c r="B162" s="2"/>
      <c r="C162" s="2"/>
      <c r="E162" s="2" t="str">
        <f>IFERROR(__xludf.DUMMYFUNCTION("IFERROR(
 VLOOKUP(
   C162,
   FILTER(Vendors_Pricing!A:E, Vendors_Pricing!H:H=""Yes""),
   5,
   FALSE
 ),
 """"
)
"),"")</f>
        <v/>
      </c>
      <c r="F162" s="2">
        <f t="shared" si="1"/>
        <v>0</v>
      </c>
    </row>
    <row r="163" ht="15.75" customHeight="1">
      <c r="B163" s="2"/>
      <c r="C163" s="2"/>
      <c r="E163" s="2" t="str">
        <f>IFERROR(__xludf.DUMMYFUNCTION("IFERROR(
 VLOOKUP(
   C163,
   FILTER(Vendors_Pricing!A:E, Vendors_Pricing!H:H=""Yes""),
   5,
   FALSE
 ),
 """"
)
"),"")</f>
        <v/>
      </c>
      <c r="F163" s="2">
        <f t="shared" si="1"/>
        <v>0</v>
      </c>
    </row>
    <row r="164" ht="15.75" customHeight="1">
      <c r="B164" s="2"/>
      <c r="C164" s="2"/>
      <c r="E164" s="2" t="str">
        <f>IFERROR(__xludf.DUMMYFUNCTION("IFERROR(
 VLOOKUP(
   C164,
   FILTER(Vendors_Pricing!A:E, Vendors_Pricing!H:H=""Yes""),
   5,
   FALSE
 ),
 """"
)
"),"")</f>
        <v/>
      </c>
      <c r="F164" s="2">
        <f t="shared" si="1"/>
        <v>0</v>
      </c>
    </row>
    <row r="165" ht="15.75" customHeight="1">
      <c r="B165" s="2"/>
      <c r="C165" s="2"/>
      <c r="E165" s="2" t="str">
        <f>IFERROR(__xludf.DUMMYFUNCTION("IFERROR(
 VLOOKUP(
   C165,
   FILTER(Vendors_Pricing!A:E, Vendors_Pricing!H:H=""Yes""),
   5,
   FALSE
 ),
 """"
)
"),"")</f>
        <v/>
      </c>
      <c r="F165" s="2">
        <f t="shared" si="1"/>
        <v>0</v>
      </c>
    </row>
    <row r="166" ht="15.75" customHeight="1">
      <c r="B166" s="2"/>
      <c r="C166" s="2"/>
      <c r="E166" s="2" t="str">
        <f>IFERROR(__xludf.DUMMYFUNCTION("IFERROR(
 VLOOKUP(
   C166,
   FILTER(Vendors_Pricing!A:E, Vendors_Pricing!H:H=""Yes""),
   5,
   FALSE
 ),
 """"
)
"),"")</f>
        <v/>
      </c>
      <c r="F166" s="2">
        <f t="shared" si="1"/>
        <v>0</v>
      </c>
    </row>
    <row r="167" ht="15.75" customHeight="1">
      <c r="B167" s="2"/>
      <c r="C167" s="2"/>
      <c r="E167" s="2" t="str">
        <f>IFERROR(__xludf.DUMMYFUNCTION("IFERROR(
 VLOOKUP(
   C167,
   FILTER(Vendors_Pricing!A:E, Vendors_Pricing!H:H=""Yes""),
   5,
   FALSE
 ),
 """"
)
"),"")</f>
        <v/>
      </c>
      <c r="F167" s="2">
        <f t="shared" si="1"/>
        <v>0</v>
      </c>
    </row>
    <row r="168" ht="15.75" customHeight="1">
      <c r="B168" s="2"/>
      <c r="C168" s="2"/>
      <c r="E168" s="2" t="str">
        <f>IFERROR(__xludf.DUMMYFUNCTION("IFERROR(
 VLOOKUP(
   C168,
   FILTER(Vendors_Pricing!A:E, Vendors_Pricing!H:H=""Yes""),
   5,
   FALSE
 ),
 """"
)
"),"")</f>
        <v/>
      </c>
      <c r="F168" s="2">
        <f t="shared" si="1"/>
        <v>0</v>
      </c>
    </row>
    <row r="169" ht="15.75" customHeight="1">
      <c r="B169" s="2"/>
      <c r="C169" s="2"/>
      <c r="E169" s="2" t="str">
        <f>IFERROR(__xludf.DUMMYFUNCTION("IFERROR(
 VLOOKUP(
   C169,
   FILTER(Vendors_Pricing!A:E, Vendors_Pricing!H:H=""Yes""),
   5,
   FALSE
 ),
 """"
)
"),"")</f>
        <v/>
      </c>
      <c r="F169" s="2">
        <f t="shared" si="1"/>
        <v>0</v>
      </c>
    </row>
    <row r="170" ht="15.75" customHeight="1">
      <c r="B170" s="2"/>
      <c r="C170" s="2"/>
      <c r="E170" s="2" t="str">
        <f>IFERROR(__xludf.DUMMYFUNCTION("IFERROR(
 VLOOKUP(
   C170,
   FILTER(Vendors_Pricing!A:E, Vendors_Pricing!H:H=""Yes""),
   5,
   FALSE
 ),
 """"
)
"),"")</f>
        <v/>
      </c>
      <c r="F170" s="2">
        <f t="shared" si="1"/>
        <v>0</v>
      </c>
    </row>
    <row r="171" ht="15.75" customHeight="1">
      <c r="B171" s="2"/>
      <c r="C171" s="2"/>
      <c r="E171" s="2" t="str">
        <f>IFERROR(__xludf.DUMMYFUNCTION("IFERROR(
 VLOOKUP(
   C171,
   FILTER(Vendors_Pricing!A:E, Vendors_Pricing!H:H=""Yes""),
   5,
   FALSE
 ),
 """"
)
"),"")</f>
        <v/>
      </c>
      <c r="F171" s="2">
        <f t="shared" si="1"/>
        <v>0</v>
      </c>
    </row>
    <row r="172" ht="15.75" customHeight="1">
      <c r="B172" s="2"/>
      <c r="C172" s="2"/>
      <c r="E172" s="2" t="str">
        <f>IFERROR(__xludf.DUMMYFUNCTION("IFERROR(
 VLOOKUP(
   C172,
   FILTER(Vendors_Pricing!A:E, Vendors_Pricing!H:H=""Yes""),
   5,
   FALSE
 ),
 """"
)
"),"")</f>
        <v/>
      </c>
      <c r="F172" s="2">
        <f t="shared" si="1"/>
        <v>0</v>
      </c>
    </row>
    <row r="173" ht="15.75" customHeight="1">
      <c r="B173" s="2"/>
      <c r="C173" s="2"/>
      <c r="E173" s="2" t="str">
        <f>IFERROR(__xludf.DUMMYFUNCTION("IFERROR(
 VLOOKUP(
   C173,
   FILTER(Vendors_Pricing!A:E, Vendors_Pricing!H:H=""Yes""),
   5,
   FALSE
 ),
 """"
)
"),"")</f>
        <v/>
      </c>
      <c r="F173" s="2">
        <f t="shared" si="1"/>
        <v>0</v>
      </c>
    </row>
    <row r="174" ht="15.75" customHeight="1">
      <c r="B174" s="2"/>
      <c r="C174" s="2"/>
      <c r="E174" s="2" t="str">
        <f>IFERROR(__xludf.DUMMYFUNCTION("IFERROR(
 VLOOKUP(
   C174,
   FILTER(Vendors_Pricing!A:E, Vendors_Pricing!H:H=""Yes""),
   5,
   FALSE
 ),
 """"
)
"),"")</f>
        <v/>
      </c>
      <c r="F174" s="2">
        <f t="shared" si="1"/>
        <v>0</v>
      </c>
    </row>
    <row r="175" ht="15.75" customHeight="1">
      <c r="B175" s="2"/>
      <c r="C175" s="2"/>
      <c r="E175" s="2" t="str">
        <f>IFERROR(__xludf.DUMMYFUNCTION("IFERROR(
 VLOOKUP(
   C175,
   FILTER(Vendors_Pricing!A:E, Vendors_Pricing!H:H=""Yes""),
   5,
   FALSE
 ),
 """"
)
"),"")</f>
        <v/>
      </c>
      <c r="F175" s="2">
        <f t="shared" si="1"/>
        <v>0</v>
      </c>
    </row>
    <row r="176" ht="15.75" customHeight="1">
      <c r="B176" s="2"/>
      <c r="C176" s="2"/>
      <c r="E176" s="2" t="str">
        <f>IFERROR(__xludf.DUMMYFUNCTION("IFERROR(
 VLOOKUP(
   C176,
   FILTER(Vendors_Pricing!A:E, Vendors_Pricing!H:H=""Yes""),
   5,
   FALSE
 ),
 """"
)
"),"")</f>
        <v/>
      </c>
      <c r="F176" s="2">
        <f t="shared" si="1"/>
        <v>0</v>
      </c>
    </row>
    <row r="177" ht="15.75" customHeight="1">
      <c r="B177" s="2"/>
      <c r="C177" s="2"/>
      <c r="E177" s="2" t="str">
        <f>IFERROR(__xludf.DUMMYFUNCTION("IFERROR(
 VLOOKUP(
   C177,
   FILTER(Vendors_Pricing!A:E, Vendors_Pricing!H:H=""Yes""),
   5,
   FALSE
 ),
 """"
)
"),"")</f>
        <v/>
      </c>
      <c r="F177" s="2">
        <f t="shared" si="1"/>
        <v>0</v>
      </c>
    </row>
    <row r="178" ht="15.75" customHeight="1">
      <c r="B178" s="2"/>
      <c r="C178" s="2"/>
      <c r="E178" s="2" t="str">
        <f>IFERROR(__xludf.DUMMYFUNCTION("IFERROR(
 VLOOKUP(
   C178,
   FILTER(Vendors_Pricing!A:E, Vendors_Pricing!H:H=""Yes""),
   5,
   FALSE
 ),
 """"
)
"),"")</f>
        <v/>
      </c>
      <c r="F178" s="2">
        <f t="shared" si="1"/>
        <v>0</v>
      </c>
    </row>
    <row r="179" ht="15.75" customHeight="1">
      <c r="B179" s="2"/>
      <c r="C179" s="2"/>
      <c r="E179" s="2" t="str">
        <f>IFERROR(__xludf.DUMMYFUNCTION("IFERROR(
 VLOOKUP(
   C179,
   FILTER(Vendors_Pricing!A:E, Vendors_Pricing!H:H=""Yes""),
   5,
   FALSE
 ),
 """"
)
"),"")</f>
        <v/>
      </c>
      <c r="F179" s="2">
        <f t="shared" si="1"/>
        <v>0</v>
      </c>
    </row>
    <row r="180" ht="15.75" customHeight="1">
      <c r="B180" s="2"/>
      <c r="C180" s="2"/>
      <c r="E180" s="2" t="str">
        <f>IFERROR(__xludf.DUMMYFUNCTION("IFERROR(
 VLOOKUP(
   C180,
   FILTER(Vendors_Pricing!A:E, Vendors_Pricing!H:H=""Yes""),
   5,
   FALSE
 ),
 """"
)
"),"")</f>
        <v/>
      </c>
      <c r="F180" s="2">
        <f t="shared" si="1"/>
        <v>0</v>
      </c>
    </row>
    <row r="181" ht="15.75" customHeight="1">
      <c r="B181" s="2"/>
      <c r="C181" s="2"/>
      <c r="E181" s="2" t="str">
        <f>IFERROR(__xludf.DUMMYFUNCTION("IFERROR(
 VLOOKUP(
   C181,
   FILTER(Vendors_Pricing!A:E, Vendors_Pricing!H:H=""Yes""),
   5,
   FALSE
 ),
 """"
)
"),"")</f>
        <v/>
      </c>
      <c r="F181" s="2">
        <f t="shared" si="1"/>
        <v>0</v>
      </c>
    </row>
    <row r="182" ht="15.75" customHeight="1">
      <c r="B182" s="2"/>
      <c r="C182" s="2"/>
      <c r="E182" s="2" t="str">
        <f>IFERROR(__xludf.DUMMYFUNCTION("IFERROR(
 VLOOKUP(
   C182,
   FILTER(Vendors_Pricing!A:E, Vendors_Pricing!H:H=""Yes""),
   5,
   FALSE
 ),
 """"
)
"),"")</f>
        <v/>
      </c>
      <c r="F182" s="2">
        <f t="shared" si="1"/>
        <v>0</v>
      </c>
    </row>
    <row r="183" ht="15.75" customHeight="1">
      <c r="B183" s="2"/>
      <c r="C183" s="2"/>
      <c r="E183" s="2" t="str">
        <f>IFERROR(__xludf.DUMMYFUNCTION("IFERROR(
 VLOOKUP(
   C183,
   FILTER(Vendors_Pricing!A:E, Vendors_Pricing!H:H=""Yes""),
   5,
   FALSE
 ),
 """"
)
"),"")</f>
        <v/>
      </c>
      <c r="F183" s="2">
        <f t="shared" si="1"/>
        <v>0</v>
      </c>
    </row>
    <row r="184" ht="15.75" customHeight="1">
      <c r="B184" s="2"/>
      <c r="C184" s="2"/>
      <c r="E184" s="2" t="str">
        <f>IFERROR(__xludf.DUMMYFUNCTION("IFERROR(
 VLOOKUP(
   C184,
   FILTER(Vendors_Pricing!A:E, Vendors_Pricing!H:H=""Yes""),
   5,
   FALSE
 ),
 """"
)
"),"")</f>
        <v/>
      </c>
      <c r="F184" s="2">
        <f t="shared" si="1"/>
        <v>0</v>
      </c>
    </row>
    <row r="185" ht="15.75" customHeight="1">
      <c r="B185" s="2"/>
      <c r="C185" s="2"/>
      <c r="E185" s="2" t="str">
        <f>IFERROR(__xludf.DUMMYFUNCTION("IFERROR(
 VLOOKUP(
   C185,
   FILTER(Vendors_Pricing!A:E, Vendors_Pricing!H:H=""Yes""),
   5,
   FALSE
 ),
 """"
)
"),"")</f>
        <v/>
      </c>
      <c r="F185" s="2">
        <f t="shared" si="1"/>
        <v>0</v>
      </c>
    </row>
    <row r="186" ht="15.75" customHeight="1">
      <c r="B186" s="2"/>
      <c r="C186" s="2"/>
      <c r="E186" s="2" t="str">
        <f>IFERROR(__xludf.DUMMYFUNCTION("IFERROR(
 VLOOKUP(
   C186,
   FILTER(Vendors_Pricing!A:E, Vendors_Pricing!H:H=""Yes""),
   5,
   FALSE
 ),
 """"
)
"),"")</f>
        <v/>
      </c>
      <c r="F186" s="2">
        <f t="shared" si="1"/>
        <v>0</v>
      </c>
    </row>
    <row r="187" ht="15.75" customHeight="1">
      <c r="B187" s="2"/>
      <c r="C187" s="2"/>
      <c r="E187" s="2" t="str">
        <f>IFERROR(__xludf.DUMMYFUNCTION("IFERROR(
 VLOOKUP(
   C187,
   FILTER(Vendors_Pricing!A:E, Vendors_Pricing!H:H=""Yes""),
   5,
   FALSE
 ),
 """"
)
"),"")</f>
        <v/>
      </c>
      <c r="F187" s="2">
        <f t="shared" si="1"/>
        <v>0</v>
      </c>
    </row>
    <row r="188" ht="15.75" customHeight="1">
      <c r="B188" s="2"/>
      <c r="C188" s="2"/>
      <c r="E188" s="2" t="str">
        <f>IFERROR(__xludf.DUMMYFUNCTION("IFERROR(
 VLOOKUP(
   C188,
   FILTER(Vendors_Pricing!A:E, Vendors_Pricing!H:H=""Yes""),
   5,
   FALSE
 ),
 """"
)
"),"")</f>
        <v/>
      </c>
      <c r="F188" s="2">
        <f t="shared" si="1"/>
        <v>0</v>
      </c>
    </row>
    <row r="189" ht="15.75" customHeight="1">
      <c r="B189" s="2"/>
      <c r="C189" s="2"/>
      <c r="E189" s="2" t="str">
        <f>IFERROR(__xludf.DUMMYFUNCTION("IFERROR(
 VLOOKUP(
   C189,
   FILTER(Vendors_Pricing!A:E, Vendors_Pricing!H:H=""Yes""),
   5,
   FALSE
 ),
 """"
)
"),"")</f>
        <v/>
      </c>
      <c r="F189" s="2">
        <f t="shared" si="1"/>
        <v>0</v>
      </c>
    </row>
    <row r="190" ht="15.75" customHeight="1">
      <c r="B190" s="2"/>
      <c r="C190" s="2"/>
      <c r="E190" s="2" t="str">
        <f>IFERROR(__xludf.DUMMYFUNCTION("IFERROR(
 VLOOKUP(
   C190,
   FILTER(Vendors_Pricing!A:E, Vendors_Pricing!H:H=""Yes""),
   5,
   FALSE
 ),
 """"
)
"),"")</f>
        <v/>
      </c>
      <c r="F190" s="2">
        <f t="shared" si="1"/>
        <v>0</v>
      </c>
    </row>
    <row r="191" ht="15.75" customHeight="1">
      <c r="B191" s="2"/>
      <c r="C191" s="2"/>
      <c r="E191" s="2" t="str">
        <f>IFERROR(__xludf.DUMMYFUNCTION("IFERROR(
 VLOOKUP(
   C191,
   FILTER(Vendors_Pricing!A:E, Vendors_Pricing!H:H=""Yes""),
   5,
   FALSE
 ),
 """"
)
"),"")</f>
        <v/>
      </c>
      <c r="F191" s="2">
        <f t="shared" si="1"/>
        <v>0</v>
      </c>
    </row>
    <row r="192" ht="15.75" customHeight="1">
      <c r="B192" s="2"/>
      <c r="C192" s="2"/>
      <c r="E192" s="2" t="str">
        <f>IFERROR(__xludf.DUMMYFUNCTION("IFERROR(
 VLOOKUP(
   C192,
   FILTER(Vendors_Pricing!A:E, Vendors_Pricing!H:H=""Yes""),
   5,
   FALSE
 ),
 """"
)
"),"")</f>
        <v/>
      </c>
      <c r="F192" s="2">
        <f t="shared" si="1"/>
        <v>0</v>
      </c>
    </row>
    <row r="193" ht="15.75" customHeight="1">
      <c r="B193" s="2"/>
      <c r="C193" s="2"/>
      <c r="E193" s="2" t="str">
        <f>IFERROR(__xludf.DUMMYFUNCTION("IFERROR(
 VLOOKUP(
   C193,
   FILTER(Vendors_Pricing!A:E, Vendors_Pricing!H:H=""Yes""),
   5,
   FALSE
 ),
 """"
)
"),"")</f>
        <v/>
      </c>
      <c r="F193" s="2">
        <f t="shared" si="1"/>
        <v>0</v>
      </c>
    </row>
    <row r="194" ht="15.75" customHeight="1">
      <c r="B194" s="2"/>
      <c r="C194" s="2"/>
      <c r="E194" s="2" t="str">
        <f>IFERROR(__xludf.DUMMYFUNCTION("IFERROR(
 VLOOKUP(
   C194,
   FILTER(Vendors_Pricing!A:E, Vendors_Pricing!H:H=""Yes""),
   5,
   FALSE
 ),
 """"
)
"),"")</f>
        <v/>
      </c>
      <c r="F194" s="2">
        <f t="shared" si="1"/>
        <v>0</v>
      </c>
    </row>
    <row r="195" ht="15.75" customHeight="1">
      <c r="B195" s="2"/>
      <c r="C195" s="2"/>
      <c r="E195" s="2" t="str">
        <f>IFERROR(__xludf.DUMMYFUNCTION("IFERROR(
 VLOOKUP(
   C195,
   FILTER(Vendors_Pricing!A:E, Vendors_Pricing!H:H=""Yes""),
   5,
   FALSE
 ),
 """"
)
"),"")</f>
        <v/>
      </c>
      <c r="F195" s="2">
        <f t="shared" si="1"/>
        <v>0</v>
      </c>
    </row>
    <row r="196" ht="15.75" customHeight="1">
      <c r="B196" s="2"/>
      <c r="C196" s="2"/>
      <c r="E196" s="2" t="str">
        <f>IFERROR(__xludf.DUMMYFUNCTION("IFERROR(
 VLOOKUP(
   C196,
   FILTER(Vendors_Pricing!A:E, Vendors_Pricing!H:H=""Yes""),
   5,
   FALSE
 ),
 """"
)
"),"")</f>
        <v/>
      </c>
      <c r="F196" s="2">
        <f t="shared" si="1"/>
        <v>0</v>
      </c>
    </row>
    <row r="197" ht="15.75" customHeight="1">
      <c r="B197" s="2"/>
      <c r="C197" s="2"/>
      <c r="E197" s="2" t="str">
        <f>IFERROR(__xludf.DUMMYFUNCTION("IFERROR(
 VLOOKUP(
   C197,
   FILTER(Vendors_Pricing!A:E, Vendors_Pricing!H:H=""Yes""),
   5,
   FALSE
 ),
 """"
)
"),"")</f>
        <v/>
      </c>
      <c r="F197" s="2">
        <f t="shared" si="1"/>
        <v>0</v>
      </c>
    </row>
    <row r="198" ht="15.75" customHeight="1">
      <c r="B198" s="2"/>
      <c r="C198" s="2"/>
      <c r="E198" s="2" t="str">
        <f>IFERROR(__xludf.DUMMYFUNCTION("IFERROR(
 VLOOKUP(
   C198,
   FILTER(Vendors_Pricing!A:E, Vendors_Pricing!H:H=""Yes""),
   5,
   FALSE
 ),
 """"
)
"),"")</f>
        <v/>
      </c>
      <c r="F198" s="2">
        <f t="shared" si="1"/>
        <v>0</v>
      </c>
    </row>
    <row r="199" ht="15.75" customHeight="1">
      <c r="B199" s="2"/>
      <c r="C199" s="2"/>
      <c r="E199" s="2" t="str">
        <f>IFERROR(__xludf.DUMMYFUNCTION("IFERROR(
 VLOOKUP(
   C199,
   FILTER(Vendors_Pricing!A:E, Vendors_Pricing!H:H=""Yes""),
   5,
   FALSE
 ),
 """"
)
"),"")</f>
        <v/>
      </c>
      <c r="F199" s="2">
        <f t="shared" si="1"/>
        <v>0</v>
      </c>
    </row>
    <row r="200" ht="15.75" customHeight="1">
      <c r="B200" s="2"/>
      <c r="C200" s="2"/>
      <c r="E200" s="2" t="str">
        <f>IFERROR(__xludf.DUMMYFUNCTION("IFERROR(
 VLOOKUP(
   C200,
   FILTER(Vendors_Pricing!A:E, Vendors_Pricing!H:H=""Yes""),
   5,
   FALSE
 ),
 """"
)
"),"")</f>
        <v/>
      </c>
      <c r="F200" s="2">
        <f t="shared" si="1"/>
        <v>0</v>
      </c>
    </row>
    <row r="201" ht="15.75" customHeight="1">
      <c r="B201" s="2"/>
      <c r="C201" s="2"/>
      <c r="E201" s="2" t="str">
        <f>IFERROR(__xludf.DUMMYFUNCTION("IFERROR(
 VLOOKUP(
   C201,
   FILTER(Vendors_Pricing!A:E, Vendors_Pricing!H:H=""Yes""),
   5,
   FALSE
 ),
 """"
)
"),"")</f>
        <v/>
      </c>
      <c r="F201" s="2">
        <f t="shared" si="1"/>
        <v>0</v>
      </c>
    </row>
    <row r="202" ht="15.75" customHeight="1">
      <c r="B202" s="2"/>
      <c r="C202" s="2"/>
      <c r="E202" s="2" t="str">
        <f>IFERROR(__xludf.DUMMYFUNCTION("IFERROR(
 VLOOKUP(
   C202,
   FILTER(Vendors_Pricing!A:E, Vendors_Pricing!H:H=""Yes""),
   5,
   FALSE
 ),
 """"
)
"),"")</f>
        <v/>
      </c>
      <c r="F202" s="2">
        <f t="shared" si="1"/>
        <v>0</v>
      </c>
    </row>
    <row r="203" ht="15.75" customHeight="1">
      <c r="B203" s="2"/>
      <c r="C203" s="2"/>
      <c r="E203" s="2" t="str">
        <f>IFERROR(__xludf.DUMMYFUNCTION("IFERROR(
 VLOOKUP(
   C203,
   FILTER(Vendors_Pricing!A:E, Vendors_Pricing!H:H=""Yes""),
   5,
   FALSE
 ),
 """"
)
"),"")</f>
        <v/>
      </c>
      <c r="F203" s="2">
        <f t="shared" si="1"/>
        <v>0</v>
      </c>
    </row>
    <row r="204" ht="15.75" customHeight="1">
      <c r="B204" s="2"/>
      <c r="C204" s="2"/>
      <c r="E204" s="2" t="str">
        <f>IFERROR(__xludf.DUMMYFUNCTION("IFERROR(
 VLOOKUP(
   C204,
   FILTER(Vendors_Pricing!A:E, Vendors_Pricing!H:H=""Yes""),
   5,
   FALSE
 ),
 """"
)
"),"")</f>
        <v/>
      </c>
      <c r="F204" s="2">
        <f t="shared" si="1"/>
        <v>0</v>
      </c>
    </row>
    <row r="205" ht="15.75" customHeight="1">
      <c r="B205" s="2"/>
      <c r="C205" s="2"/>
      <c r="E205" s="2" t="str">
        <f>IFERROR(__xludf.DUMMYFUNCTION("IFERROR(
 VLOOKUP(
   C205,
   FILTER(Vendors_Pricing!A:E, Vendors_Pricing!H:H=""Yes""),
   5,
   FALSE
 ),
 """"
)
"),"")</f>
        <v/>
      </c>
      <c r="F205" s="2">
        <f t="shared" si="1"/>
        <v>0</v>
      </c>
    </row>
    <row r="206" ht="15.75" customHeight="1">
      <c r="B206" s="2"/>
      <c r="C206" s="2"/>
      <c r="E206" s="2" t="str">
        <f>IFERROR(__xludf.DUMMYFUNCTION("IFERROR(
 VLOOKUP(
   C206,
   FILTER(Vendors_Pricing!A:E, Vendors_Pricing!H:H=""Yes""),
   5,
   FALSE
 ),
 """"
)
"),"")</f>
        <v/>
      </c>
      <c r="F206" s="2">
        <f t="shared" si="1"/>
        <v>0</v>
      </c>
    </row>
    <row r="207" ht="15.75" customHeight="1">
      <c r="B207" s="2"/>
      <c r="C207" s="2"/>
      <c r="E207" s="2" t="str">
        <f>IFERROR(__xludf.DUMMYFUNCTION("IFERROR(
 VLOOKUP(
   C207,
   FILTER(Vendors_Pricing!A:E, Vendors_Pricing!H:H=""Yes""),
   5,
   FALSE
 ),
 """"
)
"),"")</f>
        <v/>
      </c>
      <c r="F207" s="2">
        <f t="shared" si="1"/>
        <v>0</v>
      </c>
    </row>
    <row r="208" ht="15.75" customHeight="1">
      <c r="B208" s="2"/>
      <c r="C208" s="2"/>
      <c r="E208" s="2" t="str">
        <f>IFERROR(__xludf.DUMMYFUNCTION("IFERROR(
 VLOOKUP(
   C208,
   FILTER(Vendors_Pricing!A:E, Vendors_Pricing!H:H=""Yes""),
   5,
   FALSE
 ),
 """"
)
"),"")</f>
        <v/>
      </c>
      <c r="F208" s="2">
        <f t="shared" si="1"/>
        <v>0</v>
      </c>
    </row>
    <row r="209" ht="15.75" customHeight="1">
      <c r="B209" s="2"/>
      <c r="C209" s="2"/>
      <c r="E209" s="2" t="str">
        <f>IFERROR(__xludf.DUMMYFUNCTION("IFERROR(
 VLOOKUP(
   C209,
   FILTER(Vendors_Pricing!A:E, Vendors_Pricing!H:H=""Yes""),
   5,
   FALSE
 ),
 """"
)
"),"")</f>
        <v/>
      </c>
      <c r="F209" s="2">
        <f t="shared" si="1"/>
        <v>0</v>
      </c>
    </row>
    <row r="210" ht="15.75" customHeight="1">
      <c r="B210" s="2"/>
      <c r="C210" s="2"/>
      <c r="E210" s="2" t="str">
        <f>IFERROR(__xludf.DUMMYFUNCTION("IFERROR(
 VLOOKUP(
   C210,
   FILTER(Vendors_Pricing!A:E, Vendors_Pricing!H:H=""Yes""),
   5,
   FALSE
 ),
 """"
)
"),"")</f>
        <v/>
      </c>
      <c r="F210" s="2">
        <f t="shared" si="1"/>
        <v>0</v>
      </c>
    </row>
    <row r="211" ht="15.75" customHeight="1">
      <c r="B211" s="2"/>
      <c r="C211" s="2"/>
      <c r="E211" s="2" t="str">
        <f>IFERROR(__xludf.DUMMYFUNCTION("IFERROR(
 VLOOKUP(
   C211,
   FILTER(Vendors_Pricing!A:E, Vendors_Pricing!H:H=""Yes""),
   5,
   FALSE
 ),
 """"
)
"),"")</f>
        <v/>
      </c>
      <c r="F211" s="2">
        <f t="shared" si="1"/>
        <v>0</v>
      </c>
    </row>
    <row r="212" ht="15.75" customHeight="1">
      <c r="B212" s="2"/>
      <c r="C212" s="2"/>
      <c r="E212" s="2" t="str">
        <f>IFERROR(__xludf.DUMMYFUNCTION("IFERROR(
 VLOOKUP(
   C212,
   FILTER(Vendors_Pricing!A:E, Vendors_Pricing!H:H=""Yes""),
   5,
   FALSE
 ),
 """"
)
"),"")</f>
        <v/>
      </c>
      <c r="F212" s="2">
        <f t="shared" si="1"/>
        <v>0</v>
      </c>
    </row>
    <row r="213" ht="15.75" customHeight="1">
      <c r="B213" s="2"/>
      <c r="C213" s="2"/>
      <c r="E213" s="2" t="str">
        <f>IFERROR(__xludf.DUMMYFUNCTION("IFERROR(
 VLOOKUP(
   C213,
   FILTER(Vendors_Pricing!A:E, Vendors_Pricing!H:H=""Yes""),
   5,
   FALSE
 ),
 """"
)
"),"")</f>
        <v/>
      </c>
      <c r="F213" s="2">
        <f t="shared" si="1"/>
        <v>0</v>
      </c>
    </row>
    <row r="214" ht="15.75" customHeight="1">
      <c r="B214" s="2"/>
      <c r="C214" s="2"/>
      <c r="E214" s="2" t="str">
        <f>IFERROR(__xludf.DUMMYFUNCTION("IFERROR(
 VLOOKUP(
   C214,
   FILTER(Vendors_Pricing!A:E, Vendors_Pricing!H:H=""Yes""),
   5,
   FALSE
 ),
 """"
)
"),"")</f>
        <v/>
      </c>
      <c r="F214" s="2">
        <f t="shared" si="1"/>
        <v>0</v>
      </c>
    </row>
    <row r="215" ht="15.75" customHeight="1">
      <c r="B215" s="2"/>
      <c r="C215" s="2"/>
      <c r="E215" s="2" t="str">
        <f>IFERROR(__xludf.DUMMYFUNCTION("IFERROR(
 VLOOKUP(
   C215,
   FILTER(Vendors_Pricing!A:E, Vendors_Pricing!H:H=""Yes""),
   5,
   FALSE
 ),
 """"
)
"),"")</f>
        <v/>
      </c>
      <c r="F215" s="2">
        <f t="shared" si="1"/>
        <v>0</v>
      </c>
    </row>
    <row r="216" ht="15.75" customHeight="1">
      <c r="B216" s="2"/>
      <c r="C216" s="2"/>
      <c r="E216" s="2" t="str">
        <f>IFERROR(__xludf.DUMMYFUNCTION("IFERROR(
 VLOOKUP(
   C216,
   FILTER(Vendors_Pricing!A:E, Vendors_Pricing!H:H=""Yes""),
   5,
   FALSE
 ),
 """"
)
"),"")</f>
        <v/>
      </c>
      <c r="F216" s="2">
        <f t="shared" si="1"/>
        <v>0</v>
      </c>
    </row>
    <row r="217" ht="15.75" customHeight="1">
      <c r="B217" s="2"/>
      <c r="C217" s="2"/>
      <c r="E217" s="2" t="str">
        <f>IFERROR(__xludf.DUMMYFUNCTION("IFERROR(
 VLOOKUP(
   C217,
   FILTER(Vendors_Pricing!A:E, Vendors_Pricing!H:H=""Yes""),
   5,
   FALSE
 ),
 """"
)
"),"")</f>
        <v/>
      </c>
      <c r="F217" s="2">
        <f t="shared" si="1"/>
        <v>0</v>
      </c>
    </row>
    <row r="218" ht="15.75" customHeight="1">
      <c r="B218" s="2"/>
      <c r="C218" s="2"/>
      <c r="E218" s="2" t="str">
        <f>IFERROR(__xludf.DUMMYFUNCTION("IFERROR(
 VLOOKUP(
   C218,
   FILTER(Vendors_Pricing!A:E, Vendors_Pricing!H:H=""Yes""),
   5,
   FALSE
 ),
 """"
)
"),"")</f>
        <v/>
      </c>
      <c r="F218" s="2">
        <f t="shared" si="1"/>
        <v>0</v>
      </c>
    </row>
    <row r="219" ht="15.75" customHeight="1">
      <c r="B219" s="2"/>
      <c r="C219" s="2"/>
      <c r="E219" s="2" t="str">
        <f>IFERROR(__xludf.DUMMYFUNCTION("IFERROR(
 VLOOKUP(
   C219,
   FILTER(Vendors_Pricing!A:E, Vendors_Pricing!H:H=""Yes""),
   5,
   FALSE
 ),
 """"
)
"),"")</f>
        <v/>
      </c>
      <c r="F219" s="2">
        <f t="shared" si="1"/>
        <v>0</v>
      </c>
    </row>
    <row r="220" ht="15.75" customHeight="1">
      <c r="B220" s="2"/>
      <c r="C220" s="2"/>
      <c r="E220" s="2" t="str">
        <f>IFERROR(__xludf.DUMMYFUNCTION("IFERROR(
 VLOOKUP(
   C220,
   FILTER(Vendors_Pricing!A:E, Vendors_Pricing!H:H=""Yes""),
   5,
   FALSE
 ),
 """"
)
"),"")</f>
        <v/>
      </c>
      <c r="F220" s="2">
        <f t="shared" si="1"/>
        <v>0</v>
      </c>
    </row>
    <row r="221" ht="15.75" customHeight="1">
      <c r="B221" s="2"/>
      <c r="C221" s="2"/>
      <c r="E221" s="2" t="str">
        <f>IFERROR(__xludf.DUMMYFUNCTION("IFERROR(
 VLOOKUP(
   C221,
   FILTER(Vendors_Pricing!A:E, Vendors_Pricing!H:H=""Yes""),
   5,
   FALSE
 ),
 """"
)
"),"")</f>
        <v/>
      </c>
      <c r="F221" s="2">
        <f t="shared" si="1"/>
        <v>0</v>
      </c>
    </row>
    <row r="222" ht="15.75" customHeight="1">
      <c r="B222" s="2"/>
      <c r="C222" s="2"/>
      <c r="E222" s="2" t="str">
        <f>IFERROR(__xludf.DUMMYFUNCTION("IFERROR(
 VLOOKUP(
   C222,
   FILTER(Vendors_Pricing!A:E, Vendors_Pricing!H:H=""Yes""),
   5,
   FALSE
 ),
 """"
)
"),"")</f>
        <v/>
      </c>
      <c r="F222" s="2">
        <f t="shared" si="1"/>
        <v>0</v>
      </c>
    </row>
    <row r="223" ht="15.75" customHeight="1">
      <c r="B223" s="2"/>
      <c r="C223" s="2"/>
      <c r="E223" s="2" t="str">
        <f>IFERROR(__xludf.DUMMYFUNCTION("IFERROR(
 VLOOKUP(
   C223,
   FILTER(Vendors_Pricing!A:E, Vendors_Pricing!H:H=""Yes""),
   5,
   FALSE
 ),
 """"
)
"),"")</f>
        <v/>
      </c>
      <c r="F223" s="2">
        <f t="shared" si="1"/>
        <v>0</v>
      </c>
    </row>
    <row r="224" ht="15.75" customHeight="1">
      <c r="B224" s="2"/>
      <c r="C224" s="2"/>
      <c r="E224" s="2" t="str">
        <f>IFERROR(__xludf.DUMMYFUNCTION("IFERROR(
 VLOOKUP(
   C224,
   FILTER(Vendors_Pricing!A:E, Vendors_Pricing!H:H=""Yes""),
   5,
   FALSE
 ),
 """"
)
"),"")</f>
        <v/>
      </c>
      <c r="F224" s="2">
        <f t="shared" si="1"/>
        <v>0</v>
      </c>
    </row>
    <row r="225" ht="15.75" customHeight="1">
      <c r="B225" s="2"/>
      <c r="C225" s="2"/>
      <c r="E225" s="2" t="str">
        <f>IFERROR(__xludf.DUMMYFUNCTION("IFERROR(
 VLOOKUP(
   C225,
   FILTER(Vendors_Pricing!A:E, Vendors_Pricing!H:H=""Yes""),
   5,
   FALSE
 ),
 """"
)
"),"")</f>
        <v/>
      </c>
      <c r="F225" s="2">
        <f t="shared" si="1"/>
        <v>0</v>
      </c>
    </row>
    <row r="226" ht="15.75" customHeight="1">
      <c r="B226" s="2"/>
      <c r="C226" s="2"/>
      <c r="E226" s="2" t="str">
        <f>IFERROR(__xludf.DUMMYFUNCTION("IFERROR(
 VLOOKUP(
   C226,
   FILTER(Vendors_Pricing!A:E, Vendors_Pricing!H:H=""Yes""),
   5,
   FALSE
 ),
 """"
)
"),"")</f>
        <v/>
      </c>
      <c r="F226" s="2">
        <f t="shared" si="1"/>
        <v>0</v>
      </c>
    </row>
    <row r="227" ht="15.75" customHeight="1">
      <c r="B227" s="2"/>
      <c r="C227" s="2"/>
      <c r="E227" s="2" t="str">
        <f>IFERROR(__xludf.DUMMYFUNCTION("IFERROR(
 VLOOKUP(
   C227,
   FILTER(Vendors_Pricing!A:E, Vendors_Pricing!H:H=""Yes""),
   5,
   FALSE
 ),
 """"
)
"),"")</f>
        <v/>
      </c>
      <c r="F227" s="2">
        <f t="shared" si="1"/>
        <v>0</v>
      </c>
    </row>
    <row r="228" ht="15.75" customHeight="1">
      <c r="B228" s="2"/>
      <c r="C228" s="2"/>
      <c r="E228" s="2" t="str">
        <f>IFERROR(__xludf.DUMMYFUNCTION("IFERROR(
 VLOOKUP(
   C228,
   FILTER(Vendors_Pricing!A:E, Vendors_Pricing!H:H=""Yes""),
   5,
   FALSE
 ),
 """"
)
"),"")</f>
        <v/>
      </c>
      <c r="F228" s="2">
        <f t="shared" si="1"/>
        <v>0</v>
      </c>
    </row>
    <row r="229" ht="15.75" customHeight="1">
      <c r="B229" s="2"/>
      <c r="C229" s="2"/>
      <c r="E229" s="2" t="str">
        <f>IFERROR(__xludf.DUMMYFUNCTION("IFERROR(
 VLOOKUP(
   C229,
   FILTER(Vendors_Pricing!A:E, Vendors_Pricing!H:H=""Yes""),
   5,
   FALSE
 ),
 """"
)
"),"")</f>
        <v/>
      </c>
      <c r="F229" s="2">
        <f t="shared" si="1"/>
        <v>0</v>
      </c>
    </row>
    <row r="230" ht="15.75" customHeight="1">
      <c r="B230" s="2"/>
      <c r="C230" s="2"/>
      <c r="E230" s="2" t="str">
        <f>IFERROR(__xludf.DUMMYFUNCTION("IFERROR(
 VLOOKUP(
   C230,
   FILTER(Vendors_Pricing!A:E, Vendors_Pricing!H:H=""Yes""),
   5,
   FALSE
 ),
 """"
)
"),"")</f>
        <v/>
      </c>
      <c r="F230" s="2">
        <f t="shared" si="1"/>
        <v>0</v>
      </c>
    </row>
    <row r="231" ht="15.75" customHeight="1">
      <c r="B231" s="2"/>
      <c r="C231" s="2"/>
      <c r="E231" s="2" t="str">
        <f>IFERROR(__xludf.DUMMYFUNCTION("IFERROR(
 VLOOKUP(
   C231,
   FILTER(Vendors_Pricing!A:E, Vendors_Pricing!H:H=""Yes""),
   5,
   FALSE
 ),
 """"
)
"),"")</f>
        <v/>
      </c>
      <c r="F231" s="2">
        <f t="shared" si="1"/>
        <v>0</v>
      </c>
    </row>
    <row r="232" ht="15.75" customHeight="1">
      <c r="B232" s="2"/>
      <c r="C232" s="2"/>
      <c r="E232" s="2" t="str">
        <f>IFERROR(__xludf.DUMMYFUNCTION("IFERROR(
 VLOOKUP(
   C232,
   FILTER(Vendors_Pricing!A:E, Vendors_Pricing!H:H=""Yes""),
   5,
   FALSE
 ),
 """"
)
"),"")</f>
        <v/>
      </c>
      <c r="F232" s="2">
        <f t="shared" si="1"/>
        <v>0</v>
      </c>
    </row>
    <row r="233" ht="15.75" customHeight="1">
      <c r="B233" s="2"/>
      <c r="C233" s="2"/>
      <c r="E233" s="2" t="str">
        <f>IFERROR(__xludf.DUMMYFUNCTION("IFERROR(
 VLOOKUP(
   C233,
   FILTER(Vendors_Pricing!A:E, Vendors_Pricing!H:H=""Yes""),
   5,
   FALSE
 ),
 """"
)
"),"")</f>
        <v/>
      </c>
      <c r="F233" s="2">
        <f t="shared" si="1"/>
        <v>0</v>
      </c>
    </row>
    <row r="234" ht="15.75" customHeight="1">
      <c r="B234" s="2"/>
      <c r="C234" s="2"/>
      <c r="E234" s="2" t="str">
        <f>IFERROR(__xludf.DUMMYFUNCTION("IFERROR(
 VLOOKUP(
   C234,
   FILTER(Vendors_Pricing!A:E, Vendors_Pricing!H:H=""Yes""),
   5,
   FALSE
 ),
 """"
)
"),"")</f>
        <v/>
      </c>
      <c r="F234" s="2">
        <f t="shared" si="1"/>
        <v>0</v>
      </c>
    </row>
    <row r="235" ht="15.75" customHeight="1">
      <c r="B235" s="2"/>
      <c r="C235" s="2"/>
      <c r="E235" s="2" t="str">
        <f>IFERROR(__xludf.DUMMYFUNCTION("IFERROR(
 VLOOKUP(
   C235,
   FILTER(Vendors_Pricing!A:E, Vendors_Pricing!H:H=""Yes""),
   5,
   FALSE
 ),
 """"
)
"),"")</f>
        <v/>
      </c>
      <c r="F235" s="2">
        <f t="shared" si="1"/>
        <v>0</v>
      </c>
    </row>
    <row r="236" ht="15.75" customHeight="1">
      <c r="B236" s="2"/>
      <c r="C236" s="2"/>
      <c r="E236" s="2" t="str">
        <f>IFERROR(__xludf.DUMMYFUNCTION("IFERROR(
 VLOOKUP(
   C236,
   FILTER(Vendors_Pricing!A:E, Vendors_Pricing!H:H=""Yes""),
   5,
   FALSE
 ),
 """"
)
"),"")</f>
        <v/>
      </c>
      <c r="F236" s="2">
        <f t="shared" si="1"/>
        <v>0</v>
      </c>
    </row>
    <row r="237" ht="15.75" customHeight="1">
      <c r="B237" s="2"/>
      <c r="C237" s="2"/>
      <c r="E237" s="2" t="str">
        <f>IFERROR(__xludf.DUMMYFUNCTION("IFERROR(
 VLOOKUP(
   C237,
   FILTER(Vendors_Pricing!A:E, Vendors_Pricing!H:H=""Yes""),
   5,
   FALSE
 ),
 """"
)
"),"")</f>
        <v/>
      </c>
      <c r="F237" s="2">
        <f t="shared" si="1"/>
        <v>0</v>
      </c>
    </row>
    <row r="238" ht="15.75" customHeight="1">
      <c r="B238" s="2"/>
      <c r="C238" s="2"/>
      <c r="E238" s="2" t="str">
        <f>IFERROR(__xludf.DUMMYFUNCTION("IFERROR(
 VLOOKUP(
   C238,
   FILTER(Vendors_Pricing!A:E, Vendors_Pricing!H:H=""Yes""),
   5,
   FALSE
 ),
 """"
)
"),"")</f>
        <v/>
      </c>
      <c r="F238" s="2">
        <f t="shared" si="1"/>
        <v>0</v>
      </c>
    </row>
    <row r="239" ht="15.75" customHeight="1">
      <c r="B239" s="2"/>
      <c r="C239" s="2"/>
      <c r="E239" s="2" t="str">
        <f>IFERROR(__xludf.DUMMYFUNCTION("IFERROR(
 VLOOKUP(
   C239,
   FILTER(Vendors_Pricing!A:E, Vendors_Pricing!H:H=""Yes""),
   5,
   FALSE
 ),
 """"
)
"),"")</f>
        <v/>
      </c>
      <c r="F239" s="2">
        <f t="shared" si="1"/>
        <v>0</v>
      </c>
    </row>
    <row r="240" ht="15.75" customHeight="1">
      <c r="B240" s="2"/>
      <c r="C240" s="2"/>
      <c r="E240" s="2" t="str">
        <f>IFERROR(__xludf.DUMMYFUNCTION("IFERROR(
 VLOOKUP(
   C240,
   FILTER(Vendors_Pricing!A:E, Vendors_Pricing!H:H=""Yes""),
   5,
   FALSE
 ),
 """"
)
"),"")</f>
        <v/>
      </c>
      <c r="F240" s="2">
        <f t="shared" si="1"/>
        <v>0</v>
      </c>
    </row>
    <row r="241" ht="15.75" customHeight="1">
      <c r="B241" s="2"/>
      <c r="C241" s="2"/>
      <c r="E241" s="2" t="str">
        <f>IFERROR(__xludf.DUMMYFUNCTION("IFERROR(
 VLOOKUP(
   C241,
   FILTER(Vendors_Pricing!A:E, Vendors_Pricing!H:H=""Yes""),
   5,
   FALSE
 ),
 """"
)
"),"")</f>
        <v/>
      </c>
      <c r="F241" s="2">
        <f t="shared" si="1"/>
        <v>0</v>
      </c>
    </row>
    <row r="242" ht="15.75" customHeight="1">
      <c r="B242" s="2"/>
      <c r="C242" s="2"/>
      <c r="E242" s="2" t="str">
        <f>IFERROR(__xludf.DUMMYFUNCTION("IFERROR(
 VLOOKUP(
   C242,
   FILTER(Vendors_Pricing!A:E, Vendors_Pricing!H:H=""Yes""),
   5,
   FALSE
 ),
 """"
)
"),"")</f>
        <v/>
      </c>
      <c r="F242" s="2">
        <f t="shared" si="1"/>
        <v>0</v>
      </c>
    </row>
    <row r="243" ht="15.75" customHeight="1">
      <c r="B243" s="2"/>
      <c r="C243" s="2"/>
      <c r="E243" s="2" t="str">
        <f>IFERROR(__xludf.DUMMYFUNCTION("IFERROR(
 VLOOKUP(
   C243,
   FILTER(Vendors_Pricing!A:E, Vendors_Pricing!H:H=""Yes""),
   5,
   FALSE
 ),
 """"
)
"),"")</f>
        <v/>
      </c>
      <c r="F243" s="2">
        <f t="shared" si="1"/>
        <v>0</v>
      </c>
    </row>
    <row r="244" ht="15.75" customHeight="1">
      <c r="B244" s="2"/>
      <c r="C244" s="2"/>
      <c r="E244" s="2" t="str">
        <f>IFERROR(__xludf.DUMMYFUNCTION("IFERROR(
 VLOOKUP(
   C244,
   FILTER(Vendors_Pricing!A:E, Vendors_Pricing!H:H=""Yes""),
   5,
   FALSE
 ),
 """"
)
"),"")</f>
        <v/>
      </c>
      <c r="F244" s="2">
        <f t="shared" si="1"/>
        <v>0</v>
      </c>
    </row>
    <row r="245" ht="15.75" customHeight="1">
      <c r="B245" s="2"/>
      <c r="C245" s="2"/>
      <c r="E245" s="2" t="str">
        <f>IFERROR(__xludf.DUMMYFUNCTION("IFERROR(
 VLOOKUP(
   C245,
   FILTER(Vendors_Pricing!A:E, Vendors_Pricing!H:H=""Yes""),
   5,
   FALSE
 ),
 """"
)
"),"")</f>
        <v/>
      </c>
      <c r="F245" s="2">
        <f t="shared" si="1"/>
        <v>0</v>
      </c>
    </row>
    <row r="246" ht="15.75" customHeight="1">
      <c r="B246" s="2"/>
      <c r="C246" s="2"/>
      <c r="E246" s="2" t="str">
        <f>IFERROR(__xludf.DUMMYFUNCTION("IFERROR(
 VLOOKUP(
   C246,
   FILTER(Vendors_Pricing!A:E, Vendors_Pricing!H:H=""Yes""),
   5,
   FALSE
 ),
 """"
)
"),"")</f>
        <v/>
      </c>
      <c r="F246" s="2">
        <f t="shared" si="1"/>
        <v>0</v>
      </c>
    </row>
    <row r="247" ht="15.75" customHeight="1">
      <c r="B247" s="2"/>
      <c r="C247" s="2"/>
      <c r="E247" s="2" t="str">
        <f>IFERROR(__xludf.DUMMYFUNCTION("IFERROR(
 VLOOKUP(
   C247,
   FILTER(Vendors_Pricing!A:E, Vendors_Pricing!H:H=""Yes""),
   5,
   FALSE
 ),
 """"
)
"),"")</f>
        <v/>
      </c>
      <c r="F247" s="2">
        <f t="shared" si="1"/>
        <v>0</v>
      </c>
    </row>
    <row r="248" ht="15.75" customHeight="1">
      <c r="B248" s="2"/>
      <c r="C248" s="2"/>
      <c r="E248" s="2" t="str">
        <f>IFERROR(__xludf.DUMMYFUNCTION("IFERROR(
 VLOOKUP(
   C248,
   FILTER(Vendors_Pricing!A:E, Vendors_Pricing!H:H=""Yes""),
   5,
   FALSE
 ),
 """"
)
"),"")</f>
        <v/>
      </c>
      <c r="F248" s="2">
        <f t="shared" si="1"/>
        <v>0</v>
      </c>
    </row>
    <row r="249" ht="15.75" customHeight="1">
      <c r="B249" s="2"/>
      <c r="C249" s="2"/>
      <c r="E249" s="2" t="str">
        <f>IFERROR(__xludf.DUMMYFUNCTION("IFERROR(
 VLOOKUP(
   C249,
   FILTER(Vendors_Pricing!A:E, Vendors_Pricing!H:H=""Yes""),
   5,
   FALSE
 ),
 """"
)
"),"")</f>
        <v/>
      </c>
      <c r="F249" s="2">
        <f t="shared" si="1"/>
        <v>0</v>
      </c>
    </row>
    <row r="250" ht="15.75" customHeight="1">
      <c r="B250" s="2"/>
      <c r="C250" s="2"/>
      <c r="E250" s="2" t="str">
        <f>IFERROR(__xludf.DUMMYFUNCTION("IFERROR(
 VLOOKUP(
   C250,
   FILTER(Vendors_Pricing!A:E, Vendors_Pricing!H:H=""Yes""),
   5,
   FALSE
 ),
 """"
)
"),"")</f>
        <v/>
      </c>
      <c r="F250" s="2">
        <f t="shared" si="1"/>
        <v>0</v>
      </c>
    </row>
    <row r="251" ht="15.75" customHeight="1">
      <c r="B251" s="2"/>
      <c r="C251" s="2"/>
      <c r="E251" s="2" t="str">
        <f>IFERROR(__xludf.DUMMYFUNCTION("IFERROR(
 VLOOKUP(
   C251,
   FILTER(Vendors_Pricing!A:E, Vendors_Pricing!H:H=""Yes""),
   5,
   FALSE
 ),
 """"
)
"),"")</f>
        <v/>
      </c>
      <c r="F251" s="2">
        <f t="shared" si="1"/>
        <v>0</v>
      </c>
    </row>
    <row r="252" ht="15.75" customHeight="1">
      <c r="B252" s="2"/>
      <c r="C252" s="2"/>
      <c r="E252" s="2" t="str">
        <f>IFERROR(__xludf.DUMMYFUNCTION("IFERROR(
 VLOOKUP(
   C252,
   FILTER(Vendors_Pricing!A:E, Vendors_Pricing!H:H=""Yes""),
   5,
   FALSE
 ),
 """"
)
"),"")</f>
        <v/>
      </c>
      <c r="F252" s="2">
        <f t="shared" si="1"/>
        <v>0</v>
      </c>
    </row>
    <row r="253" ht="15.75" customHeight="1">
      <c r="B253" s="2"/>
      <c r="C253" s="2"/>
      <c r="E253" s="2" t="str">
        <f>IFERROR(__xludf.DUMMYFUNCTION("IFERROR(
 VLOOKUP(
   C253,
   FILTER(Vendors_Pricing!A:E, Vendors_Pricing!H:H=""Yes""),
   5,
   FALSE
 ),
 """"
)
"),"")</f>
        <v/>
      </c>
      <c r="F253" s="2">
        <f t="shared" si="1"/>
        <v>0</v>
      </c>
    </row>
    <row r="254" ht="15.75" customHeight="1">
      <c r="B254" s="2"/>
      <c r="C254" s="2"/>
      <c r="E254" s="2" t="str">
        <f>IFERROR(__xludf.DUMMYFUNCTION("IFERROR(
 VLOOKUP(
   C254,
   FILTER(Vendors_Pricing!A:E, Vendors_Pricing!H:H=""Yes""),
   5,
   FALSE
 ),
 """"
)
"),"")</f>
        <v/>
      </c>
      <c r="F254" s="2">
        <f t="shared" si="1"/>
        <v>0</v>
      </c>
    </row>
    <row r="255" ht="15.75" customHeight="1">
      <c r="B255" s="2"/>
      <c r="C255" s="2"/>
      <c r="E255" s="2" t="str">
        <f>IFERROR(__xludf.DUMMYFUNCTION("IFERROR(
 VLOOKUP(
   C255,
   FILTER(Vendors_Pricing!A:E, Vendors_Pricing!H:H=""Yes""),
   5,
   FALSE
 ),
 """"
)
"),"")</f>
        <v/>
      </c>
      <c r="F255" s="2">
        <f t="shared" si="1"/>
        <v>0</v>
      </c>
    </row>
    <row r="256" ht="15.75" customHeight="1">
      <c r="B256" s="2"/>
      <c r="C256" s="2"/>
      <c r="E256" s="2" t="str">
        <f>IFERROR(__xludf.DUMMYFUNCTION("IFERROR(
 VLOOKUP(
   C256,
   FILTER(Vendors_Pricing!A:E, Vendors_Pricing!H:H=""Yes""),
   5,
   FALSE
 ),
 """"
)
"),"")</f>
        <v/>
      </c>
      <c r="F256" s="2">
        <f t="shared" si="1"/>
        <v>0</v>
      </c>
    </row>
    <row r="257" ht="15.75" customHeight="1">
      <c r="B257" s="2"/>
      <c r="C257" s="2"/>
      <c r="E257" s="2" t="str">
        <f>IFERROR(__xludf.DUMMYFUNCTION("IFERROR(
 VLOOKUP(
   C257,
   FILTER(Vendors_Pricing!A:E, Vendors_Pricing!H:H=""Yes""),
   5,
   FALSE
 ),
 """"
)
"),"")</f>
        <v/>
      </c>
      <c r="F257" s="2">
        <f t="shared" si="1"/>
        <v>0</v>
      </c>
    </row>
    <row r="258" ht="15.75" customHeight="1">
      <c r="B258" s="2"/>
      <c r="C258" s="2"/>
      <c r="E258" s="2" t="str">
        <f>IFERROR(__xludf.DUMMYFUNCTION("IFERROR(
 VLOOKUP(
   C258,
   FILTER(Vendors_Pricing!A:E, Vendors_Pricing!H:H=""Yes""),
   5,
   FALSE
 ),
 """"
)
"),"")</f>
        <v/>
      </c>
      <c r="F258" s="2">
        <f t="shared" si="1"/>
        <v>0</v>
      </c>
    </row>
    <row r="259" ht="15.75" customHeight="1">
      <c r="B259" s="2"/>
      <c r="C259" s="2"/>
      <c r="E259" s="2" t="str">
        <f>IFERROR(__xludf.DUMMYFUNCTION("IFERROR(
 VLOOKUP(
   C259,
   FILTER(Vendors_Pricing!A:E, Vendors_Pricing!H:H=""Yes""),
   5,
   FALSE
 ),
 """"
)
"),"")</f>
        <v/>
      </c>
      <c r="F259" s="2">
        <f t="shared" si="1"/>
        <v>0</v>
      </c>
    </row>
    <row r="260" ht="15.75" customHeight="1">
      <c r="B260" s="2"/>
      <c r="C260" s="2"/>
      <c r="E260" s="2" t="str">
        <f>IFERROR(__xludf.DUMMYFUNCTION("IFERROR(
 VLOOKUP(
   C260,
   FILTER(Vendors_Pricing!A:E, Vendors_Pricing!H:H=""Yes""),
   5,
   FALSE
 ),
 """"
)
"),"")</f>
        <v/>
      </c>
      <c r="F260" s="2">
        <f t="shared" si="1"/>
        <v>0</v>
      </c>
    </row>
    <row r="261" ht="15.75" customHeight="1">
      <c r="B261" s="2"/>
      <c r="C261" s="2"/>
      <c r="E261" s="2" t="str">
        <f>IFERROR(__xludf.DUMMYFUNCTION("IFERROR(
 VLOOKUP(
   C261,
   FILTER(Vendors_Pricing!A:E, Vendors_Pricing!H:H=""Yes""),
   5,
   FALSE
 ),
 """"
)
"),"")</f>
        <v/>
      </c>
      <c r="F261" s="2">
        <f t="shared" si="1"/>
        <v>0</v>
      </c>
    </row>
    <row r="262" ht="15.75" customHeight="1">
      <c r="B262" s="2"/>
      <c r="C262" s="2"/>
      <c r="E262" s="2" t="str">
        <f>IFERROR(__xludf.DUMMYFUNCTION("IFERROR(
 VLOOKUP(
   C262,
   FILTER(Vendors_Pricing!A:E, Vendors_Pricing!H:H=""Yes""),
   5,
   FALSE
 ),
 """"
)
"),"")</f>
        <v/>
      </c>
      <c r="F262" s="2">
        <f t="shared" si="1"/>
        <v>0</v>
      </c>
    </row>
    <row r="263" ht="15.75" customHeight="1">
      <c r="B263" s="2"/>
      <c r="C263" s="2"/>
      <c r="E263" s="2" t="str">
        <f>IFERROR(__xludf.DUMMYFUNCTION("IFERROR(
 VLOOKUP(
   C263,
   FILTER(Vendors_Pricing!A:E, Vendors_Pricing!H:H=""Yes""),
   5,
   FALSE
 ),
 """"
)
"),"")</f>
        <v/>
      </c>
      <c r="F263" s="2">
        <f t="shared" si="1"/>
        <v>0</v>
      </c>
    </row>
    <row r="264" ht="15.75" customHeight="1">
      <c r="B264" s="2"/>
      <c r="C264" s="2"/>
      <c r="E264" s="2" t="str">
        <f>IFERROR(__xludf.DUMMYFUNCTION("IFERROR(
 VLOOKUP(
   C264,
   FILTER(Vendors_Pricing!A:E, Vendors_Pricing!H:H=""Yes""),
   5,
   FALSE
 ),
 """"
)
"),"")</f>
        <v/>
      </c>
      <c r="F264" s="2">
        <f t="shared" si="1"/>
        <v>0</v>
      </c>
    </row>
    <row r="265" ht="15.75" customHeight="1">
      <c r="B265" s="2"/>
      <c r="C265" s="2"/>
      <c r="E265" s="2" t="str">
        <f>IFERROR(__xludf.DUMMYFUNCTION("IFERROR(
 VLOOKUP(
   C265,
   FILTER(Vendors_Pricing!A:E, Vendors_Pricing!H:H=""Yes""),
   5,
   FALSE
 ),
 """"
)
"),"")</f>
        <v/>
      </c>
      <c r="F265" s="2">
        <f t="shared" si="1"/>
        <v>0</v>
      </c>
    </row>
    <row r="266" ht="15.75" customHeight="1">
      <c r="B266" s="2"/>
      <c r="C266" s="2"/>
      <c r="E266" s="2" t="str">
        <f>IFERROR(__xludf.DUMMYFUNCTION("IFERROR(
 VLOOKUP(
   C266,
   FILTER(Vendors_Pricing!A:E, Vendors_Pricing!H:H=""Yes""),
   5,
   FALSE
 ),
 """"
)
"),"")</f>
        <v/>
      </c>
      <c r="F266" s="2">
        <f t="shared" si="1"/>
        <v>0</v>
      </c>
    </row>
    <row r="267" ht="15.75" customHeight="1">
      <c r="B267" s="2"/>
      <c r="C267" s="2"/>
      <c r="E267" s="2" t="str">
        <f>IFERROR(__xludf.DUMMYFUNCTION("IFERROR(
 VLOOKUP(
   C267,
   FILTER(Vendors_Pricing!A:E, Vendors_Pricing!H:H=""Yes""),
   5,
   FALSE
 ),
 """"
)
"),"")</f>
        <v/>
      </c>
      <c r="F267" s="2">
        <f t="shared" si="1"/>
        <v>0</v>
      </c>
    </row>
    <row r="268" ht="15.75" customHeight="1">
      <c r="B268" s="2"/>
      <c r="C268" s="2"/>
      <c r="E268" s="2" t="str">
        <f>IFERROR(__xludf.DUMMYFUNCTION("IFERROR(
 VLOOKUP(
   C268,
   FILTER(Vendors_Pricing!A:E, Vendors_Pricing!H:H=""Yes""),
   5,
   FALSE
 ),
 """"
)
"),"")</f>
        <v/>
      </c>
      <c r="F268" s="2">
        <f t="shared" si="1"/>
        <v>0</v>
      </c>
    </row>
    <row r="269" ht="15.75" customHeight="1">
      <c r="B269" s="2"/>
      <c r="C269" s="2"/>
      <c r="E269" s="2" t="str">
        <f>IFERROR(__xludf.DUMMYFUNCTION("IFERROR(
 VLOOKUP(
   C269,
   FILTER(Vendors_Pricing!A:E, Vendors_Pricing!H:H=""Yes""),
   5,
   FALSE
 ),
 """"
)
"),"")</f>
        <v/>
      </c>
      <c r="F269" s="2">
        <f t="shared" si="1"/>
        <v>0</v>
      </c>
    </row>
    <row r="270" ht="15.75" customHeight="1">
      <c r="B270" s="2"/>
      <c r="C270" s="2"/>
      <c r="E270" s="2" t="str">
        <f>IFERROR(__xludf.DUMMYFUNCTION("IFERROR(
 VLOOKUP(
   C270,
   FILTER(Vendors_Pricing!A:E, Vendors_Pricing!H:H=""Yes""),
   5,
   FALSE
 ),
 """"
)
"),"")</f>
        <v/>
      </c>
      <c r="F270" s="2">
        <f t="shared" si="1"/>
        <v>0</v>
      </c>
    </row>
    <row r="271" ht="15.75" customHeight="1">
      <c r="B271" s="2"/>
      <c r="C271" s="2"/>
      <c r="E271" s="2" t="str">
        <f>IFERROR(__xludf.DUMMYFUNCTION("IFERROR(
 VLOOKUP(
   C271,
   FILTER(Vendors_Pricing!A:E, Vendors_Pricing!H:H=""Yes""),
   5,
   FALSE
 ),
 """"
)
"),"")</f>
        <v/>
      </c>
      <c r="F271" s="2">
        <f t="shared" si="1"/>
        <v>0</v>
      </c>
    </row>
    <row r="272" ht="15.75" customHeight="1">
      <c r="B272" s="2"/>
      <c r="C272" s="2"/>
      <c r="E272" s="2" t="str">
        <f>IFERROR(__xludf.DUMMYFUNCTION("IFERROR(
 VLOOKUP(
   C272,
   FILTER(Vendors_Pricing!A:E, Vendors_Pricing!H:H=""Yes""),
   5,
   FALSE
 ),
 """"
)
"),"")</f>
        <v/>
      </c>
      <c r="F272" s="2">
        <f t="shared" si="1"/>
        <v>0</v>
      </c>
    </row>
    <row r="273" ht="15.75" customHeight="1">
      <c r="B273" s="2"/>
      <c r="C273" s="2"/>
      <c r="E273" s="2" t="str">
        <f>IFERROR(__xludf.DUMMYFUNCTION("IFERROR(
 VLOOKUP(
   C273,
   FILTER(Vendors_Pricing!A:E, Vendors_Pricing!H:H=""Yes""),
   5,
   FALSE
 ),
 """"
)
"),"")</f>
        <v/>
      </c>
      <c r="F273" s="2">
        <f t="shared" si="1"/>
        <v>0</v>
      </c>
    </row>
    <row r="274" ht="15.75" customHeight="1">
      <c r="B274" s="2"/>
      <c r="C274" s="2"/>
      <c r="E274" s="2" t="str">
        <f>IFERROR(__xludf.DUMMYFUNCTION("IFERROR(
 VLOOKUP(
   C274,
   FILTER(Vendors_Pricing!A:E, Vendors_Pricing!H:H=""Yes""),
   5,
   FALSE
 ),
 """"
)
"),"")</f>
        <v/>
      </c>
      <c r="F274" s="2">
        <f t="shared" si="1"/>
        <v>0</v>
      </c>
    </row>
    <row r="275" ht="15.75" customHeight="1">
      <c r="B275" s="2"/>
      <c r="C275" s="2"/>
      <c r="E275" s="2" t="str">
        <f>IFERROR(__xludf.DUMMYFUNCTION("IFERROR(
 VLOOKUP(
   C275,
   FILTER(Vendors_Pricing!A:E, Vendors_Pricing!H:H=""Yes""),
   5,
   FALSE
 ),
 """"
)
"),"")</f>
        <v/>
      </c>
      <c r="F275" s="2">
        <f t="shared" si="1"/>
        <v>0</v>
      </c>
    </row>
    <row r="276" ht="15.75" customHeight="1">
      <c r="B276" s="2"/>
      <c r="C276" s="2"/>
      <c r="E276" s="2" t="str">
        <f>IFERROR(__xludf.DUMMYFUNCTION("IFERROR(
 VLOOKUP(
   C276,
   FILTER(Vendors_Pricing!A:E, Vendors_Pricing!H:H=""Yes""),
   5,
   FALSE
 ),
 """"
)
"),"")</f>
        <v/>
      </c>
      <c r="F276" s="2">
        <f t="shared" si="1"/>
        <v>0</v>
      </c>
    </row>
    <row r="277" ht="15.75" customHeight="1">
      <c r="B277" s="2"/>
      <c r="C277" s="2"/>
      <c r="E277" s="2" t="str">
        <f>IFERROR(__xludf.DUMMYFUNCTION("IFERROR(
 VLOOKUP(
   C277,
   FILTER(Vendors_Pricing!A:E, Vendors_Pricing!H:H=""Yes""),
   5,
   FALSE
 ),
 """"
)
"),"")</f>
        <v/>
      </c>
      <c r="F277" s="2">
        <f t="shared" si="1"/>
        <v>0</v>
      </c>
    </row>
    <row r="278" ht="15.75" customHeight="1">
      <c r="B278" s="2"/>
      <c r="C278" s="2"/>
      <c r="E278" s="2" t="str">
        <f>IFERROR(__xludf.DUMMYFUNCTION("IFERROR(
 VLOOKUP(
   C278,
   FILTER(Vendors_Pricing!A:E, Vendors_Pricing!H:H=""Yes""),
   5,
   FALSE
 ),
 """"
)
"),"")</f>
        <v/>
      </c>
      <c r="F278" s="2">
        <f t="shared" si="1"/>
        <v>0</v>
      </c>
    </row>
    <row r="279" ht="15.75" customHeight="1">
      <c r="B279" s="2"/>
      <c r="C279" s="2"/>
      <c r="E279" s="2" t="str">
        <f>IFERROR(__xludf.DUMMYFUNCTION("IFERROR(
 VLOOKUP(
   C279,
   FILTER(Vendors_Pricing!A:E, Vendors_Pricing!H:H=""Yes""),
   5,
   FALSE
 ),
 """"
)
"),"")</f>
        <v/>
      </c>
      <c r="F279" s="2">
        <f t="shared" si="1"/>
        <v>0</v>
      </c>
    </row>
    <row r="280" ht="15.75" customHeight="1">
      <c r="B280" s="2"/>
      <c r="C280" s="2"/>
      <c r="E280" s="2" t="str">
        <f>IFERROR(__xludf.DUMMYFUNCTION("IFERROR(
 VLOOKUP(
   C280,
   FILTER(Vendors_Pricing!A:E, Vendors_Pricing!H:H=""Yes""),
   5,
   FALSE
 ),
 """"
)
"),"")</f>
        <v/>
      </c>
      <c r="F280" s="2">
        <f t="shared" si="1"/>
        <v>0</v>
      </c>
    </row>
    <row r="281" ht="15.75" customHeight="1">
      <c r="B281" s="2"/>
      <c r="C281" s="2"/>
      <c r="E281" s="2" t="str">
        <f>IFERROR(__xludf.DUMMYFUNCTION("IFERROR(
 VLOOKUP(
   C281,
   FILTER(Vendors_Pricing!A:E, Vendors_Pricing!H:H=""Yes""),
   5,
   FALSE
 ),
 """"
)
"),"")</f>
        <v/>
      </c>
      <c r="F281" s="2">
        <f t="shared" si="1"/>
        <v>0</v>
      </c>
    </row>
    <row r="282" ht="15.75" customHeight="1">
      <c r="B282" s="2"/>
      <c r="C282" s="2"/>
      <c r="E282" s="2" t="str">
        <f>IFERROR(__xludf.DUMMYFUNCTION("IFERROR(
 VLOOKUP(
   C282,
   FILTER(Vendors_Pricing!A:E, Vendors_Pricing!H:H=""Yes""),
   5,
   FALSE
 ),
 """"
)
"),"")</f>
        <v/>
      </c>
      <c r="F282" s="2">
        <f t="shared" si="1"/>
        <v>0</v>
      </c>
    </row>
    <row r="283" ht="15.75" customHeight="1">
      <c r="B283" s="2"/>
      <c r="C283" s="2"/>
      <c r="E283" s="2" t="str">
        <f>IFERROR(__xludf.DUMMYFUNCTION("IFERROR(
 VLOOKUP(
   C283,
   FILTER(Vendors_Pricing!A:E, Vendors_Pricing!H:H=""Yes""),
   5,
   FALSE
 ),
 """"
)
"),"")</f>
        <v/>
      </c>
      <c r="F283" s="2">
        <f t="shared" si="1"/>
        <v>0</v>
      </c>
    </row>
    <row r="284" ht="15.75" customHeight="1">
      <c r="B284" s="2"/>
      <c r="C284" s="2"/>
      <c r="E284" s="2" t="str">
        <f>IFERROR(__xludf.DUMMYFUNCTION("IFERROR(
 VLOOKUP(
   C284,
   FILTER(Vendors_Pricing!A:E, Vendors_Pricing!H:H=""Yes""),
   5,
   FALSE
 ),
 """"
)
"),"")</f>
        <v/>
      </c>
      <c r="F284" s="2">
        <f t="shared" si="1"/>
        <v>0</v>
      </c>
    </row>
    <row r="285" ht="15.75" customHeight="1">
      <c r="B285" s="2"/>
      <c r="C285" s="2"/>
      <c r="E285" s="2" t="str">
        <f>IFERROR(__xludf.DUMMYFUNCTION("IFERROR(
 VLOOKUP(
   C285,
   FILTER(Vendors_Pricing!A:E, Vendors_Pricing!H:H=""Yes""),
   5,
   FALSE
 ),
 """"
)
"),"")</f>
        <v/>
      </c>
      <c r="F285" s="2">
        <f t="shared" si="1"/>
        <v>0</v>
      </c>
    </row>
    <row r="286" ht="15.75" customHeight="1">
      <c r="B286" s="2"/>
      <c r="C286" s="2"/>
      <c r="E286" s="2" t="str">
        <f>IFERROR(__xludf.DUMMYFUNCTION("IFERROR(
 VLOOKUP(
   C286,
   FILTER(Vendors_Pricing!A:E, Vendors_Pricing!H:H=""Yes""),
   5,
   FALSE
 ),
 """"
)
"),"")</f>
        <v/>
      </c>
      <c r="F286" s="2">
        <f t="shared" si="1"/>
        <v>0</v>
      </c>
    </row>
    <row r="287" ht="15.75" customHeight="1">
      <c r="B287" s="2"/>
      <c r="C287" s="2"/>
      <c r="E287" s="2" t="str">
        <f>IFERROR(__xludf.DUMMYFUNCTION("IFERROR(
 VLOOKUP(
   C287,
   FILTER(Vendors_Pricing!A:E, Vendors_Pricing!H:H=""Yes""),
   5,
   FALSE
 ),
 """"
)
"),"")</f>
        <v/>
      </c>
      <c r="F287" s="2">
        <f t="shared" si="1"/>
        <v>0</v>
      </c>
    </row>
    <row r="288" ht="15.75" customHeight="1">
      <c r="B288" s="2"/>
      <c r="C288" s="2"/>
      <c r="E288" s="2" t="str">
        <f>IFERROR(__xludf.DUMMYFUNCTION("IFERROR(
 VLOOKUP(
   C288,
   FILTER(Vendors_Pricing!A:E, Vendors_Pricing!H:H=""Yes""),
   5,
   FALSE
 ),
 """"
)
"),"")</f>
        <v/>
      </c>
      <c r="F288" s="2">
        <f t="shared" si="1"/>
        <v>0</v>
      </c>
    </row>
    <row r="289" ht="15.75" customHeight="1">
      <c r="B289" s="2"/>
      <c r="C289" s="2"/>
      <c r="E289" s="2" t="str">
        <f>IFERROR(__xludf.DUMMYFUNCTION("IFERROR(
 VLOOKUP(
   C289,
   FILTER(Vendors_Pricing!A:E, Vendors_Pricing!H:H=""Yes""),
   5,
   FALSE
 ),
 """"
)
"),"")</f>
        <v/>
      </c>
      <c r="F289" s="2">
        <f t="shared" si="1"/>
        <v>0</v>
      </c>
    </row>
    <row r="290" ht="15.75" customHeight="1">
      <c r="B290" s="2"/>
      <c r="C290" s="2"/>
      <c r="E290" s="2" t="str">
        <f>IFERROR(__xludf.DUMMYFUNCTION("IFERROR(
 VLOOKUP(
   C290,
   FILTER(Vendors_Pricing!A:E, Vendors_Pricing!H:H=""Yes""),
   5,
   FALSE
 ),
 """"
)
"),"")</f>
        <v/>
      </c>
      <c r="F290" s="2">
        <f t="shared" si="1"/>
        <v>0</v>
      </c>
    </row>
    <row r="291" ht="15.75" customHeight="1">
      <c r="B291" s="2"/>
      <c r="C291" s="2"/>
      <c r="E291" s="2" t="str">
        <f>IFERROR(__xludf.DUMMYFUNCTION("IFERROR(
 VLOOKUP(
   C291,
   FILTER(Vendors_Pricing!A:E, Vendors_Pricing!H:H=""Yes""),
   5,
   FALSE
 ),
 """"
)
"),"")</f>
        <v/>
      </c>
      <c r="F291" s="2">
        <f t="shared" si="1"/>
        <v>0</v>
      </c>
    </row>
    <row r="292" ht="15.75" customHeight="1">
      <c r="B292" s="2"/>
      <c r="C292" s="2"/>
      <c r="E292" s="2" t="str">
        <f>IFERROR(__xludf.DUMMYFUNCTION("IFERROR(
 VLOOKUP(
   C292,
   FILTER(Vendors_Pricing!A:E, Vendors_Pricing!H:H=""Yes""),
   5,
   FALSE
 ),
 """"
)
"),"")</f>
        <v/>
      </c>
      <c r="F292" s="2">
        <f t="shared" si="1"/>
        <v>0</v>
      </c>
    </row>
    <row r="293" ht="15.75" customHeight="1">
      <c r="B293" s="2"/>
      <c r="C293" s="2"/>
      <c r="E293" s="2" t="str">
        <f>IFERROR(__xludf.DUMMYFUNCTION("IFERROR(
 VLOOKUP(
   C293,
   FILTER(Vendors_Pricing!A:E, Vendors_Pricing!H:H=""Yes""),
   5,
   FALSE
 ),
 """"
)
"),"")</f>
        <v/>
      </c>
      <c r="F293" s="2">
        <f t="shared" si="1"/>
        <v>0</v>
      </c>
    </row>
    <row r="294" ht="15.75" customHeight="1">
      <c r="B294" s="2"/>
      <c r="C294" s="2"/>
      <c r="E294" s="2" t="str">
        <f>IFERROR(__xludf.DUMMYFUNCTION("IFERROR(
 VLOOKUP(
   C294,
   FILTER(Vendors_Pricing!A:E, Vendors_Pricing!H:H=""Yes""),
   5,
   FALSE
 ),
 """"
)
"),"")</f>
        <v/>
      </c>
      <c r="F294" s="2">
        <f t="shared" si="1"/>
        <v>0</v>
      </c>
    </row>
    <row r="295" ht="15.75" customHeight="1">
      <c r="B295" s="2"/>
      <c r="C295" s="2"/>
      <c r="E295" s="2" t="str">
        <f>IFERROR(__xludf.DUMMYFUNCTION("IFERROR(
 VLOOKUP(
   C295,
   FILTER(Vendors_Pricing!A:E, Vendors_Pricing!H:H=""Yes""),
   5,
   FALSE
 ),
 """"
)
"),"")</f>
        <v/>
      </c>
      <c r="F295" s="2">
        <f t="shared" si="1"/>
        <v>0</v>
      </c>
    </row>
    <row r="296" ht="15.75" customHeight="1">
      <c r="B296" s="2"/>
      <c r="C296" s="2"/>
      <c r="E296" s="2" t="str">
        <f>IFERROR(__xludf.DUMMYFUNCTION("IFERROR(
 VLOOKUP(
   C296,
   FILTER(Vendors_Pricing!A:E, Vendors_Pricing!H:H=""Yes""),
   5,
   FALSE
 ),
 """"
)
"),"")</f>
        <v/>
      </c>
      <c r="F296" s="2">
        <f t="shared" si="1"/>
        <v>0</v>
      </c>
    </row>
    <row r="297" ht="15.75" customHeight="1">
      <c r="B297" s="2"/>
      <c r="C297" s="2"/>
      <c r="E297" s="2" t="str">
        <f>IFERROR(__xludf.DUMMYFUNCTION("IFERROR(
 VLOOKUP(
   C297,
   FILTER(Vendors_Pricing!A:E, Vendors_Pricing!H:H=""Yes""),
   5,
   FALSE
 ),
 """"
)
"),"")</f>
        <v/>
      </c>
      <c r="F297" s="2">
        <f t="shared" si="1"/>
        <v>0</v>
      </c>
    </row>
    <row r="298" ht="15.75" customHeight="1">
      <c r="B298" s="2"/>
      <c r="C298" s="2"/>
      <c r="E298" s="2" t="str">
        <f>IFERROR(__xludf.DUMMYFUNCTION("IFERROR(
 VLOOKUP(
   C298,
   FILTER(Vendors_Pricing!A:E, Vendors_Pricing!H:H=""Yes""),
   5,
   FALSE
 ),
 """"
)
"),"")</f>
        <v/>
      </c>
      <c r="F298" s="2">
        <f t="shared" si="1"/>
        <v>0</v>
      </c>
    </row>
    <row r="299" ht="15.75" customHeight="1">
      <c r="B299" s="2"/>
      <c r="C299" s="2"/>
      <c r="E299" s="2" t="str">
        <f>IFERROR(__xludf.DUMMYFUNCTION("IFERROR(
 VLOOKUP(
   C299,
   FILTER(Vendors_Pricing!A:E, Vendors_Pricing!H:H=""Yes""),
   5,
   FALSE
 ),
 """"
)
"),"")</f>
        <v/>
      </c>
      <c r="F299" s="2">
        <f t="shared" si="1"/>
        <v>0</v>
      </c>
    </row>
    <row r="300" ht="15.75" customHeight="1">
      <c r="B300" s="2"/>
      <c r="C300" s="2"/>
      <c r="E300" s="2" t="str">
        <f>IFERROR(__xludf.DUMMYFUNCTION("IFERROR(
 VLOOKUP(
   C300,
   FILTER(Vendors_Pricing!A:E, Vendors_Pricing!H:H=""Yes""),
   5,
   FALSE
 ),
 """"
)
"),"")</f>
        <v/>
      </c>
      <c r="F300" s="2">
        <f t="shared" si="1"/>
        <v>0</v>
      </c>
    </row>
    <row r="301" ht="15.75" customHeight="1">
      <c r="B301" s="2"/>
      <c r="C301" s="2"/>
      <c r="E301" s="2" t="str">
        <f>IFERROR(__xludf.DUMMYFUNCTION("IFERROR(
 VLOOKUP(
   C301,
   FILTER(Vendors_Pricing!A:E, Vendors_Pricing!H:H=""Yes""),
   5,
   FALSE
 ),
 """"
)
"),"")</f>
        <v/>
      </c>
      <c r="F301" s="2">
        <f t="shared" si="1"/>
        <v>0</v>
      </c>
    </row>
    <row r="302" ht="15.75" customHeight="1">
      <c r="B302" s="2"/>
      <c r="C302" s="2"/>
      <c r="E302" s="2" t="str">
        <f>IFERROR(__xludf.DUMMYFUNCTION("IFERROR(
 VLOOKUP(
   C302,
   FILTER(Vendors_Pricing!A:E, Vendors_Pricing!H:H=""Yes""),
   5,
   FALSE
 ),
 """"
)
"),"")</f>
        <v/>
      </c>
      <c r="F302" s="2">
        <f t="shared" si="1"/>
        <v>0</v>
      </c>
    </row>
    <row r="303" ht="15.75" customHeight="1">
      <c r="B303" s="2"/>
      <c r="C303" s="2"/>
      <c r="E303" s="2" t="str">
        <f>IFERROR(__xludf.DUMMYFUNCTION("IFERROR(
 VLOOKUP(
   C303,
   FILTER(Vendors_Pricing!A:E, Vendors_Pricing!H:H=""Yes""),
   5,
   FALSE
 ),
 """"
)
"),"")</f>
        <v/>
      </c>
      <c r="F303" s="2">
        <f t="shared" si="1"/>
        <v>0</v>
      </c>
    </row>
    <row r="304" ht="15.75" customHeight="1">
      <c r="B304" s="2"/>
      <c r="C304" s="2"/>
      <c r="E304" s="2" t="str">
        <f>IFERROR(__xludf.DUMMYFUNCTION("IFERROR(
 VLOOKUP(
   C304,
   FILTER(Vendors_Pricing!A:E, Vendors_Pricing!H:H=""Yes""),
   5,
   FALSE
 ),
 """"
)
"),"")</f>
        <v/>
      </c>
      <c r="F304" s="2">
        <f t="shared" si="1"/>
        <v>0</v>
      </c>
    </row>
    <row r="305" ht="15.75" customHeight="1">
      <c r="B305" s="2"/>
      <c r="C305" s="2"/>
      <c r="E305" s="2" t="str">
        <f>IFERROR(__xludf.DUMMYFUNCTION("IFERROR(
 VLOOKUP(
   C305,
   FILTER(Vendors_Pricing!A:E, Vendors_Pricing!H:H=""Yes""),
   5,
   FALSE
 ),
 """"
)
"),"")</f>
        <v/>
      </c>
      <c r="F305" s="2">
        <f t="shared" si="1"/>
        <v>0</v>
      </c>
    </row>
    <row r="306" ht="15.75" customHeight="1">
      <c r="B306" s="2"/>
      <c r="C306" s="2"/>
      <c r="E306" s="2" t="str">
        <f>IFERROR(__xludf.DUMMYFUNCTION("IFERROR(
 VLOOKUP(
   C306,
   FILTER(Vendors_Pricing!A:E, Vendors_Pricing!H:H=""Yes""),
   5,
   FALSE
 ),
 """"
)
"),"")</f>
        <v/>
      </c>
      <c r="F306" s="2">
        <f t="shared" si="1"/>
        <v>0</v>
      </c>
    </row>
    <row r="307" ht="15.75" customHeight="1">
      <c r="B307" s="2"/>
      <c r="C307" s="2"/>
      <c r="E307" s="2" t="str">
        <f>IFERROR(__xludf.DUMMYFUNCTION("IFERROR(
 VLOOKUP(
   C307,
   FILTER(Vendors_Pricing!A:E, Vendors_Pricing!H:H=""Yes""),
   5,
   FALSE
 ),
 """"
)
"),"")</f>
        <v/>
      </c>
      <c r="F307" s="2">
        <f t="shared" si="1"/>
        <v>0</v>
      </c>
    </row>
    <row r="308" ht="15.75" customHeight="1">
      <c r="B308" s="2"/>
      <c r="C308" s="2"/>
      <c r="E308" s="2" t="str">
        <f>IFERROR(__xludf.DUMMYFUNCTION("IFERROR(
 VLOOKUP(
   C308,
   FILTER(Vendors_Pricing!A:E, Vendors_Pricing!H:H=""Yes""),
   5,
   FALSE
 ),
 """"
)
"),"")</f>
        <v/>
      </c>
      <c r="F308" s="2">
        <f t="shared" si="1"/>
        <v>0</v>
      </c>
    </row>
    <row r="309" ht="15.75" customHeight="1">
      <c r="B309" s="2"/>
      <c r="C309" s="2"/>
      <c r="E309" s="2" t="str">
        <f>IFERROR(__xludf.DUMMYFUNCTION("IFERROR(
 VLOOKUP(
   C309,
   FILTER(Vendors_Pricing!A:E, Vendors_Pricing!H:H=""Yes""),
   5,
   FALSE
 ),
 """"
)
"),"")</f>
        <v/>
      </c>
      <c r="F309" s="2">
        <f t="shared" si="1"/>
        <v>0</v>
      </c>
    </row>
    <row r="310" ht="15.75" customHeight="1">
      <c r="B310" s="2"/>
      <c r="C310" s="2"/>
      <c r="E310" s="2" t="str">
        <f>IFERROR(__xludf.DUMMYFUNCTION("IFERROR(
 VLOOKUP(
   C310,
   FILTER(Vendors_Pricing!A:E, Vendors_Pricing!H:H=""Yes""),
   5,
   FALSE
 ),
 """"
)
"),"")</f>
        <v/>
      </c>
      <c r="F310" s="2">
        <f t="shared" si="1"/>
        <v>0</v>
      </c>
    </row>
    <row r="311" ht="15.75" customHeight="1">
      <c r="B311" s="2"/>
      <c r="C311" s="2"/>
      <c r="E311" s="2" t="str">
        <f>IFERROR(__xludf.DUMMYFUNCTION("IFERROR(
 VLOOKUP(
   C311,
   FILTER(Vendors_Pricing!A:E, Vendors_Pricing!H:H=""Yes""),
   5,
   FALSE
 ),
 """"
)
"),"")</f>
        <v/>
      </c>
      <c r="F311" s="2">
        <f t="shared" si="1"/>
        <v>0</v>
      </c>
    </row>
    <row r="312" ht="15.75" customHeight="1">
      <c r="B312" s="2"/>
      <c r="C312" s="2"/>
      <c r="E312" s="2" t="str">
        <f>IFERROR(__xludf.DUMMYFUNCTION("IFERROR(
 VLOOKUP(
   C312,
   FILTER(Vendors_Pricing!A:E, Vendors_Pricing!H:H=""Yes""),
   5,
   FALSE
 ),
 """"
)
"),"")</f>
        <v/>
      </c>
      <c r="F312" s="2">
        <f t="shared" si="1"/>
        <v>0</v>
      </c>
    </row>
    <row r="313" ht="15.75" customHeight="1">
      <c r="B313" s="2"/>
      <c r="C313" s="2"/>
      <c r="E313" s="2" t="str">
        <f>IFERROR(__xludf.DUMMYFUNCTION("IFERROR(
 VLOOKUP(
   C313,
   FILTER(Vendors_Pricing!A:E, Vendors_Pricing!H:H=""Yes""),
   5,
   FALSE
 ),
 """"
)
"),"")</f>
        <v/>
      </c>
      <c r="F313" s="2">
        <f t="shared" si="1"/>
        <v>0</v>
      </c>
    </row>
    <row r="314" ht="15.75" customHeight="1">
      <c r="B314" s="2"/>
      <c r="C314" s="2"/>
      <c r="E314" s="2" t="str">
        <f>IFERROR(__xludf.DUMMYFUNCTION("IFERROR(
 VLOOKUP(
   C314,
   FILTER(Vendors_Pricing!A:E, Vendors_Pricing!H:H=""Yes""),
   5,
   FALSE
 ),
 """"
)
"),"")</f>
        <v/>
      </c>
      <c r="F314" s="2">
        <f t="shared" si="1"/>
        <v>0</v>
      </c>
    </row>
    <row r="315" ht="15.75" customHeight="1">
      <c r="B315" s="2"/>
      <c r="C315" s="2"/>
      <c r="E315" s="2" t="str">
        <f>IFERROR(__xludf.DUMMYFUNCTION("IFERROR(
 VLOOKUP(
   C315,
   FILTER(Vendors_Pricing!A:E, Vendors_Pricing!H:H=""Yes""),
   5,
   FALSE
 ),
 """"
)
"),"")</f>
        <v/>
      </c>
      <c r="F315" s="2">
        <f t="shared" si="1"/>
        <v>0</v>
      </c>
    </row>
    <row r="316" ht="15.75" customHeight="1">
      <c r="B316" s="2"/>
      <c r="C316" s="2"/>
      <c r="E316" s="2" t="str">
        <f>IFERROR(__xludf.DUMMYFUNCTION("IFERROR(
 VLOOKUP(
   C316,
   FILTER(Vendors_Pricing!A:E, Vendors_Pricing!H:H=""Yes""),
   5,
   FALSE
 ),
 """"
)
"),"")</f>
        <v/>
      </c>
      <c r="F316" s="2">
        <f t="shared" si="1"/>
        <v>0</v>
      </c>
    </row>
    <row r="317" ht="15.75" customHeight="1">
      <c r="B317" s="2"/>
      <c r="C317" s="2"/>
      <c r="E317" s="2" t="str">
        <f>IFERROR(__xludf.DUMMYFUNCTION("IFERROR(
 VLOOKUP(
   C317,
   FILTER(Vendors_Pricing!A:E, Vendors_Pricing!H:H=""Yes""),
   5,
   FALSE
 ),
 """"
)
"),"")</f>
        <v/>
      </c>
      <c r="F317" s="2">
        <f t="shared" si="1"/>
        <v>0</v>
      </c>
    </row>
    <row r="318" ht="15.75" customHeight="1">
      <c r="B318" s="2"/>
      <c r="C318" s="2"/>
      <c r="E318" s="2" t="str">
        <f>IFERROR(__xludf.DUMMYFUNCTION("IFERROR(
 VLOOKUP(
   C318,
   FILTER(Vendors_Pricing!A:E, Vendors_Pricing!H:H=""Yes""),
   5,
   FALSE
 ),
 """"
)
"),"")</f>
        <v/>
      </c>
      <c r="F318" s="2">
        <f t="shared" si="1"/>
        <v>0</v>
      </c>
    </row>
    <row r="319" ht="15.75" customHeight="1">
      <c r="B319" s="2"/>
      <c r="C319" s="2"/>
      <c r="E319" s="2" t="str">
        <f>IFERROR(__xludf.DUMMYFUNCTION("IFERROR(
 VLOOKUP(
   C319,
   FILTER(Vendors_Pricing!A:E, Vendors_Pricing!H:H=""Yes""),
   5,
   FALSE
 ),
 """"
)
"),"")</f>
        <v/>
      </c>
      <c r="F319" s="2">
        <f t="shared" si="1"/>
        <v>0</v>
      </c>
    </row>
    <row r="320" ht="15.75" customHeight="1">
      <c r="B320" s="2"/>
      <c r="C320" s="2"/>
      <c r="E320" s="2" t="str">
        <f>IFERROR(__xludf.DUMMYFUNCTION("IFERROR(
 VLOOKUP(
   C320,
   FILTER(Vendors_Pricing!A:E, Vendors_Pricing!H:H=""Yes""),
   5,
   FALSE
 ),
 """"
)
"),"")</f>
        <v/>
      </c>
      <c r="F320" s="2">
        <f t="shared" si="1"/>
        <v>0</v>
      </c>
    </row>
    <row r="321" ht="15.75" customHeight="1">
      <c r="B321" s="2"/>
      <c r="C321" s="2"/>
      <c r="E321" s="2" t="str">
        <f>IFERROR(__xludf.DUMMYFUNCTION("IFERROR(
 VLOOKUP(
   C321,
   FILTER(Vendors_Pricing!A:E, Vendors_Pricing!H:H=""Yes""),
   5,
   FALSE
 ),
 """"
)
"),"")</f>
        <v/>
      </c>
      <c r="F321" s="2">
        <f t="shared" si="1"/>
        <v>0</v>
      </c>
    </row>
    <row r="322" ht="15.75" customHeight="1">
      <c r="B322" s="2"/>
      <c r="C322" s="2"/>
      <c r="E322" s="2" t="str">
        <f>IFERROR(__xludf.DUMMYFUNCTION("IFERROR(
 VLOOKUP(
   C322,
   FILTER(Vendors_Pricing!A:E, Vendors_Pricing!H:H=""Yes""),
   5,
   FALSE
 ),
 """"
)
"),"")</f>
        <v/>
      </c>
      <c r="F322" s="2">
        <f t="shared" si="1"/>
        <v>0</v>
      </c>
    </row>
    <row r="323" ht="15.75" customHeight="1">
      <c r="B323" s="2"/>
      <c r="C323" s="2"/>
      <c r="E323" s="2" t="str">
        <f>IFERROR(__xludf.DUMMYFUNCTION("IFERROR(
 VLOOKUP(
   C323,
   FILTER(Vendors_Pricing!A:E, Vendors_Pricing!H:H=""Yes""),
   5,
   FALSE
 ),
 """"
)
"),"")</f>
        <v/>
      </c>
      <c r="F323" s="2">
        <f t="shared" si="1"/>
        <v>0</v>
      </c>
    </row>
    <row r="324" ht="15.75" customHeight="1">
      <c r="B324" s="2"/>
      <c r="C324" s="2"/>
      <c r="E324" s="2" t="str">
        <f>IFERROR(__xludf.DUMMYFUNCTION("IFERROR(
 VLOOKUP(
   C324,
   FILTER(Vendors_Pricing!A:E, Vendors_Pricing!H:H=""Yes""),
   5,
   FALSE
 ),
 """"
)
"),"")</f>
        <v/>
      </c>
      <c r="F324" s="2">
        <f t="shared" si="1"/>
        <v>0</v>
      </c>
    </row>
    <row r="325" ht="15.75" customHeight="1">
      <c r="B325" s="2"/>
      <c r="C325" s="2"/>
      <c r="E325" s="2" t="str">
        <f>IFERROR(__xludf.DUMMYFUNCTION("IFERROR(
 VLOOKUP(
   C325,
   FILTER(Vendors_Pricing!A:E, Vendors_Pricing!H:H=""Yes""),
   5,
   FALSE
 ),
 """"
)
"),"")</f>
        <v/>
      </c>
      <c r="F325" s="2">
        <f t="shared" si="1"/>
        <v>0</v>
      </c>
    </row>
    <row r="326" ht="15.75" customHeight="1">
      <c r="B326" s="2"/>
      <c r="C326" s="2"/>
      <c r="E326" s="2" t="str">
        <f>IFERROR(__xludf.DUMMYFUNCTION("IFERROR(
 VLOOKUP(
   C326,
   FILTER(Vendors_Pricing!A:E, Vendors_Pricing!H:H=""Yes""),
   5,
   FALSE
 ),
 """"
)
"),"")</f>
        <v/>
      </c>
      <c r="F326" s="2">
        <f t="shared" si="1"/>
        <v>0</v>
      </c>
    </row>
    <row r="327" ht="15.75" customHeight="1">
      <c r="B327" s="2"/>
      <c r="C327" s="2"/>
      <c r="E327" s="2" t="str">
        <f>IFERROR(__xludf.DUMMYFUNCTION("IFERROR(
 VLOOKUP(
   C327,
   FILTER(Vendors_Pricing!A:E, Vendors_Pricing!H:H=""Yes""),
   5,
   FALSE
 ),
 """"
)
"),"")</f>
        <v/>
      </c>
      <c r="F327" s="2">
        <f t="shared" si="1"/>
        <v>0</v>
      </c>
    </row>
    <row r="328" ht="15.75" customHeight="1">
      <c r="B328" s="2"/>
      <c r="C328" s="2"/>
      <c r="E328" s="2" t="str">
        <f>IFERROR(__xludf.DUMMYFUNCTION("IFERROR(
 VLOOKUP(
   C328,
   FILTER(Vendors_Pricing!A:E, Vendors_Pricing!H:H=""Yes""),
   5,
   FALSE
 ),
 """"
)
"),"")</f>
        <v/>
      </c>
      <c r="F328" s="2">
        <f t="shared" si="1"/>
        <v>0</v>
      </c>
    </row>
    <row r="329" ht="15.75" customHeight="1">
      <c r="B329" s="2"/>
      <c r="C329" s="2"/>
      <c r="E329" s="2" t="str">
        <f>IFERROR(__xludf.DUMMYFUNCTION("IFERROR(
 VLOOKUP(
   C329,
   FILTER(Vendors_Pricing!A:E, Vendors_Pricing!H:H=""Yes""),
   5,
   FALSE
 ),
 """"
)
"),"")</f>
        <v/>
      </c>
      <c r="F329" s="2">
        <f t="shared" si="1"/>
        <v>0</v>
      </c>
    </row>
    <row r="330" ht="15.75" customHeight="1">
      <c r="B330" s="2"/>
      <c r="C330" s="2"/>
      <c r="E330" s="2" t="str">
        <f>IFERROR(__xludf.DUMMYFUNCTION("IFERROR(
 VLOOKUP(
   C330,
   FILTER(Vendors_Pricing!A:E, Vendors_Pricing!H:H=""Yes""),
   5,
   FALSE
 ),
 """"
)
"),"")</f>
        <v/>
      </c>
      <c r="F330" s="2">
        <f t="shared" si="1"/>
        <v>0</v>
      </c>
    </row>
    <row r="331" ht="15.75" customHeight="1">
      <c r="B331" s="2"/>
      <c r="C331" s="2"/>
      <c r="E331" s="2" t="str">
        <f>IFERROR(__xludf.DUMMYFUNCTION("IFERROR(
 VLOOKUP(
   C331,
   FILTER(Vendors_Pricing!A:E, Vendors_Pricing!H:H=""Yes""),
   5,
   FALSE
 ),
 """"
)
"),"")</f>
        <v/>
      </c>
      <c r="F331" s="2">
        <f t="shared" si="1"/>
        <v>0</v>
      </c>
    </row>
    <row r="332" ht="15.75" customHeight="1">
      <c r="B332" s="2"/>
      <c r="C332" s="2"/>
      <c r="E332" s="2" t="str">
        <f>IFERROR(__xludf.DUMMYFUNCTION("IFERROR(
 VLOOKUP(
   C332,
   FILTER(Vendors_Pricing!A:E, Vendors_Pricing!H:H=""Yes""),
   5,
   FALSE
 ),
 """"
)
"),"")</f>
        <v/>
      </c>
      <c r="F332" s="2">
        <f t="shared" si="1"/>
        <v>0</v>
      </c>
    </row>
    <row r="333" ht="15.75" customHeight="1">
      <c r="B333" s="2"/>
      <c r="C333" s="2"/>
      <c r="E333" s="2" t="str">
        <f>IFERROR(__xludf.DUMMYFUNCTION("IFERROR(
 VLOOKUP(
   C333,
   FILTER(Vendors_Pricing!A:E, Vendors_Pricing!H:H=""Yes""),
   5,
   FALSE
 ),
 """"
)
"),"")</f>
        <v/>
      </c>
      <c r="F333" s="2">
        <f t="shared" si="1"/>
        <v>0</v>
      </c>
    </row>
    <row r="334" ht="15.75" customHeight="1">
      <c r="B334" s="2"/>
      <c r="C334" s="2"/>
      <c r="E334" s="2" t="str">
        <f>IFERROR(__xludf.DUMMYFUNCTION("IFERROR(
 VLOOKUP(
   C334,
   FILTER(Vendors_Pricing!A:E, Vendors_Pricing!H:H=""Yes""),
   5,
   FALSE
 ),
 """"
)
"),"")</f>
        <v/>
      </c>
      <c r="F334" s="2">
        <f t="shared" si="1"/>
        <v>0</v>
      </c>
    </row>
    <row r="335" ht="15.75" customHeight="1">
      <c r="B335" s="2"/>
      <c r="C335" s="2"/>
      <c r="E335" s="2" t="str">
        <f>IFERROR(__xludf.DUMMYFUNCTION("IFERROR(
 VLOOKUP(
   C335,
   FILTER(Vendors_Pricing!A:E, Vendors_Pricing!H:H=""Yes""),
   5,
   FALSE
 ),
 """"
)
"),"")</f>
        <v/>
      </c>
      <c r="F335" s="2">
        <f t="shared" si="1"/>
        <v>0</v>
      </c>
    </row>
    <row r="336" ht="15.75" customHeight="1">
      <c r="B336" s="2"/>
      <c r="C336" s="2"/>
      <c r="E336" s="2" t="str">
        <f>IFERROR(__xludf.DUMMYFUNCTION("IFERROR(
 VLOOKUP(
   C336,
   FILTER(Vendors_Pricing!A:E, Vendors_Pricing!H:H=""Yes""),
   5,
   FALSE
 ),
 """"
)
"),"")</f>
        <v/>
      </c>
      <c r="F336" s="2">
        <f t="shared" si="1"/>
        <v>0</v>
      </c>
    </row>
    <row r="337" ht="15.75" customHeight="1">
      <c r="B337" s="2"/>
      <c r="C337" s="2"/>
      <c r="E337" s="2" t="str">
        <f>IFERROR(__xludf.DUMMYFUNCTION("IFERROR(
 VLOOKUP(
   C337,
   FILTER(Vendors_Pricing!A:E, Vendors_Pricing!H:H=""Yes""),
   5,
   FALSE
 ),
 """"
)
"),"")</f>
        <v/>
      </c>
      <c r="F337" s="2">
        <f t="shared" si="1"/>
        <v>0</v>
      </c>
    </row>
    <row r="338" ht="15.75" customHeight="1">
      <c r="B338" s="2"/>
      <c r="C338" s="2"/>
      <c r="E338" s="2" t="str">
        <f>IFERROR(__xludf.DUMMYFUNCTION("IFERROR(
 VLOOKUP(
   C338,
   FILTER(Vendors_Pricing!A:E, Vendors_Pricing!H:H=""Yes""),
   5,
   FALSE
 ),
 """"
)
"),"")</f>
        <v/>
      </c>
      <c r="F338" s="2">
        <f t="shared" si="1"/>
        <v>0</v>
      </c>
    </row>
    <row r="339" ht="15.75" customHeight="1">
      <c r="B339" s="2"/>
      <c r="C339" s="2"/>
      <c r="E339" s="2" t="str">
        <f>IFERROR(__xludf.DUMMYFUNCTION("IFERROR(
 VLOOKUP(
   C339,
   FILTER(Vendors_Pricing!A:E, Vendors_Pricing!H:H=""Yes""),
   5,
   FALSE
 ),
 """"
)
"),"")</f>
        <v/>
      </c>
      <c r="F339" s="2">
        <f t="shared" si="1"/>
        <v>0</v>
      </c>
    </row>
    <row r="340" ht="15.75" customHeight="1">
      <c r="B340" s="2"/>
      <c r="C340" s="2"/>
      <c r="E340" s="2" t="str">
        <f>IFERROR(__xludf.DUMMYFUNCTION("IFERROR(
 VLOOKUP(
   C340,
   FILTER(Vendors_Pricing!A:E, Vendors_Pricing!H:H=""Yes""),
   5,
   FALSE
 ),
 """"
)
"),"")</f>
        <v/>
      </c>
      <c r="F340" s="2">
        <f t="shared" si="1"/>
        <v>0</v>
      </c>
    </row>
    <row r="341" ht="15.75" customHeight="1">
      <c r="B341" s="2"/>
      <c r="C341" s="2"/>
      <c r="E341" s="2" t="str">
        <f>IFERROR(__xludf.DUMMYFUNCTION("IFERROR(
 VLOOKUP(
   C341,
   FILTER(Vendors_Pricing!A:E, Vendors_Pricing!H:H=""Yes""),
   5,
   FALSE
 ),
 """"
)
"),"")</f>
        <v/>
      </c>
      <c r="F341" s="2">
        <f t="shared" si="1"/>
        <v>0</v>
      </c>
    </row>
    <row r="342" ht="15.75" customHeight="1">
      <c r="B342" s="2"/>
      <c r="C342" s="2"/>
      <c r="E342" s="2" t="str">
        <f>IFERROR(__xludf.DUMMYFUNCTION("IFERROR(
 VLOOKUP(
   C342,
   FILTER(Vendors_Pricing!A:E, Vendors_Pricing!H:H=""Yes""),
   5,
   FALSE
 ),
 """"
)
"),"")</f>
        <v/>
      </c>
      <c r="F342" s="2">
        <f t="shared" si="1"/>
        <v>0</v>
      </c>
    </row>
    <row r="343" ht="15.75" customHeight="1">
      <c r="B343" s="2"/>
      <c r="C343" s="2"/>
      <c r="E343" s="2" t="str">
        <f>IFERROR(__xludf.DUMMYFUNCTION("IFERROR(
 VLOOKUP(
   C343,
   FILTER(Vendors_Pricing!A:E, Vendors_Pricing!H:H=""Yes""),
   5,
   FALSE
 ),
 """"
)
"),"")</f>
        <v/>
      </c>
      <c r="F343" s="2">
        <f t="shared" si="1"/>
        <v>0</v>
      </c>
    </row>
    <row r="344" ht="15.75" customHeight="1">
      <c r="B344" s="2"/>
      <c r="C344" s="2"/>
      <c r="E344" s="2" t="str">
        <f>IFERROR(__xludf.DUMMYFUNCTION("IFERROR(
 VLOOKUP(
   C344,
   FILTER(Vendors_Pricing!A:E, Vendors_Pricing!H:H=""Yes""),
   5,
   FALSE
 ),
 """"
)
"),"")</f>
        <v/>
      </c>
      <c r="F344" s="2">
        <f t="shared" si="1"/>
        <v>0</v>
      </c>
    </row>
    <row r="345" ht="15.75" customHeight="1">
      <c r="B345" s="2"/>
      <c r="C345" s="2"/>
      <c r="E345" s="2" t="str">
        <f>IFERROR(__xludf.DUMMYFUNCTION("IFERROR(
 VLOOKUP(
   C345,
   FILTER(Vendors_Pricing!A:E, Vendors_Pricing!H:H=""Yes""),
   5,
   FALSE
 ),
 """"
)
"),"")</f>
        <v/>
      </c>
      <c r="F345" s="2">
        <f t="shared" si="1"/>
        <v>0</v>
      </c>
    </row>
    <row r="346" ht="15.75" customHeight="1">
      <c r="B346" s="2"/>
      <c r="C346" s="2"/>
      <c r="E346" s="2" t="str">
        <f>IFERROR(__xludf.DUMMYFUNCTION("IFERROR(
 VLOOKUP(
   C346,
   FILTER(Vendors_Pricing!A:E, Vendors_Pricing!H:H=""Yes""),
   5,
   FALSE
 ),
 """"
)
"),"")</f>
        <v/>
      </c>
      <c r="F346" s="2">
        <f t="shared" si="1"/>
        <v>0</v>
      </c>
    </row>
    <row r="347" ht="15.75" customHeight="1">
      <c r="B347" s="2"/>
      <c r="C347" s="2"/>
      <c r="E347" s="2" t="str">
        <f>IFERROR(__xludf.DUMMYFUNCTION("IFERROR(
 VLOOKUP(
   C347,
   FILTER(Vendors_Pricing!A:E, Vendors_Pricing!H:H=""Yes""),
   5,
   FALSE
 ),
 """"
)
"),"")</f>
        <v/>
      </c>
      <c r="F347" s="2">
        <f t="shared" si="1"/>
        <v>0</v>
      </c>
    </row>
    <row r="348" ht="15.75" customHeight="1">
      <c r="B348" s="2"/>
      <c r="C348" s="2"/>
      <c r="E348" s="2" t="str">
        <f>IFERROR(__xludf.DUMMYFUNCTION("IFERROR(
 VLOOKUP(
   C348,
   FILTER(Vendors_Pricing!A:E, Vendors_Pricing!H:H=""Yes""),
   5,
   FALSE
 ),
 """"
)
"),"")</f>
        <v/>
      </c>
      <c r="F348" s="2">
        <f t="shared" si="1"/>
        <v>0</v>
      </c>
    </row>
    <row r="349" ht="15.75" customHeight="1">
      <c r="B349" s="2"/>
      <c r="C349" s="2"/>
      <c r="E349" s="2" t="str">
        <f>IFERROR(__xludf.DUMMYFUNCTION("IFERROR(
 VLOOKUP(
   C349,
   FILTER(Vendors_Pricing!A:E, Vendors_Pricing!H:H=""Yes""),
   5,
   FALSE
 ),
 """"
)
"),"")</f>
        <v/>
      </c>
      <c r="F349" s="2">
        <f t="shared" si="1"/>
        <v>0</v>
      </c>
    </row>
    <row r="350" ht="15.75" customHeight="1">
      <c r="B350" s="2"/>
      <c r="C350" s="2"/>
      <c r="E350" s="2" t="str">
        <f>IFERROR(__xludf.DUMMYFUNCTION("IFERROR(
 VLOOKUP(
   C350,
   FILTER(Vendors_Pricing!A:E, Vendors_Pricing!H:H=""Yes""),
   5,
   FALSE
 ),
 """"
)
"),"")</f>
        <v/>
      </c>
      <c r="F350" s="2">
        <f t="shared" si="1"/>
        <v>0</v>
      </c>
    </row>
    <row r="351" ht="15.75" customHeight="1">
      <c r="B351" s="2"/>
      <c r="C351" s="2"/>
      <c r="E351" s="2" t="str">
        <f>IFERROR(__xludf.DUMMYFUNCTION("IFERROR(
 VLOOKUP(
   C351,
   FILTER(Vendors_Pricing!A:E, Vendors_Pricing!H:H=""Yes""),
   5,
   FALSE
 ),
 """"
)
"),"")</f>
        <v/>
      </c>
      <c r="F351" s="2">
        <f t="shared" si="1"/>
        <v>0</v>
      </c>
    </row>
    <row r="352" ht="15.75" customHeight="1">
      <c r="B352" s="2"/>
      <c r="C352" s="2"/>
      <c r="E352" s="2" t="str">
        <f>IFERROR(__xludf.DUMMYFUNCTION("IFERROR(
 VLOOKUP(
   C352,
   FILTER(Vendors_Pricing!A:E, Vendors_Pricing!H:H=""Yes""),
   5,
   FALSE
 ),
 """"
)
"),"")</f>
        <v/>
      </c>
      <c r="F352" s="2">
        <f t="shared" si="1"/>
        <v>0</v>
      </c>
    </row>
    <row r="353" ht="15.75" customHeight="1">
      <c r="B353" s="2"/>
      <c r="C353" s="2"/>
      <c r="E353" s="2" t="str">
        <f>IFERROR(__xludf.DUMMYFUNCTION("IFERROR(
 VLOOKUP(
   C353,
   FILTER(Vendors_Pricing!A:E, Vendors_Pricing!H:H=""Yes""),
   5,
   FALSE
 ),
 """"
)
"),"")</f>
        <v/>
      </c>
      <c r="F353" s="2">
        <f t="shared" si="1"/>
        <v>0</v>
      </c>
    </row>
    <row r="354" ht="15.75" customHeight="1">
      <c r="B354" s="2"/>
      <c r="C354" s="2"/>
      <c r="E354" s="2" t="str">
        <f>IFERROR(__xludf.DUMMYFUNCTION("IFERROR(
 VLOOKUP(
   C354,
   FILTER(Vendors_Pricing!A:E, Vendors_Pricing!H:H=""Yes""),
   5,
   FALSE
 ),
 """"
)
"),"")</f>
        <v/>
      </c>
      <c r="F354" s="2">
        <f t="shared" si="1"/>
        <v>0</v>
      </c>
    </row>
    <row r="355" ht="15.75" customHeight="1">
      <c r="B355" s="2"/>
      <c r="C355" s="2"/>
      <c r="E355" s="2" t="str">
        <f>IFERROR(__xludf.DUMMYFUNCTION("IFERROR(
 VLOOKUP(
   C355,
   FILTER(Vendors_Pricing!A:E, Vendors_Pricing!H:H=""Yes""),
   5,
   FALSE
 ),
 """"
)
"),"")</f>
        <v/>
      </c>
      <c r="F355" s="2">
        <f t="shared" si="1"/>
        <v>0</v>
      </c>
    </row>
    <row r="356" ht="15.75" customHeight="1">
      <c r="B356" s="2"/>
      <c r="C356" s="2"/>
      <c r="E356" s="2" t="str">
        <f>IFERROR(__xludf.DUMMYFUNCTION("IFERROR(
 VLOOKUP(
   C356,
   FILTER(Vendors_Pricing!A:E, Vendors_Pricing!H:H=""Yes""),
   5,
   FALSE
 ),
 """"
)
"),"")</f>
        <v/>
      </c>
      <c r="F356" s="2">
        <f t="shared" si="1"/>
        <v>0</v>
      </c>
    </row>
    <row r="357" ht="15.75" customHeight="1">
      <c r="B357" s="2"/>
      <c r="C357" s="2"/>
      <c r="E357" s="2" t="str">
        <f>IFERROR(__xludf.DUMMYFUNCTION("IFERROR(
 VLOOKUP(
   C357,
   FILTER(Vendors_Pricing!A:E, Vendors_Pricing!H:H=""Yes""),
   5,
   FALSE
 ),
 """"
)
"),"")</f>
        <v/>
      </c>
      <c r="F357" s="2">
        <f t="shared" si="1"/>
        <v>0</v>
      </c>
    </row>
    <row r="358" ht="15.75" customHeight="1">
      <c r="B358" s="2"/>
      <c r="C358" s="2"/>
      <c r="E358" s="2" t="str">
        <f>IFERROR(__xludf.DUMMYFUNCTION("IFERROR(
 VLOOKUP(
   C358,
   FILTER(Vendors_Pricing!A:E, Vendors_Pricing!H:H=""Yes""),
   5,
   FALSE
 ),
 """"
)
"),"")</f>
        <v/>
      </c>
      <c r="F358" s="2">
        <f t="shared" si="1"/>
        <v>0</v>
      </c>
    </row>
    <row r="359" ht="15.75" customHeight="1">
      <c r="B359" s="2"/>
      <c r="C359" s="2"/>
      <c r="E359" s="2" t="str">
        <f>IFERROR(__xludf.DUMMYFUNCTION("IFERROR(
 VLOOKUP(
   C359,
   FILTER(Vendors_Pricing!A:E, Vendors_Pricing!H:H=""Yes""),
   5,
   FALSE
 ),
 """"
)
"),"")</f>
        <v/>
      </c>
      <c r="F359" s="2">
        <f t="shared" si="1"/>
        <v>0</v>
      </c>
    </row>
    <row r="360" ht="15.75" customHeight="1">
      <c r="B360" s="2"/>
      <c r="C360" s="2"/>
      <c r="E360" s="2" t="str">
        <f>IFERROR(__xludf.DUMMYFUNCTION("IFERROR(
 VLOOKUP(
   C360,
   FILTER(Vendors_Pricing!A:E, Vendors_Pricing!H:H=""Yes""),
   5,
   FALSE
 ),
 """"
)
"),"")</f>
        <v/>
      </c>
      <c r="F360" s="2">
        <f t="shared" si="1"/>
        <v>0</v>
      </c>
    </row>
    <row r="361" ht="15.75" customHeight="1">
      <c r="B361" s="2"/>
      <c r="C361" s="2"/>
      <c r="E361" s="2" t="str">
        <f>IFERROR(__xludf.DUMMYFUNCTION("IFERROR(
 VLOOKUP(
   C361,
   FILTER(Vendors_Pricing!A:E, Vendors_Pricing!H:H=""Yes""),
   5,
   FALSE
 ),
 """"
)
"),"")</f>
        <v/>
      </c>
      <c r="F361" s="2">
        <f t="shared" si="1"/>
        <v>0</v>
      </c>
    </row>
    <row r="362" ht="15.75" customHeight="1">
      <c r="B362" s="2"/>
      <c r="C362" s="2"/>
      <c r="E362" s="2" t="str">
        <f>IFERROR(__xludf.DUMMYFUNCTION("IFERROR(
 VLOOKUP(
   C362,
   FILTER(Vendors_Pricing!A:E, Vendors_Pricing!H:H=""Yes""),
   5,
   FALSE
 ),
 """"
)
"),"")</f>
        <v/>
      </c>
      <c r="F362" s="2">
        <f t="shared" si="1"/>
        <v>0</v>
      </c>
    </row>
    <row r="363" ht="15.75" customHeight="1">
      <c r="B363" s="2"/>
      <c r="C363" s="2"/>
      <c r="E363" s="2" t="str">
        <f>IFERROR(__xludf.DUMMYFUNCTION("IFERROR(
 VLOOKUP(
   C363,
   FILTER(Vendors_Pricing!A:E, Vendors_Pricing!H:H=""Yes""),
   5,
   FALSE
 ),
 """"
)
"),"")</f>
        <v/>
      </c>
      <c r="F363" s="2">
        <f t="shared" si="1"/>
        <v>0</v>
      </c>
    </row>
    <row r="364" ht="15.75" customHeight="1">
      <c r="B364" s="2"/>
      <c r="C364" s="2"/>
      <c r="E364" s="2" t="str">
        <f>IFERROR(__xludf.DUMMYFUNCTION("IFERROR(
 VLOOKUP(
   C364,
   FILTER(Vendors_Pricing!A:E, Vendors_Pricing!H:H=""Yes""),
   5,
   FALSE
 ),
 """"
)
"),"")</f>
        <v/>
      </c>
      <c r="F364" s="2">
        <f t="shared" si="1"/>
        <v>0</v>
      </c>
    </row>
    <row r="365" ht="15.75" customHeight="1">
      <c r="B365" s="2"/>
      <c r="C365" s="2"/>
      <c r="E365" s="2" t="str">
        <f>IFERROR(__xludf.DUMMYFUNCTION("IFERROR(
 VLOOKUP(
   C365,
   FILTER(Vendors_Pricing!A:E, Vendors_Pricing!H:H=""Yes""),
   5,
   FALSE
 ),
 """"
)
"),"")</f>
        <v/>
      </c>
      <c r="F365" s="2">
        <f t="shared" si="1"/>
        <v>0</v>
      </c>
    </row>
    <row r="366" ht="15.75" customHeight="1">
      <c r="B366" s="2"/>
      <c r="C366" s="2"/>
      <c r="E366" s="2" t="str">
        <f>IFERROR(__xludf.DUMMYFUNCTION("IFERROR(
 VLOOKUP(
   C366,
   FILTER(Vendors_Pricing!A:E, Vendors_Pricing!H:H=""Yes""),
   5,
   FALSE
 ),
 """"
)
"),"")</f>
        <v/>
      </c>
      <c r="F366" s="2">
        <f t="shared" si="1"/>
        <v>0</v>
      </c>
    </row>
    <row r="367" ht="15.75" customHeight="1">
      <c r="B367" s="2"/>
      <c r="C367" s="2"/>
      <c r="E367" s="2" t="str">
        <f>IFERROR(__xludf.DUMMYFUNCTION("IFERROR(
 VLOOKUP(
   C367,
   FILTER(Vendors_Pricing!A:E, Vendors_Pricing!H:H=""Yes""),
   5,
   FALSE
 ),
 """"
)
"),"")</f>
        <v/>
      </c>
      <c r="F367" s="2">
        <f t="shared" si="1"/>
        <v>0</v>
      </c>
    </row>
    <row r="368" ht="15.75" customHeight="1">
      <c r="B368" s="2"/>
      <c r="C368" s="2"/>
      <c r="E368" s="2" t="str">
        <f>IFERROR(__xludf.DUMMYFUNCTION("IFERROR(
 VLOOKUP(
   C368,
   FILTER(Vendors_Pricing!A:E, Vendors_Pricing!H:H=""Yes""),
   5,
   FALSE
 ),
 """"
)
"),"")</f>
        <v/>
      </c>
      <c r="F368" s="2">
        <f t="shared" si="1"/>
        <v>0</v>
      </c>
    </row>
    <row r="369" ht="15.75" customHeight="1">
      <c r="B369" s="2"/>
      <c r="C369" s="2"/>
      <c r="E369" s="2" t="str">
        <f>IFERROR(__xludf.DUMMYFUNCTION("IFERROR(
 VLOOKUP(
   C369,
   FILTER(Vendors_Pricing!A:E, Vendors_Pricing!H:H=""Yes""),
   5,
   FALSE
 ),
 """"
)
"),"")</f>
        <v/>
      </c>
      <c r="F369" s="2">
        <f t="shared" si="1"/>
        <v>0</v>
      </c>
    </row>
    <row r="370" ht="15.75" customHeight="1">
      <c r="B370" s="2"/>
      <c r="C370" s="2"/>
      <c r="E370" s="2" t="str">
        <f>IFERROR(__xludf.DUMMYFUNCTION("IFERROR(
 VLOOKUP(
   C370,
   FILTER(Vendors_Pricing!A:E, Vendors_Pricing!H:H=""Yes""),
   5,
   FALSE
 ),
 """"
)
"),"")</f>
        <v/>
      </c>
      <c r="F370" s="2">
        <f t="shared" si="1"/>
        <v>0</v>
      </c>
    </row>
    <row r="371" ht="15.75" customHeight="1">
      <c r="B371" s="2"/>
      <c r="C371" s="2"/>
      <c r="E371" s="2" t="str">
        <f>IFERROR(__xludf.DUMMYFUNCTION("IFERROR(
 VLOOKUP(
   C371,
   FILTER(Vendors_Pricing!A:E, Vendors_Pricing!H:H=""Yes""),
   5,
   FALSE
 ),
 """"
)
"),"")</f>
        <v/>
      </c>
      <c r="F371" s="2">
        <f t="shared" si="1"/>
        <v>0</v>
      </c>
    </row>
    <row r="372" ht="15.75" customHeight="1">
      <c r="B372" s="2"/>
      <c r="C372" s="2"/>
      <c r="E372" s="2" t="str">
        <f>IFERROR(__xludf.DUMMYFUNCTION("IFERROR(
 VLOOKUP(
   C372,
   FILTER(Vendors_Pricing!A:E, Vendors_Pricing!H:H=""Yes""),
   5,
   FALSE
 ),
 """"
)
"),"")</f>
        <v/>
      </c>
      <c r="F372" s="2">
        <f t="shared" si="1"/>
        <v>0</v>
      </c>
    </row>
    <row r="373" ht="15.75" customHeight="1">
      <c r="B373" s="2"/>
      <c r="C373" s="2"/>
      <c r="E373" s="2" t="str">
        <f>IFERROR(__xludf.DUMMYFUNCTION("IFERROR(
 VLOOKUP(
   C373,
   FILTER(Vendors_Pricing!A:E, Vendors_Pricing!H:H=""Yes""),
   5,
   FALSE
 ),
 """"
)
"),"")</f>
        <v/>
      </c>
      <c r="F373" s="2">
        <f t="shared" si="1"/>
        <v>0</v>
      </c>
    </row>
    <row r="374" ht="15.75" customHeight="1">
      <c r="B374" s="2"/>
      <c r="C374" s="2"/>
      <c r="E374" s="2" t="str">
        <f>IFERROR(__xludf.DUMMYFUNCTION("IFERROR(
 VLOOKUP(
   C374,
   FILTER(Vendors_Pricing!A:E, Vendors_Pricing!H:H=""Yes""),
   5,
   FALSE
 ),
 """"
)
"),"")</f>
        <v/>
      </c>
      <c r="F374" s="2">
        <f t="shared" si="1"/>
        <v>0</v>
      </c>
    </row>
    <row r="375" ht="15.75" customHeight="1">
      <c r="B375" s="2"/>
      <c r="C375" s="2"/>
      <c r="E375" s="2" t="str">
        <f>IFERROR(__xludf.DUMMYFUNCTION("IFERROR(
 VLOOKUP(
   C375,
   FILTER(Vendors_Pricing!A:E, Vendors_Pricing!H:H=""Yes""),
   5,
   FALSE
 ),
 """"
)
"),"")</f>
        <v/>
      </c>
      <c r="F375" s="2">
        <f t="shared" si="1"/>
        <v>0</v>
      </c>
    </row>
    <row r="376" ht="15.75" customHeight="1">
      <c r="B376" s="2"/>
      <c r="C376" s="2"/>
      <c r="E376" s="2" t="str">
        <f>IFERROR(__xludf.DUMMYFUNCTION("IFERROR(
 VLOOKUP(
   C376,
   FILTER(Vendors_Pricing!A:E, Vendors_Pricing!H:H=""Yes""),
   5,
   FALSE
 ),
 """"
)
"),"")</f>
        <v/>
      </c>
      <c r="F376" s="2">
        <f t="shared" si="1"/>
        <v>0</v>
      </c>
    </row>
    <row r="377" ht="15.75" customHeight="1">
      <c r="B377" s="2"/>
      <c r="C377" s="2"/>
      <c r="E377" s="2" t="str">
        <f>IFERROR(__xludf.DUMMYFUNCTION("IFERROR(
 VLOOKUP(
   C377,
   FILTER(Vendors_Pricing!A:E, Vendors_Pricing!H:H=""Yes""),
   5,
   FALSE
 ),
 """"
)
"),"")</f>
        <v/>
      </c>
      <c r="F377" s="2">
        <f t="shared" si="1"/>
        <v>0</v>
      </c>
    </row>
    <row r="378" ht="15.75" customHeight="1">
      <c r="B378" s="2"/>
      <c r="C378" s="2"/>
      <c r="E378" s="2" t="str">
        <f>IFERROR(__xludf.DUMMYFUNCTION("IFERROR(
 VLOOKUP(
   C378,
   FILTER(Vendors_Pricing!A:E, Vendors_Pricing!H:H=""Yes""),
   5,
   FALSE
 ),
 """"
)
"),"")</f>
        <v/>
      </c>
      <c r="F378" s="2">
        <f t="shared" si="1"/>
        <v>0</v>
      </c>
    </row>
    <row r="379" ht="15.75" customHeight="1">
      <c r="B379" s="2"/>
      <c r="C379" s="2"/>
      <c r="E379" s="2" t="str">
        <f>IFERROR(__xludf.DUMMYFUNCTION("IFERROR(
 VLOOKUP(
   C379,
   FILTER(Vendors_Pricing!A:E, Vendors_Pricing!H:H=""Yes""),
   5,
   FALSE
 ),
 """"
)
"),"")</f>
        <v/>
      </c>
      <c r="F379" s="2">
        <f t="shared" si="1"/>
        <v>0</v>
      </c>
    </row>
    <row r="380" ht="15.75" customHeight="1">
      <c r="B380" s="2"/>
      <c r="C380" s="2"/>
      <c r="E380" s="2" t="str">
        <f>IFERROR(__xludf.DUMMYFUNCTION("IFERROR(
 VLOOKUP(
   C380,
   FILTER(Vendors_Pricing!A:E, Vendors_Pricing!H:H=""Yes""),
   5,
   FALSE
 ),
 """"
)
"),"")</f>
        <v/>
      </c>
      <c r="F380" s="2">
        <f t="shared" si="1"/>
        <v>0</v>
      </c>
    </row>
    <row r="381" ht="15.75" customHeight="1">
      <c r="B381" s="2"/>
      <c r="C381" s="2"/>
      <c r="E381" s="2" t="str">
        <f>IFERROR(__xludf.DUMMYFUNCTION("IFERROR(
 VLOOKUP(
   C381,
   FILTER(Vendors_Pricing!A:E, Vendors_Pricing!H:H=""Yes""),
   5,
   FALSE
 ),
 """"
)
"),"")</f>
        <v/>
      </c>
      <c r="F381" s="2">
        <f t="shared" si="1"/>
        <v>0</v>
      </c>
    </row>
    <row r="382" ht="15.75" customHeight="1">
      <c r="B382" s="2"/>
      <c r="C382" s="2"/>
      <c r="E382" s="2" t="str">
        <f>IFERROR(__xludf.DUMMYFUNCTION("IFERROR(
 VLOOKUP(
   C382,
   FILTER(Vendors_Pricing!A:E, Vendors_Pricing!H:H=""Yes""),
   5,
   FALSE
 ),
 """"
)
"),"")</f>
        <v/>
      </c>
      <c r="F382" s="2">
        <f t="shared" si="1"/>
        <v>0</v>
      </c>
    </row>
    <row r="383" ht="15.75" customHeight="1">
      <c r="B383" s="2"/>
      <c r="C383" s="2"/>
      <c r="E383" s="2" t="str">
        <f>IFERROR(__xludf.DUMMYFUNCTION("IFERROR(
 VLOOKUP(
   C383,
   FILTER(Vendors_Pricing!A:E, Vendors_Pricing!H:H=""Yes""),
   5,
   FALSE
 ),
 """"
)
"),"")</f>
        <v/>
      </c>
      <c r="F383" s="2">
        <f t="shared" si="1"/>
        <v>0</v>
      </c>
    </row>
    <row r="384" ht="15.75" customHeight="1">
      <c r="B384" s="2"/>
      <c r="C384" s="2"/>
      <c r="E384" s="2" t="str">
        <f>IFERROR(__xludf.DUMMYFUNCTION("IFERROR(
 VLOOKUP(
   C384,
   FILTER(Vendors_Pricing!A:E, Vendors_Pricing!H:H=""Yes""),
   5,
   FALSE
 ),
 """"
)
"),"")</f>
        <v/>
      </c>
      <c r="F384" s="2">
        <f t="shared" si="1"/>
        <v>0</v>
      </c>
    </row>
    <row r="385" ht="15.75" customHeight="1">
      <c r="B385" s="2"/>
      <c r="C385" s="2"/>
      <c r="E385" s="2" t="str">
        <f>IFERROR(__xludf.DUMMYFUNCTION("IFERROR(
 VLOOKUP(
   C385,
   FILTER(Vendors_Pricing!A:E, Vendors_Pricing!H:H=""Yes""),
   5,
   FALSE
 ),
 """"
)
"),"")</f>
        <v/>
      </c>
      <c r="F385" s="2">
        <f t="shared" si="1"/>
        <v>0</v>
      </c>
    </row>
    <row r="386" ht="15.75" customHeight="1">
      <c r="B386" s="2"/>
      <c r="C386" s="2"/>
      <c r="E386" s="2" t="str">
        <f>IFERROR(__xludf.DUMMYFUNCTION("IFERROR(
 VLOOKUP(
   C386,
   FILTER(Vendors_Pricing!A:E, Vendors_Pricing!H:H=""Yes""),
   5,
   FALSE
 ),
 """"
)
"),"")</f>
        <v/>
      </c>
      <c r="F386" s="2">
        <f t="shared" si="1"/>
        <v>0</v>
      </c>
    </row>
    <row r="387" ht="15.75" customHeight="1">
      <c r="B387" s="2"/>
      <c r="C387" s="2"/>
      <c r="E387" s="2" t="str">
        <f>IFERROR(__xludf.DUMMYFUNCTION("IFERROR(
 VLOOKUP(
   C387,
   FILTER(Vendors_Pricing!A:E, Vendors_Pricing!H:H=""Yes""),
   5,
   FALSE
 ),
 """"
)
"),"")</f>
        <v/>
      </c>
      <c r="F387" s="2">
        <f t="shared" si="1"/>
        <v>0</v>
      </c>
    </row>
    <row r="388" ht="15.75" customHeight="1">
      <c r="B388" s="2"/>
      <c r="C388" s="2"/>
      <c r="E388" s="2" t="str">
        <f>IFERROR(__xludf.DUMMYFUNCTION("IFERROR(
 VLOOKUP(
   C388,
   FILTER(Vendors_Pricing!A:E, Vendors_Pricing!H:H=""Yes""),
   5,
   FALSE
 ),
 """"
)
"),"")</f>
        <v/>
      </c>
      <c r="F388" s="2">
        <f t="shared" si="1"/>
        <v>0</v>
      </c>
    </row>
    <row r="389" ht="15.75" customHeight="1">
      <c r="B389" s="2"/>
      <c r="C389" s="2"/>
      <c r="E389" s="2" t="str">
        <f>IFERROR(__xludf.DUMMYFUNCTION("IFERROR(
 VLOOKUP(
   C389,
   FILTER(Vendors_Pricing!A:E, Vendors_Pricing!H:H=""Yes""),
   5,
   FALSE
 ),
 """"
)
"),"")</f>
        <v/>
      </c>
      <c r="F389" s="2">
        <f t="shared" si="1"/>
        <v>0</v>
      </c>
    </row>
    <row r="390" ht="15.75" customHeight="1">
      <c r="B390" s="2"/>
      <c r="C390" s="2"/>
      <c r="E390" s="2" t="str">
        <f>IFERROR(__xludf.DUMMYFUNCTION("IFERROR(
 VLOOKUP(
   C390,
   FILTER(Vendors_Pricing!A:E, Vendors_Pricing!H:H=""Yes""),
   5,
   FALSE
 ),
 """"
)
"),"")</f>
        <v/>
      </c>
      <c r="F390" s="2">
        <f t="shared" si="1"/>
        <v>0</v>
      </c>
    </row>
    <row r="391" ht="15.75" customHeight="1">
      <c r="B391" s="2"/>
      <c r="C391" s="2"/>
      <c r="E391" s="2" t="str">
        <f>IFERROR(__xludf.DUMMYFUNCTION("IFERROR(
 VLOOKUP(
   C391,
   FILTER(Vendors_Pricing!A:E, Vendors_Pricing!H:H=""Yes""),
   5,
   FALSE
 ),
 """"
)
"),"")</f>
        <v/>
      </c>
      <c r="F391" s="2">
        <f t="shared" si="1"/>
        <v>0</v>
      </c>
    </row>
    <row r="392" ht="15.75" customHeight="1">
      <c r="B392" s="2"/>
      <c r="C392" s="2"/>
      <c r="E392" s="2" t="str">
        <f>IFERROR(__xludf.DUMMYFUNCTION("IFERROR(
 VLOOKUP(
   C392,
   FILTER(Vendors_Pricing!A:E, Vendors_Pricing!H:H=""Yes""),
   5,
   FALSE
 ),
 """"
)
"),"")</f>
        <v/>
      </c>
      <c r="F392" s="2">
        <f t="shared" si="1"/>
        <v>0</v>
      </c>
    </row>
    <row r="393" ht="15.75" customHeight="1">
      <c r="B393" s="2"/>
      <c r="C393" s="2"/>
      <c r="E393" s="2" t="str">
        <f>IFERROR(__xludf.DUMMYFUNCTION("IFERROR(
 VLOOKUP(
   C393,
   FILTER(Vendors_Pricing!A:E, Vendors_Pricing!H:H=""Yes""),
   5,
   FALSE
 ),
 """"
)
"),"")</f>
        <v/>
      </c>
      <c r="F393" s="2">
        <f t="shared" si="1"/>
        <v>0</v>
      </c>
    </row>
    <row r="394" ht="15.75" customHeight="1">
      <c r="B394" s="2"/>
      <c r="C394" s="2"/>
      <c r="E394" s="2" t="str">
        <f>IFERROR(__xludf.DUMMYFUNCTION("IFERROR(
 VLOOKUP(
   C394,
   FILTER(Vendors_Pricing!A:E, Vendors_Pricing!H:H=""Yes""),
   5,
   FALSE
 ),
 """"
)
"),"")</f>
        <v/>
      </c>
      <c r="F394" s="2">
        <f t="shared" si="1"/>
        <v>0</v>
      </c>
    </row>
    <row r="395" ht="15.75" customHeight="1">
      <c r="B395" s="2"/>
      <c r="C395" s="2"/>
      <c r="E395" s="2" t="str">
        <f>IFERROR(__xludf.DUMMYFUNCTION("IFERROR(
 VLOOKUP(
   C395,
   FILTER(Vendors_Pricing!A:E, Vendors_Pricing!H:H=""Yes""),
   5,
   FALSE
 ),
 """"
)
"),"")</f>
        <v/>
      </c>
      <c r="F395" s="2">
        <f t="shared" si="1"/>
        <v>0</v>
      </c>
    </row>
    <row r="396" ht="15.75" customHeight="1">
      <c r="B396" s="2"/>
      <c r="C396" s="2"/>
      <c r="E396" s="2" t="str">
        <f>IFERROR(__xludf.DUMMYFUNCTION("IFERROR(
 VLOOKUP(
   C396,
   FILTER(Vendors_Pricing!A:E, Vendors_Pricing!H:H=""Yes""),
   5,
   FALSE
 ),
 """"
)
"),"")</f>
        <v/>
      </c>
      <c r="F396" s="2">
        <f t="shared" si="1"/>
        <v>0</v>
      </c>
    </row>
    <row r="397" ht="15.75" customHeight="1">
      <c r="B397" s="2"/>
      <c r="C397" s="2"/>
      <c r="E397" s="2" t="str">
        <f>IFERROR(__xludf.DUMMYFUNCTION("IFERROR(
 VLOOKUP(
   C397,
   FILTER(Vendors_Pricing!A:E, Vendors_Pricing!H:H=""Yes""),
   5,
   FALSE
 ),
 """"
)
"),"")</f>
        <v/>
      </c>
      <c r="F397" s="2">
        <f t="shared" si="1"/>
        <v>0</v>
      </c>
    </row>
    <row r="398" ht="15.75" customHeight="1">
      <c r="B398" s="2"/>
      <c r="C398" s="2"/>
      <c r="E398" s="2" t="str">
        <f>IFERROR(__xludf.DUMMYFUNCTION("IFERROR(
 VLOOKUP(
   C398,
   FILTER(Vendors_Pricing!A:E, Vendors_Pricing!H:H=""Yes""),
   5,
   FALSE
 ),
 """"
)
"),"")</f>
        <v/>
      </c>
      <c r="F398" s="2">
        <f t="shared" si="1"/>
        <v>0</v>
      </c>
    </row>
    <row r="399" ht="15.75" customHeight="1">
      <c r="B399" s="2"/>
      <c r="C399" s="2"/>
      <c r="E399" s="2" t="str">
        <f>IFERROR(__xludf.DUMMYFUNCTION("IFERROR(
 VLOOKUP(
   C399,
   FILTER(Vendors_Pricing!A:E, Vendors_Pricing!H:H=""Yes""),
   5,
   FALSE
 ),
 """"
)
"),"")</f>
        <v/>
      </c>
      <c r="F399" s="2">
        <f t="shared" si="1"/>
        <v>0</v>
      </c>
    </row>
    <row r="400" ht="15.75" customHeight="1">
      <c r="B400" s="2"/>
      <c r="C400" s="2"/>
      <c r="E400" s="2" t="str">
        <f>IFERROR(__xludf.DUMMYFUNCTION("IFERROR(
 VLOOKUP(
   C400,
   FILTER(Vendors_Pricing!A:E, Vendors_Pricing!H:H=""Yes""),
   5,
   FALSE
 ),
 """"
)
"),"")</f>
        <v/>
      </c>
      <c r="F400" s="2">
        <f t="shared" si="1"/>
        <v>0</v>
      </c>
    </row>
    <row r="401" ht="15.75" customHeight="1">
      <c r="B401" s="2"/>
      <c r="C401" s="2"/>
      <c r="E401" s="2" t="str">
        <f>IFERROR(__xludf.DUMMYFUNCTION("IFERROR(
 VLOOKUP(
   C401,
   FILTER(Vendors_Pricing!A:E, Vendors_Pricing!H:H=""Yes""),
   5,
   FALSE
 ),
 """"
)
"),"")</f>
        <v/>
      </c>
      <c r="F401" s="2">
        <f t="shared" si="1"/>
        <v>0</v>
      </c>
    </row>
    <row r="402" ht="15.75" customHeight="1">
      <c r="B402" s="2"/>
      <c r="C402" s="2"/>
      <c r="E402" s="2" t="str">
        <f>IFERROR(__xludf.DUMMYFUNCTION("IFERROR(
 VLOOKUP(
   C402,
   FILTER(Vendors_Pricing!A:E, Vendors_Pricing!H:H=""Yes""),
   5,
   FALSE
 ),
 """"
)
"),"")</f>
        <v/>
      </c>
      <c r="F402" s="2">
        <f t="shared" si="1"/>
        <v>0</v>
      </c>
    </row>
    <row r="403" ht="15.75" customHeight="1">
      <c r="B403" s="2"/>
      <c r="C403" s="2"/>
      <c r="E403" s="2" t="str">
        <f>IFERROR(__xludf.DUMMYFUNCTION("IFERROR(
 VLOOKUP(
   C403,
   FILTER(Vendors_Pricing!A:E, Vendors_Pricing!H:H=""Yes""),
   5,
   FALSE
 ),
 """"
)
"),"")</f>
        <v/>
      </c>
      <c r="F403" s="2">
        <f t="shared" si="1"/>
        <v>0</v>
      </c>
    </row>
    <row r="404" ht="15.75" customHeight="1">
      <c r="B404" s="2"/>
      <c r="C404" s="2"/>
      <c r="E404" s="2" t="str">
        <f>IFERROR(__xludf.DUMMYFUNCTION("IFERROR(
 VLOOKUP(
   C404,
   FILTER(Vendors_Pricing!A:E, Vendors_Pricing!H:H=""Yes""),
   5,
   FALSE
 ),
 """"
)
"),"")</f>
        <v/>
      </c>
      <c r="F404" s="2">
        <f t="shared" si="1"/>
        <v>0</v>
      </c>
    </row>
    <row r="405" ht="15.75" customHeight="1">
      <c r="B405" s="2"/>
      <c r="C405" s="2"/>
      <c r="E405" s="2" t="str">
        <f>IFERROR(__xludf.DUMMYFUNCTION("IFERROR(
 VLOOKUP(
   C405,
   FILTER(Vendors_Pricing!A:E, Vendors_Pricing!H:H=""Yes""),
   5,
   FALSE
 ),
 """"
)
"),"")</f>
        <v/>
      </c>
      <c r="F405" s="2">
        <f t="shared" si="1"/>
        <v>0</v>
      </c>
    </row>
    <row r="406" ht="15.75" customHeight="1">
      <c r="B406" s="2"/>
      <c r="C406" s="2"/>
      <c r="E406" s="2" t="str">
        <f>IFERROR(__xludf.DUMMYFUNCTION("IFERROR(
 VLOOKUP(
   C406,
   FILTER(Vendors_Pricing!A:E, Vendors_Pricing!H:H=""Yes""),
   5,
   FALSE
 ),
 """"
)
"),"")</f>
        <v/>
      </c>
      <c r="F406" s="2">
        <f t="shared" si="1"/>
        <v>0</v>
      </c>
    </row>
    <row r="407" ht="15.75" customHeight="1">
      <c r="B407" s="2"/>
      <c r="C407" s="2"/>
      <c r="E407" s="2" t="str">
        <f>IFERROR(__xludf.DUMMYFUNCTION("IFERROR(
 VLOOKUP(
   C407,
   FILTER(Vendors_Pricing!A:E, Vendors_Pricing!H:H=""Yes""),
   5,
   FALSE
 ),
 """"
)
"),"")</f>
        <v/>
      </c>
      <c r="F407" s="2">
        <f t="shared" si="1"/>
        <v>0</v>
      </c>
    </row>
    <row r="408" ht="15.75" customHeight="1">
      <c r="B408" s="2"/>
      <c r="C408" s="2"/>
      <c r="E408" s="2" t="str">
        <f>IFERROR(__xludf.DUMMYFUNCTION("IFERROR(
 VLOOKUP(
   C408,
   FILTER(Vendors_Pricing!A:E, Vendors_Pricing!H:H=""Yes""),
   5,
   FALSE
 ),
 """"
)
"),"")</f>
        <v/>
      </c>
      <c r="F408" s="2">
        <f t="shared" si="1"/>
        <v>0</v>
      </c>
    </row>
    <row r="409" ht="15.75" customHeight="1">
      <c r="B409" s="2"/>
      <c r="C409" s="2"/>
      <c r="E409" s="2" t="str">
        <f>IFERROR(__xludf.DUMMYFUNCTION("IFERROR(
 VLOOKUP(
   C409,
   FILTER(Vendors_Pricing!A:E, Vendors_Pricing!H:H=""Yes""),
   5,
   FALSE
 ),
 """"
)
"),"")</f>
        <v/>
      </c>
      <c r="F409" s="2">
        <f t="shared" si="1"/>
        <v>0</v>
      </c>
    </row>
    <row r="410" ht="15.75" customHeight="1">
      <c r="B410" s="2"/>
      <c r="C410" s="2"/>
      <c r="E410" s="2" t="str">
        <f>IFERROR(__xludf.DUMMYFUNCTION("IFERROR(
 VLOOKUP(
   C410,
   FILTER(Vendors_Pricing!A:E, Vendors_Pricing!H:H=""Yes""),
   5,
   FALSE
 ),
 """"
)
"),"")</f>
        <v/>
      </c>
      <c r="F410" s="2">
        <f t="shared" si="1"/>
        <v>0</v>
      </c>
    </row>
    <row r="411" ht="15.75" customHeight="1">
      <c r="B411" s="2"/>
      <c r="C411" s="2"/>
      <c r="E411" s="2" t="str">
        <f>IFERROR(__xludf.DUMMYFUNCTION("IFERROR(
 VLOOKUP(
   C411,
   FILTER(Vendors_Pricing!A:E, Vendors_Pricing!H:H=""Yes""),
   5,
   FALSE
 ),
 """"
)
"),"")</f>
        <v/>
      </c>
      <c r="F411" s="2">
        <f t="shared" si="1"/>
        <v>0</v>
      </c>
    </row>
    <row r="412" ht="15.75" customHeight="1">
      <c r="B412" s="2"/>
      <c r="C412" s="2"/>
      <c r="E412" s="2" t="str">
        <f>IFERROR(__xludf.DUMMYFUNCTION("IFERROR(
 VLOOKUP(
   C412,
   FILTER(Vendors_Pricing!A:E, Vendors_Pricing!H:H=""Yes""),
   5,
   FALSE
 ),
 """"
)
"),"")</f>
        <v/>
      </c>
      <c r="F412" s="2">
        <f t="shared" si="1"/>
        <v>0</v>
      </c>
    </row>
    <row r="413" ht="15.75" customHeight="1">
      <c r="B413" s="2"/>
      <c r="C413" s="2"/>
      <c r="E413" s="2" t="str">
        <f>IFERROR(__xludf.DUMMYFUNCTION("IFERROR(
 VLOOKUP(
   C413,
   FILTER(Vendors_Pricing!A:E, Vendors_Pricing!H:H=""Yes""),
   5,
   FALSE
 ),
 """"
)
"),"")</f>
        <v/>
      </c>
      <c r="F413" s="2">
        <f t="shared" si="1"/>
        <v>0</v>
      </c>
    </row>
    <row r="414" ht="15.75" customHeight="1">
      <c r="B414" s="2"/>
      <c r="C414" s="2"/>
      <c r="E414" s="2" t="str">
        <f>IFERROR(__xludf.DUMMYFUNCTION("IFERROR(
 VLOOKUP(
   C414,
   FILTER(Vendors_Pricing!A:E, Vendors_Pricing!H:H=""Yes""),
   5,
   FALSE
 ),
 """"
)
"),"")</f>
        <v/>
      </c>
      <c r="F414" s="2">
        <f t="shared" si="1"/>
        <v>0</v>
      </c>
    </row>
    <row r="415" ht="15.75" customHeight="1">
      <c r="B415" s="2"/>
      <c r="C415" s="2"/>
      <c r="E415" s="2" t="str">
        <f>IFERROR(__xludf.DUMMYFUNCTION("IFERROR(
 VLOOKUP(
   C415,
   FILTER(Vendors_Pricing!A:E, Vendors_Pricing!H:H=""Yes""),
   5,
   FALSE
 ),
 """"
)
"),"")</f>
        <v/>
      </c>
      <c r="F415" s="2">
        <f t="shared" si="1"/>
        <v>0</v>
      </c>
    </row>
    <row r="416" ht="15.75" customHeight="1">
      <c r="B416" s="2"/>
      <c r="C416" s="2"/>
      <c r="E416" s="2" t="str">
        <f>IFERROR(__xludf.DUMMYFUNCTION("IFERROR(
 VLOOKUP(
   C416,
   FILTER(Vendors_Pricing!A:E, Vendors_Pricing!H:H=""Yes""),
   5,
   FALSE
 ),
 """"
)
"),"")</f>
        <v/>
      </c>
      <c r="F416" s="2">
        <f t="shared" si="1"/>
        <v>0</v>
      </c>
    </row>
    <row r="417" ht="15.75" customHeight="1">
      <c r="B417" s="2"/>
      <c r="C417" s="2"/>
      <c r="E417" s="2" t="str">
        <f>IFERROR(__xludf.DUMMYFUNCTION("IFERROR(
 VLOOKUP(
   C417,
   FILTER(Vendors_Pricing!A:E, Vendors_Pricing!H:H=""Yes""),
   5,
   FALSE
 ),
 """"
)
"),"")</f>
        <v/>
      </c>
      <c r="F417" s="2">
        <f t="shared" si="1"/>
        <v>0</v>
      </c>
    </row>
    <row r="418" ht="15.75" customHeight="1">
      <c r="B418" s="2"/>
      <c r="C418" s="2"/>
      <c r="E418" s="2" t="str">
        <f>IFERROR(__xludf.DUMMYFUNCTION("IFERROR(
 VLOOKUP(
   C418,
   FILTER(Vendors_Pricing!A:E, Vendors_Pricing!H:H=""Yes""),
   5,
   FALSE
 ),
 """"
)
"),"")</f>
        <v/>
      </c>
      <c r="F418" s="2">
        <f t="shared" si="1"/>
        <v>0</v>
      </c>
    </row>
    <row r="419" ht="15.75" customHeight="1">
      <c r="B419" s="2"/>
      <c r="C419" s="2"/>
      <c r="E419" s="2" t="str">
        <f>IFERROR(__xludf.DUMMYFUNCTION("IFERROR(
 VLOOKUP(
   C419,
   FILTER(Vendors_Pricing!A:E, Vendors_Pricing!H:H=""Yes""),
   5,
   FALSE
 ),
 """"
)
"),"")</f>
        <v/>
      </c>
      <c r="F419" s="2">
        <f t="shared" si="1"/>
        <v>0</v>
      </c>
    </row>
    <row r="420" ht="15.75" customHeight="1">
      <c r="B420" s="2"/>
      <c r="C420" s="2"/>
      <c r="E420" s="2" t="str">
        <f>IFERROR(__xludf.DUMMYFUNCTION("IFERROR(
 VLOOKUP(
   C420,
   FILTER(Vendors_Pricing!A:E, Vendors_Pricing!H:H=""Yes""),
   5,
   FALSE
 ),
 """"
)
"),"")</f>
        <v/>
      </c>
      <c r="F420" s="2">
        <f t="shared" si="1"/>
        <v>0</v>
      </c>
    </row>
    <row r="421" ht="15.75" customHeight="1">
      <c r="B421" s="2"/>
      <c r="C421" s="2"/>
      <c r="E421" s="2" t="str">
        <f>IFERROR(__xludf.DUMMYFUNCTION("IFERROR(
 VLOOKUP(
   C421,
   FILTER(Vendors_Pricing!A:E, Vendors_Pricing!H:H=""Yes""),
   5,
   FALSE
 ),
 """"
)
"),"")</f>
        <v/>
      </c>
      <c r="F421" s="2">
        <f t="shared" si="1"/>
        <v>0</v>
      </c>
    </row>
    <row r="422" ht="15.75" customHeight="1">
      <c r="B422" s="2"/>
      <c r="C422" s="2"/>
      <c r="E422" s="2" t="str">
        <f>IFERROR(__xludf.DUMMYFUNCTION("IFERROR(
 VLOOKUP(
   C422,
   FILTER(Vendors_Pricing!A:E, Vendors_Pricing!H:H=""Yes""),
   5,
   FALSE
 ),
 """"
)
"),"")</f>
        <v/>
      </c>
      <c r="F422" s="2">
        <f t="shared" si="1"/>
        <v>0</v>
      </c>
    </row>
    <row r="423" ht="15.75" customHeight="1">
      <c r="B423" s="2"/>
      <c r="C423" s="2"/>
      <c r="E423" s="2" t="str">
        <f>IFERROR(__xludf.DUMMYFUNCTION("IFERROR(
 VLOOKUP(
   C423,
   FILTER(Vendors_Pricing!A:E, Vendors_Pricing!H:H=""Yes""),
   5,
   FALSE
 ),
 """"
)
"),"")</f>
        <v/>
      </c>
      <c r="F423" s="2">
        <f t="shared" si="1"/>
        <v>0</v>
      </c>
    </row>
    <row r="424" ht="15.75" customHeight="1">
      <c r="B424" s="2"/>
      <c r="C424" s="2"/>
      <c r="E424" s="2" t="str">
        <f>IFERROR(__xludf.DUMMYFUNCTION("IFERROR(
 VLOOKUP(
   C424,
   FILTER(Vendors_Pricing!A:E, Vendors_Pricing!H:H=""Yes""),
   5,
   FALSE
 ),
 """"
)
"),"")</f>
        <v/>
      </c>
      <c r="F424" s="2">
        <f t="shared" si="1"/>
        <v>0</v>
      </c>
    </row>
    <row r="425" ht="15.75" customHeight="1">
      <c r="B425" s="2"/>
      <c r="C425" s="2"/>
      <c r="E425" s="2" t="str">
        <f>IFERROR(__xludf.DUMMYFUNCTION("IFERROR(
 VLOOKUP(
   C425,
   FILTER(Vendors_Pricing!A:E, Vendors_Pricing!H:H=""Yes""),
   5,
   FALSE
 ),
 """"
)
"),"")</f>
        <v/>
      </c>
      <c r="F425" s="2">
        <f t="shared" si="1"/>
        <v>0</v>
      </c>
    </row>
    <row r="426" ht="15.75" customHeight="1">
      <c r="B426" s="2"/>
      <c r="C426" s="2"/>
      <c r="E426" s="2" t="str">
        <f>IFERROR(__xludf.DUMMYFUNCTION("IFERROR(
 VLOOKUP(
   C426,
   FILTER(Vendors_Pricing!A:E, Vendors_Pricing!H:H=""Yes""),
   5,
   FALSE
 ),
 """"
)
"),"")</f>
        <v/>
      </c>
      <c r="F426" s="2">
        <f t="shared" si="1"/>
        <v>0</v>
      </c>
    </row>
    <row r="427" ht="15.75" customHeight="1">
      <c r="B427" s="2"/>
      <c r="C427" s="2"/>
      <c r="E427" s="2" t="str">
        <f>IFERROR(__xludf.DUMMYFUNCTION("IFERROR(
 VLOOKUP(
   C427,
   FILTER(Vendors_Pricing!A:E, Vendors_Pricing!H:H=""Yes""),
   5,
   FALSE
 ),
 """"
)
"),"")</f>
        <v/>
      </c>
      <c r="F427" s="2">
        <f t="shared" si="1"/>
        <v>0</v>
      </c>
    </row>
    <row r="428" ht="15.75" customHeight="1">
      <c r="B428" s="2"/>
      <c r="C428" s="2"/>
      <c r="E428" s="2" t="str">
        <f>IFERROR(__xludf.DUMMYFUNCTION("IFERROR(
 VLOOKUP(
   C428,
   FILTER(Vendors_Pricing!A:E, Vendors_Pricing!H:H=""Yes""),
   5,
   FALSE
 ),
 """"
)
"),"")</f>
        <v/>
      </c>
      <c r="F428" s="2">
        <f t="shared" si="1"/>
        <v>0</v>
      </c>
    </row>
    <row r="429" ht="15.75" customHeight="1">
      <c r="B429" s="2"/>
      <c r="C429" s="2"/>
      <c r="E429" s="2" t="str">
        <f>IFERROR(__xludf.DUMMYFUNCTION("IFERROR(
 VLOOKUP(
   C429,
   FILTER(Vendors_Pricing!A:E, Vendors_Pricing!H:H=""Yes""),
   5,
   FALSE
 ),
 """"
)
"),"")</f>
        <v/>
      </c>
      <c r="F429" s="2">
        <f t="shared" si="1"/>
        <v>0</v>
      </c>
    </row>
    <row r="430" ht="15.75" customHeight="1">
      <c r="B430" s="2"/>
      <c r="C430" s="2"/>
      <c r="E430" s="2" t="str">
        <f>IFERROR(__xludf.DUMMYFUNCTION("IFERROR(
 VLOOKUP(
   C430,
   FILTER(Vendors_Pricing!A:E, Vendors_Pricing!H:H=""Yes""),
   5,
   FALSE
 ),
 """"
)
"),"")</f>
        <v/>
      </c>
      <c r="F430" s="2">
        <f t="shared" si="1"/>
        <v>0</v>
      </c>
    </row>
    <row r="431" ht="15.75" customHeight="1">
      <c r="B431" s="2"/>
      <c r="C431" s="2"/>
      <c r="E431" s="2" t="str">
        <f>IFERROR(__xludf.DUMMYFUNCTION("IFERROR(
 VLOOKUP(
   C431,
   FILTER(Vendors_Pricing!A:E, Vendors_Pricing!H:H=""Yes""),
   5,
   FALSE
 ),
 """"
)
"),"")</f>
        <v/>
      </c>
      <c r="F431" s="2">
        <f t="shared" si="1"/>
        <v>0</v>
      </c>
    </row>
    <row r="432" ht="15.75" customHeight="1">
      <c r="B432" s="2"/>
      <c r="C432" s="2"/>
      <c r="E432" s="2" t="str">
        <f>IFERROR(__xludf.DUMMYFUNCTION("IFERROR(
 VLOOKUP(
   C432,
   FILTER(Vendors_Pricing!A:E, Vendors_Pricing!H:H=""Yes""),
   5,
   FALSE
 ),
 """"
)
"),"")</f>
        <v/>
      </c>
      <c r="F432" s="2">
        <f t="shared" si="1"/>
        <v>0</v>
      </c>
    </row>
    <row r="433" ht="15.75" customHeight="1">
      <c r="B433" s="2"/>
      <c r="C433" s="2"/>
      <c r="E433" s="2" t="str">
        <f>IFERROR(__xludf.DUMMYFUNCTION("IFERROR(
 VLOOKUP(
   C433,
   FILTER(Vendors_Pricing!A:E, Vendors_Pricing!H:H=""Yes""),
   5,
   FALSE
 ),
 """"
)
"),"")</f>
        <v/>
      </c>
      <c r="F433" s="2">
        <f t="shared" si="1"/>
        <v>0</v>
      </c>
    </row>
    <row r="434" ht="15.75" customHeight="1">
      <c r="B434" s="2"/>
      <c r="C434" s="2"/>
      <c r="E434" s="2" t="str">
        <f>IFERROR(__xludf.DUMMYFUNCTION("IFERROR(
 VLOOKUP(
   C434,
   FILTER(Vendors_Pricing!A:E, Vendors_Pricing!H:H=""Yes""),
   5,
   FALSE
 ),
 """"
)
"),"")</f>
        <v/>
      </c>
      <c r="F434" s="2">
        <f t="shared" si="1"/>
        <v>0</v>
      </c>
    </row>
    <row r="435" ht="15.75" customHeight="1">
      <c r="B435" s="2"/>
      <c r="C435" s="2"/>
      <c r="E435" s="2" t="str">
        <f>IFERROR(__xludf.DUMMYFUNCTION("IFERROR(
 VLOOKUP(
   C435,
   FILTER(Vendors_Pricing!A:E, Vendors_Pricing!H:H=""Yes""),
   5,
   FALSE
 ),
 """"
)
"),"")</f>
        <v/>
      </c>
      <c r="F435" s="2">
        <f t="shared" si="1"/>
        <v>0</v>
      </c>
    </row>
    <row r="436" ht="15.75" customHeight="1">
      <c r="B436" s="2"/>
      <c r="C436" s="2"/>
      <c r="E436" s="2" t="str">
        <f>IFERROR(__xludf.DUMMYFUNCTION("IFERROR(
 VLOOKUP(
   C436,
   FILTER(Vendors_Pricing!A:E, Vendors_Pricing!H:H=""Yes""),
   5,
   FALSE
 ),
 """"
)
"),"")</f>
        <v/>
      </c>
      <c r="F436" s="2">
        <f t="shared" si="1"/>
        <v>0</v>
      </c>
    </row>
    <row r="437" ht="15.75" customHeight="1">
      <c r="B437" s="2"/>
      <c r="C437" s="2"/>
      <c r="E437" s="2" t="str">
        <f>IFERROR(__xludf.DUMMYFUNCTION("IFERROR(
 VLOOKUP(
   C437,
   FILTER(Vendors_Pricing!A:E, Vendors_Pricing!H:H=""Yes""),
   5,
   FALSE
 ),
 """"
)
"),"")</f>
        <v/>
      </c>
      <c r="F437" s="2">
        <f t="shared" si="1"/>
        <v>0</v>
      </c>
    </row>
    <row r="438" ht="15.75" customHeight="1">
      <c r="B438" s="2"/>
      <c r="C438" s="2"/>
      <c r="E438" s="2" t="str">
        <f>IFERROR(__xludf.DUMMYFUNCTION("IFERROR(
 VLOOKUP(
   C438,
   FILTER(Vendors_Pricing!A:E, Vendors_Pricing!H:H=""Yes""),
   5,
   FALSE
 ),
 """"
)
"),"")</f>
        <v/>
      </c>
      <c r="F438" s="2">
        <f t="shared" si="1"/>
        <v>0</v>
      </c>
    </row>
    <row r="439" ht="15.75" customHeight="1">
      <c r="B439" s="2"/>
      <c r="C439" s="2"/>
      <c r="E439" s="2" t="str">
        <f>IFERROR(__xludf.DUMMYFUNCTION("IFERROR(
 VLOOKUP(
   C439,
   FILTER(Vendors_Pricing!A:E, Vendors_Pricing!H:H=""Yes""),
   5,
   FALSE
 ),
 """"
)
"),"")</f>
        <v/>
      </c>
      <c r="F439" s="2">
        <f t="shared" si="1"/>
        <v>0</v>
      </c>
    </row>
    <row r="440" ht="15.75" customHeight="1">
      <c r="B440" s="2"/>
      <c r="C440" s="2"/>
      <c r="E440" s="2" t="str">
        <f>IFERROR(__xludf.DUMMYFUNCTION("IFERROR(
 VLOOKUP(
   C440,
   FILTER(Vendors_Pricing!A:E, Vendors_Pricing!H:H=""Yes""),
   5,
   FALSE
 ),
 """"
)
"),"")</f>
        <v/>
      </c>
      <c r="F440" s="2">
        <f t="shared" si="1"/>
        <v>0</v>
      </c>
    </row>
    <row r="441" ht="15.75" customHeight="1">
      <c r="B441" s="2"/>
      <c r="C441" s="2"/>
      <c r="E441" s="2" t="str">
        <f>IFERROR(__xludf.DUMMYFUNCTION("IFERROR(
 VLOOKUP(
   C441,
   FILTER(Vendors_Pricing!A:E, Vendors_Pricing!H:H=""Yes""),
   5,
   FALSE
 ),
 """"
)
"),"")</f>
        <v/>
      </c>
      <c r="F441" s="2">
        <f t="shared" si="1"/>
        <v>0</v>
      </c>
    </row>
    <row r="442" ht="15.75" customHeight="1">
      <c r="B442" s="2"/>
      <c r="C442" s="2"/>
      <c r="E442" s="2" t="str">
        <f>IFERROR(__xludf.DUMMYFUNCTION("IFERROR(
 VLOOKUP(
   C442,
   FILTER(Vendors_Pricing!A:E, Vendors_Pricing!H:H=""Yes""),
   5,
   FALSE
 ),
 """"
)
"),"")</f>
        <v/>
      </c>
      <c r="F442" s="2">
        <f t="shared" si="1"/>
        <v>0</v>
      </c>
    </row>
    <row r="443" ht="15.75" customHeight="1">
      <c r="B443" s="2"/>
      <c r="C443" s="2"/>
      <c r="E443" s="2" t="str">
        <f>IFERROR(__xludf.DUMMYFUNCTION("IFERROR(
 VLOOKUP(
   C443,
   FILTER(Vendors_Pricing!A:E, Vendors_Pricing!H:H=""Yes""),
   5,
   FALSE
 ),
 """"
)
"),"")</f>
        <v/>
      </c>
      <c r="F443" s="2">
        <f t="shared" si="1"/>
        <v>0</v>
      </c>
    </row>
    <row r="444" ht="15.75" customHeight="1">
      <c r="B444" s="2"/>
      <c r="C444" s="2"/>
      <c r="E444" s="2" t="str">
        <f>IFERROR(__xludf.DUMMYFUNCTION("IFERROR(
 VLOOKUP(
   C444,
   FILTER(Vendors_Pricing!A:E, Vendors_Pricing!H:H=""Yes""),
   5,
   FALSE
 ),
 """"
)
"),"")</f>
        <v/>
      </c>
      <c r="F444" s="2">
        <f t="shared" si="1"/>
        <v>0</v>
      </c>
    </row>
    <row r="445" ht="15.75" customHeight="1">
      <c r="B445" s="2"/>
      <c r="C445" s="2"/>
      <c r="E445" s="2" t="str">
        <f>IFERROR(__xludf.DUMMYFUNCTION("IFERROR(
 VLOOKUP(
   C445,
   FILTER(Vendors_Pricing!A:E, Vendors_Pricing!H:H=""Yes""),
   5,
   FALSE
 ),
 """"
)
"),"")</f>
        <v/>
      </c>
      <c r="F445" s="2">
        <f t="shared" si="1"/>
        <v>0</v>
      </c>
    </row>
    <row r="446" ht="15.75" customHeight="1">
      <c r="B446" s="2"/>
      <c r="C446" s="2"/>
      <c r="E446" s="2" t="str">
        <f>IFERROR(__xludf.DUMMYFUNCTION("IFERROR(
 VLOOKUP(
   C446,
   FILTER(Vendors_Pricing!A:E, Vendors_Pricing!H:H=""Yes""),
   5,
   FALSE
 ),
 """"
)
"),"")</f>
        <v/>
      </c>
      <c r="F446" s="2">
        <f t="shared" si="1"/>
        <v>0</v>
      </c>
    </row>
    <row r="447" ht="15.75" customHeight="1">
      <c r="B447" s="2"/>
      <c r="C447" s="2"/>
      <c r="E447" s="2" t="str">
        <f>IFERROR(__xludf.DUMMYFUNCTION("IFERROR(
 VLOOKUP(
   C447,
   FILTER(Vendors_Pricing!A:E, Vendors_Pricing!H:H=""Yes""),
   5,
   FALSE
 ),
 """"
)
"),"")</f>
        <v/>
      </c>
      <c r="F447" s="2">
        <f t="shared" si="1"/>
        <v>0</v>
      </c>
    </row>
    <row r="448" ht="15.75" customHeight="1">
      <c r="B448" s="2"/>
      <c r="C448" s="2"/>
      <c r="E448" s="2" t="str">
        <f>IFERROR(__xludf.DUMMYFUNCTION("IFERROR(
 VLOOKUP(
   C448,
   FILTER(Vendors_Pricing!A:E, Vendors_Pricing!H:H=""Yes""),
   5,
   FALSE
 ),
 """"
)
"),"")</f>
        <v/>
      </c>
      <c r="F448" s="2">
        <f t="shared" si="1"/>
        <v>0</v>
      </c>
    </row>
    <row r="449" ht="15.75" customHeight="1">
      <c r="B449" s="2"/>
      <c r="C449" s="2"/>
      <c r="E449" s="2" t="str">
        <f>IFERROR(__xludf.DUMMYFUNCTION("IFERROR(
 VLOOKUP(
   C449,
   FILTER(Vendors_Pricing!A:E, Vendors_Pricing!H:H=""Yes""),
   5,
   FALSE
 ),
 """"
)
"),"")</f>
        <v/>
      </c>
      <c r="F449" s="2">
        <f t="shared" si="1"/>
        <v>0</v>
      </c>
    </row>
    <row r="450" ht="15.75" customHeight="1">
      <c r="B450" s="2"/>
      <c r="C450" s="2"/>
      <c r="E450" s="2" t="str">
        <f>IFERROR(__xludf.DUMMYFUNCTION("IFERROR(
 VLOOKUP(
   C450,
   FILTER(Vendors_Pricing!A:E, Vendors_Pricing!H:H=""Yes""),
   5,
   FALSE
 ),
 """"
)
"),"")</f>
        <v/>
      </c>
      <c r="F450" s="2">
        <f t="shared" si="1"/>
        <v>0</v>
      </c>
    </row>
    <row r="451" ht="15.75" customHeight="1">
      <c r="B451" s="2"/>
      <c r="C451" s="2"/>
      <c r="E451" s="2" t="str">
        <f>IFERROR(__xludf.DUMMYFUNCTION("IFERROR(
 VLOOKUP(
   C451,
   FILTER(Vendors_Pricing!A:E, Vendors_Pricing!H:H=""Yes""),
   5,
   FALSE
 ),
 """"
)
"),"")</f>
        <v/>
      </c>
      <c r="F451" s="2">
        <f t="shared" si="1"/>
        <v>0</v>
      </c>
    </row>
    <row r="452" ht="15.75" customHeight="1">
      <c r="B452" s="2"/>
      <c r="C452" s="2"/>
      <c r="E452" s="2" t="str">
        <f>IFERROR(__xludf.DUMMYFUNCTION("IFERROR(
 VLOOKUP(
   C452,
   FILTER(Vendors_Pricing!A:E, Vendors_Pricing!H:H=""Yes""),
   5,
   FALSE
 ),
 """"
)
"),"")</f>
        <v/>
      </c>
      <c r="F452" s="2">
        <f t="shared" si="1"/>
        <v>0</v>
      </c>
    </row>
    <row r="453" ht="15.75" customHeight="1">
      <c r="B453" s="2"/>
      <c r="C453" s="2"/>
      <c r="E453" s="2" t="str">
        <f>IFERROR(__xludf.DUMMYFUNCTION("IFERROR(
 VLOOKUP(
   C453,
   FILTER(Vendors_Pricing!A:E, Vendors_Pricing!H:H=""Yes""),
   5,
   FALSE
 ),
 """"
)
"),"")</f>
        <v/>
      </c>
      <c r="F453" s="2">
        <f t="shared" si="1"/>
        <v>0</v>
      </c>
    </row>
    <row r="454" ht="15.75" customHeight="1">
      <c r="B454" s="2"/>
      <c r="C454" s="2"/>
      <c r="E454" s="2" t="str">
        <f>IFERROR(__xludf.DUMMYFUNCTION("IFERROR(
 VLOOKUP(
   C454,
   FILTER(Vendors_Pricing!A:E, Vendors_Pricing!H:H=""Yes""),
   5,
   FALSE
 ),
 """"
)
"),"")</f>
        <v/>
      </c>
      <c r="F454" s="2">
        <f t="shared" si="1"/>
        <v>0</v>
      </c>
    </row>
    <row r="455" ht="15.75" customHeight="1">
      <c r="B455" s="2"/>
      <c r="C455" s="2"/>
      <c r="E455" s="2" t="str">
        <f>IFERROR(__xludf.DUMMYFUNCTION("IFERROR(
 VLOOKUP(
   C455,
   FILTER(Vendors_Pricing!A:E, Vendors_Pricing!H:H=""Yes""),
   5,
   FALSE
 ),
 """"
)
"),"")</f>
        <v/>
      </c>
      <c r="F455" s="2">
        <f t="shared" si="1"/>
        <v>0</v>
      </c>
    </row>
    <row r="456" ht="15.75" customHeight="1">
      <c r="B456" s="2"/>
      <c r="C456" s="2"/>
      <c r="E456" s="2" t="str">
        <f>IFERROR(__xludf.DUMMYFUNCTION("IFERROR(
 VLOOKUP(
   C456,
   FILTER(Vendors_Pricing!A:E, Vendors_Pricing!H:H=""Yes""),
   5,
   FALSE
 ),
 """"
)
"),"")</f>
        <v/>
      </c>
      <c r="F456" s="2">
        <f t="shared" si="1"/>
        <v>0</v>
      </c>
    </row>
    <row r="457" ht="15.75" customHeight="1">
      <c r="B457" s="2"/>
      <c r="C457" s="2"/>
      <c r="E457" s="2" t="str">
        <f>IFERROR(__xludf.DUMMYFUNCTION("IFERROR(
 VLOOKUP(
   C457,
   FILTER(Vendors_Pricing!A:E, Vendors_Pricing!H:H=""Yes""),
   5,
   FALSE
 ),
 """"
)
"),"")</f>
        <v/>
      </c>
      <c r="F457" s="2">
        <f t="shared" si="1"/>
        <v>0</v>
      </c>
    </row>
    <row r="458" ht="15.75" customHeight="1">
      <c r="B458" s="2"/>
      <c r="C458" s="2"/>
      <c r="E458" s="2" t="str">
        <f>IFERROR(__xludf.DUMMYFUNCTION("IFERROR(
 VLOOKUP(
   C458,
   FILTER(Vendors_Pricing!A:E, Vendors_Pricing!H:H=""Yes""),
   5,
   FALSE
 ),
 """"
)
"),"")</f>
        <v/>
      </c>
      <c r="F458" s="2">
        <f t="shared" si="1"/>
        <v>0</v>
      </c>
    </row>
    <row r="459" ht="15.75" customHeight="1">
      <c r="B459" s="2"/>
      <c r="C459" s="2"/>
      <c r="E459" s="2" t="str">
        <f>IFERROR(__xludf.DUMMYFUNCTION("IFERROR(
 VLOOKUP(
   C459,
   FILTER(Vendors_Pricing!A:E, Vendors_Pricing!H:H=""Yes""),
   5,
   FALSE
 ),
 """"
)
"),"")</f>
        <v/>
      </c>
      <c r="F459" s="2">
        <f t="shared" si="1"/>
        <v>0</v>
      </c>
    </row>
    <row r="460" ht="15.75" customHeight="1">
      <c r="B460" s="2"/>
      <c r="C460" s="2"/>
      <c r="E460" s="2" t="str">
        <f>IFERROR(__xludf.DUMMYFUNCTION("IFERROR(
 VLOOKUP(
   C460,
   FILTER(Vendors_Pricing!A:E, Vendors_Pricing!H:H=""Yes""),
   5,
   FALSE
 ),
 """"
)
"),"")</f>
        <v/>
      </c>
      <c r="F460" s="2">
        <f t="shared" si="1"/>
        <v>0</v>
      </c>
    </row>
    <row r="461" ht="15.75" customHeight="1">
      <c r="B461" s="2"/>
      <c r="C461" s="2"/>
      <c r="E461" s="2" t="str">
        <f>IFERROR(__xludf.DUMMYFUNCTION("IFERROR(
 VLOOKUP(
   C461,
   FILTER(Vendors_Pricing!A:E, Vendors_Pricing!H:H=""Yes""),
   5,
   FALSE
 ),
 """"
)
"),"")</f>
        <v/>
      </c>
      <c r="F461" s="2">
        <f t="shared" si="1"/>
        <v>0</v>
      </c>
    </row>
    <row r="462" ht="15.75" customHeight="1">
      <c r="B462" s="2"/>
      <c r="C462" s="2"/>
      <c r="E462" s="2" t="str">
        <f>IFERROR(__xludf.DUMMYFUNCTION("IFERROR(
 VLOOKUP(
   C462,
   FILTER(Vendors_Pricing!A:E, Vendors_Pricing!H:H=""Yes""),
   5,
   FALSE
 ),
 """"
)
"),"")</f>
        <v/>
      </c>
      <c r="F462" s="2">
        <f t="shared" si="1"/>
        <v>0</v>
      </c>
    </row>
    <row r="463" ht="15.75" customHeight="1">
      <c r="B463" s="2"/>
      <c r="C463" s="2"/>
      <c r="E463" s="2" t="str">
        <f>IFERROR(__xludf.DUMMYFUNCTION("IFERROR(
 VLOOKUP(
   C463,
   FILTER(Vendors_Pricing!A:E, Vendors_Pricing!H:H=""Yes""),
   5,
   FALSE
 ),
 """"
)
"),"")</f>
        <v/>
      </c>
      <c r="F463" s="2">
        <f t="shared" si="1"/>
        <v>0</v>
      </c>
    </row>
    <row r="464" ht="15.75" customHeight="1">
      <c r="B464" s="2"/>
      <c r="C464" s="2"/>
      <c r="E464" s="2" t="str">
        <f>IFERROR(__xludf.DUMMYFUNCTION("IFERROR(
 VLOOKUP(
   C464,
   FILTER(Vendors_Pricing!A:E, Vendors_Pricing!H:H=""Yes""),
   5,
   FALSE
 ),
 """"
)
"),"")</f>
        <v/>
      </c>
      <c r="F464" s="2">
        <f t="shared" si="1"/>
        <v>0</v>
      </c>
    </row>
    <row r="465" ht="15.75" customHeight="1">
      <c r="B465" s="2"/>
      <c r="C465" s="2"/>
      <c r="E465" s="2" t="str">
        <f>IFERROR(__xludf.DUMMYFUNCTION("IFERROR(
 VLOOKUP(
   C465,
   FILTER(Vendors_Pricing!A:E, Vendors_Pricing!H:H=""Yes""),
   5,
   FALSE
 ),
 """"
)
"),"")</f>
        <v/>
      </c>
      <c r="F465" s="2">
        <f t="shared" si="1"/>
        <v>0</v>
      </c>
    </row>
    <row r="466" ht="15.75" customHeight="1">
      <c r="B466" s="2"/>
      <c r="C466" s="2"/>
      <c r="E466" s="2" t="str">
        <f>IFERROR(__xludf.DUMMYFUNCTION("IFERROR(
 VLOOKUP(
   C466,
   FILTER(Vendors_Pricing!A:E, Vendors_Pricing!H:H=""Yes""),
   5,
   FALSE
 ),
 """"
)
"),"")</f>
        <v/>
      </c>
      <c r="F466" s="2">
        <f t="shared" si="1"/>
        <v>0</v>
      </c>
    </row>
    <row r="467" ht="15.75" customHeight="1">
      <c r="B467" s="2"/>
      <c r="C467" s="2"/>
      <c r="E467" s="2" t="str">
        <f>IFERROR(__xludf.DUMMYFUNCTION("IFERROR(
 VLOOKUP(
   C467,
   FILTER(Vendors_Pricing!A:E, Vendors_Pricing!H:H=""Yes""),
   5,
   FALSE
 ),
 """"
)
"),"")</f>
        <v/>
      </c>
      <c r="F467" s="2">
        <f t="shared" si="1"/>
        <v>0</v>
      </c>
    </row>
    <row r="468" ht="15.75" customHeight="1">
      <c r="B468" s="2"/>
      <c r="C468" s="2"/>
      <c r="E468" s="2" t="str">
        <f>IFERROR(__xludf.DUMMYFUNCTION("IFERROR(
 VLOOKUP(
   C468,
   FILTER(Vendors_Pricing!A:E, Vendors_Pricing!H:H=""Yes""),
   5,
   FALSE
 ),
 """"
)
"),"")</f>
        <v/>
      </c>
      <c r="F468" s="2">
        <f t="shared" si="1"/>
        <v>0</v>
      </c>
    </row>
    <row r="469" ht="15.75" customHeight="1">
      <c r="B469" s="2"/>
      <c r="C469" s="2"/>
      <c r="E469" s="2" t="str">
        <f>IFERROR(__xludf.DUMMYFUNCTION("IFERROR(
 VLOOKUP(
   C469,
   FILTER(Vendors_Pricing!A:E, Vendors_Pricing!H:H=""Yes""),
   5,
   FALSE
 ),
 """"
)
"),"")</f>
        <v/>
      </c>
      <c r="F469" s="2">
        <f t="shared" si="1"/>
        <v>0</v>
      </c>
    </row>
    <row r="470" ht="15.75" customHeight="1">
      <c r="B470" s="2"/>
      <c r="C470" s="2"/>
      <c r="E470" s="2" t="str">
        <f>IFERROR(__xludf.DUMMYFUNCTION("IFERROR(
 VLOOKUP(
   C470,
   FILTER(Vendors_Pricing!A:E, Vendors_Pricing!H:H=""Yes""),
   5,
   FALSE
 ),
 """"
)
"),"")</f>
        <v/>
      </c>
      <c r="F470" s="2">
        <f t="shared" si="1"/>
        <v>0</v>
      </c>
    </row>
    <row r="471" ht="15.75" customHeight="1">
      <c r="B471" s="2"/>
      <c r="C471" s="2"/>
      <c r="E471" s="2" t="str">
        <f>IFERROR(__xludf.DUMMYFUNCTION("IFERROR(
 VLOOKUP(
   C471,
   FILTER(Vendors_Pricing!A:E, Vendors_Pricing!H:H=""Yes""),
   5,
   FALSE
 ),
 """"
)
"),"")</f>
        <v/>
      </c>
      <c r="F471" s="2">
        <f t="shared" si="1"/>
        <v>0</v>
      </c>
    </row>
    <row r="472" ht="15.75" customHeight="1">
      <c r="B472" s="2"/>
      <c r="C472" s="2"/>
      <c r="E472" s="2" t="str">
        <f>IFERROR(__xludf.DUMMYFUNCTION("IFERROR(
 VLOOKUP(
   C472,
   FILTER(Vendors_Pricing!A:E, Vendors_Pricing!H:H=""Yes""),
   5,
   FALSE
 ),
 """"
)
"),"")</f>
        <v/>
      </c>
      <c r="F472" s="2">
        <f t="shared" si="1"/>
        <v>0</v>
      </c>
    </row>
    <row r="473" ht="15.75" customHeight="1">
      <c r="B473" s="2"/>
      <c r="C473" s="2"/>
      <c r="E473" s="2" t="str">
        <f>IFERROR(__xludf.DUMMYFUNCTION("IFERROR(
 VLOOKUP(
   C473,
   FILTER(Vendors_Pricing!A:E, Vendors_Pricing!H:H=""Yes""),
   5,
   FALSE
 ),
 """"
)
"),"")</f>
        <v/>
      </c>
      <c r="F473" s="2">
        <f t="shared" si="1"/>
        <v>0</v>
      </c>
    </row>
    <row r="474" ht="15.75" customHeight="1">
      <c r="B474" s="2"/>
      <c r="C474" s="2"/>
      <c r="E474" s="2" t="str">
        <f>IFERROR(__xludf.DUMMYFUNCTION("IFERROR(
 VLOOKUP(
   C474,
   FILTER(Vendors_Pricing!A:E, Vendors_Pricing!H:H=""Yes""),
   5,
   FALSE
 ),
 """"
)
"),"")</f>
        <v/>
      </c>
      <c r="F474" s="2">
        <f t="shared" si="1"/>
        <v>0</v>
      </c>
    </row>
    <row r="475" ht="15.75" customHeight="1">
      <c r="B475" s="2"/>
      <c r="C475" s="2"/>
      <c r="E475" s="2" t="str">
        <f>IFERROR(__xludf.DUMMYFUNCTION("IFERROR(
 VLOOKUP(
   C475,
   FILTER(Vendors_Pricing!A:E, Vendors_Pricing!H:H=""Yes""),
   5,
   FALSE
 ),
 """"
)
"),"")</f>
        <v/>
      </c>
      <c r="F475" s="2">
        <f t="shared" si="1"/>
        <v>0</v>
      </c>
    </row>
    <row r="476" ht="15.75" customHeight="1">
      <c r="B476" s="2"/>
      <c r="C476" s="2"/>
      <c r="E476" s="2" t="str">
        <f>IFERROR(__xludf.DUMMYFUNCTION("IFERROR(
 VLOOKUP(
   C476,
   FILTER(Vendors_Pricing!A:E, Vendors_Pricing!H:H=""Yes""),
   5,
   FALSE
 ),
 """"
)
"),"")</f>
        <v/>
      </c>
      <c r="F476" s="2">
        <f t="shared" si="1"/>
        <v>0</v>
      </c>
    </row>
    <row r="477" ht="15.75" customHeight="1">
      <c r="B477" s="2"/>
      <c r="C477" s="2"/>
      <c r="E477" s="2" t="str">
        <f>IFERROR(__xludf.DUMMYFUNCTION("IFERROR(
 VLOOKUP(
   C477,
   FILTER(Vendors_Pricing!A:E, Vendors_Pricing!H:H=""Yes""),
   5,
   FALSE
 ),
 """"
)
"),"")</f>
        <v/>
      </c>
      <c r="F477" s="2">
        <f t="shared" si="1"/>
        <v>0</v>
      </c>
    </row>
    <row r="478" ht="15.75" customHeight="1">
      <c r="B478" s="2"/>
      <c r="C478" s="2"/>
      <c r="E478" s="2" t="str">
        <f>IFERROR(__xludf.DUMMYFUNCTION("IFERROR(
 VLOOKUP(
   C478,
   FILTER(Vendors_Pricing!A:E, Vendors_Pricing!H:H=""Yes""),
   5,
   FALSE
 ),
 """"
)
"),"")</f>
        <v/>
      </c>
      <c r="F478" s="2">
        <f t="shared" si="1"/>
        <v>0</v>
      </c>
    </row>
    <row r="479" ht="15.75" customHeight="1">
      <c r="B479" s="2"/>
      <c r="C479" s="2"/>
      <c r="E479" s="2" t="str">
        <f>IFERROR(__xludf.DUMMYFUNCTION("IFERROR(
 VLOOKUP(
   C479,
   FILTER(Vendors_Pricing!A:E, Vendors_Pricing!H:H=""Yes""),
   5,
   FALSE
 ),
 """"
)
"),"")</f>
        <v/>
      </c>
      <c r="F479" s="2">
        <f t="shared" si="1"/>
        <v>0</v>
      </c>
    </row>
    <row r="480" ht="15.75" customHeight="1">
      <c r="B480" s="2"/>
      <c r="C480" s="2"/>
      <c r="E480" s="2" t="str">
        <f>IFERROR(__xludf.DUMMYFUNCTION("IFERROR(
 VLOOKUP(
   C480,
   FILTER(Vendors_Pricing!A:E, Vendors_Pricing!H:H=""Yes""),
   5,
   FALSE
 ),
 """"
)
"),"")</f>
        <v/>
      </c>
      <c r="F480" s="2">
        <f t="shared" si="1"/>
        <v>0</v>
      </c>
    </row>
    <row r="481" ht="15.75" customHeight="1">
      <c r="B481" s="2"/>
      <c r="C481" s="2"/>
      <c r="E481" s="2" t="str">
        <f>IFERROR(__xludf.DUMMYFUNCTION("IFERROR(
 VLOOKUP(
   C481,
   FILTER(Vendors_Pricing!A:E, Vendors_Pricing!H:H=""Yes""),
   5,
   FALSE
 ),
 """"
)
"),"")</f>
        <v/>
      </c>
      <c r="F481" s="2">
        <f t="shared" si="1"/>
        <v>0</v>
      </c>
    </row>
    <row r="482" ht="15.75" customHeight="1">
      <c r="B482" s="2"/>
      <c r="C482" s="2"/>
      <c r="E482" s="2" t="str">
        <f>IFERROR(__xludf.DUMMYFUNCTION("IFERROR(
 VLOOKUP(
   C482,
   FILTER(Vendors_Pricing!A:E, Vendors_Pricing!H:H=""Yes""),
   5,
   FALSE
 ),
 """"
)
"),"")</f>
        <v/>
      </c>
      <c r="F482" s="2">
        <f t="shared" si="1"/>
        <v>0</v>
      </c>
    </row>
    <row r="483" ht="15.75" customHeight="1">
      <c r="B483" s="2"/>
      <c r="C483" s="2"/>
      <c r="E483" s="2" t="str">
        <f>IFERROR(__xludf.DUMMYFUNCTION("IFERROR(
 VLOOKUP(
   C483,
   FILTER(Vendors_Pricing!A:E, Vendors_Pricing!H:H=""Yes""),
   5,
   FALSE
 ),
 """"
)
"),"")</f>
        <v/>
      </c>
      <c r="F483" s="2">
        <f t="shared" si="1"/>
        <v>0</v>
      </c>
    </row>
    <row r="484" ht="15.75" customHeight="1">
      <c r="B484" s="2"/>
      <c r="C484" s="2"/>
      <c r="E484" s="2" t="str">
        <f>IFERROR(__xludf.DUMMYFUNCTION("IFERROR(
 VLOOKUP(
   C484,
   FILTER(Vendors_Pricing!A:E, Vendors_Pricing!H:H=""Yes""),
   5,
   FALSE
 ),
 """"
)
"),"")</f>
        <v/>
      </c>
      <c r="F484" s="2">
        <f t="shared" si="1"/>
        <v>0</v>
      </c>
    </row>
    <row r="485" ht="15.75" customHeight="1">
      <c r="B485" s="2"/>
      <c r="C485" s="2"/>
      <c r="E485" s="2" t="str">
        <f>IFERROR(__xludf.DUMMYFUNCTION("IFERROR(
 VLOOKUP(
   C485,
   FILTER(Vendors_Pricing!A:E, Vendors_Pricing!H:H=""Yes""),
   5,
   FALSE
 ),
 """"
)
"),"")</f>
        <v/>
      </c>
      <c r="F485" s="2">
        <f t="shared" si="1"/>
        <v>0</v>
      </c>
    </row>
    <row r="486" ht="15.75" customHeight="1">
      <c r="B486" s="2"/>
      <c r="C486" s="2"/>
      <c r="E486" s="2" t="str">
        <f>IFERROR(__xludf.DUMMYFUNCTION("IFERROR(
 VLOOKUP(
   C486,
   FILTER(Vendors_Pricing!A:E, Vendors_Pricing!H:H=""Yes""),
   5,
   FALSE
 ),
 """"
)
"),"")</f>
        <v/>
      </c>
      <c r="F486" s="2">
        <f t="shared" si="1"/>
        <v>0</v>
      </c>
    </row>
    <row r="487" ht="15.75" customHeight="1">
      <c r="B487" s="2"/>
      <c r="C487" s="2"/>
      <c r="E487" s="2" t="str">
        <f>IFERROR(__xludf.DUMMYFUNCTION("IFERROR(
 VLOOKUP(
   C487,
   FILTER(Vendors_Pricing!A:E, Vendors_Pricing!H:H=""Yes""),
   5,
   FALSE
 ),
 """"
)
"),"")</f>
        <v/>
      </c>
      <c r="F487" s="2">
        <f t="shared" si="1"/>
        <v>0</v>
      </c>
    </row>
    <row r="488" ht="15.75" customHeight="1">
      <c r="B488" s="2"/>
      <c r="C488" s="2"/>
      <c r="E488" s="2" t="str">
        <f>IFERROR(__xludf.DUMMYFUNCTION("IFERROR(
 VLOOKUP(
   C488,
   FILTER(Vendors_Pricing!A:E, Vendors_Pricing!H:H=""Yes""),
   5,
   FALSE
 ),
 """"
)
"),"")</f>
        <v/>
      </c>
      <c r="F488" s="2">
        <f t="shared" si="1"/>
        <v>0</v>
      </c>
    </row>
    <row r="489" ht="15.75" customHeight="1">
      <c r="B489" s="2"/>
      <c r="C489" s="2"/>
      <c r="E489" s="2" t="str">
        <f>IFERROR(__xludf.DUMMYFUNCTION("IFERROR(
 VLOOKUP(
   C489,
   FILTER(Vendors_Pricing!A:E, Vendors_Pricing!H:H=""Yes""),
   5,
   FALSE
 ),
 """"
)
"),"")</f>
        <v/>
      </c>
      <c r="F489" s="2">
        <f t="shared" si="1"/>
        <v>0</v>
      </c>
    </row>
    <row r="490" ht="15.75" customHeight="1">
      <c r="B490" s="2"/>
      <c r="C490" s="2"/>
      <c r="E490" s="2" t="str">
        <f>IFERROR(__xludf.DUMMYFUNCTION("IFERROR(
 VLOOKUP(
   C490,
   FILTER(Vendors_Pricing!A:E, Vendors_Pricing!H:H=""Yes""),
   5,
   FALSE
 ),
 """"
)
"),"")</f>
        <v/>
      </c>
      <c r="F490" s="2">
        <f t="shared" si="1"/>
        <v>0</v>
      </c>
    </row>
    <row r="491" ht="15.75" customHeight="1">
      <c r="B491" s="2"/>
      <c r="C491" s="2"/>
      <c r="E491" s="2" t="str">
        <f>IFERROR(__xludf.DUMMYFUNCTION("IFERROR(
 VLOOKUP(
   C491,
   FILTER(Vendors_Pricing!A:E, Vendors_Pricing!H:H=""Yes""),
   5,
   FALSE
 ),
 """"
)
"),"")</f>
        <v/>
      </c>
      <c r="F491" s="2">
        <f t="shared" si="1"/>
        <v>0</v>
      </c>
    </row>
    <row r="492" ht="15.75" customHeight="1">
      <c r="B492" s="2"/>
      <c r="C492" s="2"/>
      <c r="E492" s="2" t="str">
        <f>IFERROR(__xludf.DUMMYFUNCTION("IFERROR(
 VLOOKUP(
   C492,
   FILTER(Vendors_Pricing!A:E, Vendors_Pricing!H:H=""Yes""),
   5,
   FALSE
 ),
 """"
)
"),"")</f>
        <v/>
      </c>
      <c r="F492" s="2">
        <f t="shared" si="1"/>
        <v>0</v>
      </c>
    </row>
    <row r="493" ht="15.75" customHeight="1">
      <c r="B493" s="2"/>
      <c r="C493" s="2"/>
      <c r="E493" s="2" t="str">
        <f>IFERROR(__xludf.DUMMYFUNCTION("IFERROR(
 VLOOKUP(
   C493,
   FILTER(Vendors_Pricing!A:E, Vendors_Pricing!H:H=""Yes""),
   5,
   FALSE
 ),
 """"
)
"),"")</f>
        <v/>
      </c>
      <c r="F493" s="2">
        <f t="shared" si="1"/>
        <v>0</v>
      </c>
    </row>
    <row r="494" ht="15.75" customHeight="1">
      <c r="B494" s="2"/>
      <c r="C494" s="2"/>
      <c r="E494" s="2" t="str">
        <f>IFERROR(__xludf.DUMMYFUNCTION("IFERROR(
 VLOOKUP(
   C494,
   FILTER(Vendors_Pricing!A:E, Vendors_Pricing!H:H=""Yes""),
   5,
   FALSE
 ),
 """"
)
"),"")</f>
        <v/>
      </c>
      <c r="F494" s="2">
        <f t="shared" si="1"/>
        <v>0</v>
      </c>
    </row>
    <row r="495" ht="15.75" customHeight="1">
      <c r="B495" s="2"/>
      <c r="C495" s="2"/>
      <c r="E495" s="2" t="str">
        <f>IFERROR(__xludf.DUMMYFUNCTION("IFERROR(
 VLOOKUP(
   C495,
   FILTER(Vendors_Pricing!A:E, Vendors_Pricing!H:H=""Yes""),
   5,
   FALSE
 ),
 """"
)
"),"")</f>
        <v/>
      </c>
      <c r="F495" s="2">
        <f t="shared" si="1"/>
        <v>0</v>
      </c>
    </row>
    <row r="496" ht="15.75" customHeight="1">
      <c r="B496" s="2"/>
      <c r="C496" s="2"/>
      <c r="E496" s="2" t="str">
        <f>IFERROR(__xludf.DUMMYFUNCTION("IFERROR(
 VLOOKUP(
   C496,
   FILTER(Vendors_Pricing!A:E, Vendors_Pricing!H:H=""Yes""),
   5,
   FALSE
 ),
 """"
)
"),"")</f>
        <v/>
      </c>
      <c r="F496" s="2">
        <f t="shared" si="1"/>
        <v>0</v>
      </c>
    </row>
    <row r="497" ht="15.75" customHeight="1">
      <c r="B497" s="2"/>
      <c r="C497" s="2"/>
      <c r="E497" s="2" t="str">
        <f>IFERROR(__xludf.DUMMYFUNCTION("IFERROR(
 VLOOKUP(
   C497,
   FILTER(Vendors_Pricing!A:E, Vendors_Pricing!H:H=""Yes""),
   5,
   FALSE
 ),
 """"
)
"),"")</f>
        <v/>
      </c>
      <c r="F497" s="2">
        <f t="shared" si="1"/>
        <v>0</v>
      </c>
    </row>
    <row r="498" ht="15.75" customHeight="1">
      <c r="B498" s="2"/>
      <c r="C498" s="2"/>
      <c r="E498" s="2" t="str">
        <f>IFERROR(__xludf.DUMMYFUNCTION("IFERROR(
 VLOOKUP(
   C498,
   FILTER(Vendors_Pricing!A:E, Vendors_Pricing!H:H=""Yes""),
   5,
   FALSE
 ),
 """"
)
"),"")</f>
        <v/>
      </c>
      <c r="F498" s="2">
        <f t="shared" si="1"/>
        <v>0</v>
      </c>
    </row>
    <row r="499" ht="15.75" customHeight="1">
      <c r="B499" s="2"/>
      <c r="C499" s="2"/>
      <c r="E499" s="2" t="str">
        <f>IFERROR(__xludf.DUMMYFUNCTION("IFERROR(
 VLOOKUP(
   C499,
   FILTER(Vendors_Pricing!A:E, Vendors_Pricing!H:H=""Yes""),
   5,
   FALSE
 ),
 """"
)
"),"")</f>
        <v/>
      </c>
      <c r="F499" s="2">
        <f t="shared" si="1"/>
        <v>0</v>
      </c>
    </row>
    <row r="500" ht="15.75" customHeight="1">
      <c r="B500" s="2"/>
      <c r="C500" s="2"/>
      <c r="E500" s="2" t="str">
        <f>IFERROR(__xludf.DUMMYFUNCTION("IFERROR(
 VLOOKUP(
   C500,
   FILTER(Vendors_Pricing!A:E, Vendors_Pricing!H:H=""Yes""),
   5,
   FALSE
 ),
 """"
)
"),"")</f>
        <v/>
      </c>
      <c r="F500" s="2">
        <f t="shared" si="1"/>
        <v>0</v>
      </c>
    </row>
    <row r="501" ht="15.75" customHeight="1">
      <c r="B501" s="2"/>
      <c r="C501" s="2"/>
      <c r="E501" s="2" t="str">
        <f>IFERROR(__xludf.DUMMYFUNCTION("IFERROR(
 VLOOKUP(
   C501,
   FILTER(Vendors_Pricing!A:E, Vendors_Pricing!H:H=""Yes""),
   5,
   FALSE
 ),
 """"
)
"),"")</f>
        <v/>
      </c>
      <c r="F501" s="2">
        <f t="shared" si="1"/>
        <v>0</v>
      </c>
    </row>
    <row r="502" ht="15.75" customHeight="1">
      <c r="B502" s="2"/>
      <c r="C502" s="2"/>
      <c r="E502" s="2" t="str">
        <f>IFERROR(__xludf.DUMMYFUNCTION("IFERROR(
 VLOOKUP(
   C502,
   FILTER(Vendors_Pricing!A:E, Vendors_Pricing!H:H=""Yes""),
   5,
   FALSE
 ),
 """"
)
"),"")</f>
        <v/>
      </c>
      <c r="F502" s="2">
        <f t="shared" si="1"/>
        <v>0</v>
      </c>
    </row>
    <row r="503" ht="15.75" customHeight="1">
      <c r="B503" s="2"/>
      <c r="C503" s="2"/>
      <c r="E503" s="2" t="str">
        <f>IFERROR(__xludf.DUMMYFUNCTION("IFERROR(
 VLOOKUP(
   C503,
   FILTER(Vendors_Pricing!A:E, Vendors_Pricing!H:H=""Yes""),
   5,
   FALSE
 ),
 """"
)
"),"")</f>
        <v/>
      </c>
      <c r="F503" s="2">
        <f t="shared" si="1"/>
        <v>0</v>
      </c>
    </row>
    <row r="504" ht="15.75" customHeight="1">
      <c r="B504" s="2"/>
      <c r="C504" s="2"/>
      <c r="E504" s="2" t="str">
        <f>IFERROR(__xludf.DUMMYFUNCTION("IFERROR(
 VLOOKUP(
   C504,
   FILTER(Vendors_Pricing!A:E, Vendors_Pricing!H:H=""Yes""),
   5,
   FALSE
 ),
 """"
)
"),"")</f>
        <v/>
      </c>
      <c r="F504" s="2">
        <f t="shared" si="1"/>
        <v>0</v>
      </c>
    </row>
    <row r="505" ht="15.75" customHeight="1">
      <c r="B505" s="2"/>
      <c r="C505" s="2"/>
      <c r="E505" s="2" t="str">
        <f>IFERROR(__xludf.DUMMYFUNCTION("IFERROR(
 VLOOKUP(
   C505,
   FILTER(Vendors_Pricing!A:E, Vendors_Pricing!H:H=""Yes""),
   5,
   FALSE
 ),
 """"
)
"),"")</f>
        <v/>
      </c>
      <c r="F505" s="2">
        <f t="shared" si="1"/>
        <v>0</v>
      </c>
    </row>
    <row r="506" ht="15.75" customHeight="1">
      <c r="B506" s="2"/>
      <c r="C506" s="2"/>
      <c r="E506" s="2" t="str">
        <f>IFERROR(__xludf.DUMMYFUNCTION("IFERROR(
 VLOOKUP(
   C506,
   FILTER(Vendors_Pricing!A:E, Vendors_Pricing!H:H=""Yes""),
   5,
   FALSE
 ),
 """"
)
"),"")</f>
        <v/>
      </c>
      <c r="F506" s="2">
        <f t="shared" si="1"/>
        <v>0</v>
      </c>
    </row>
    <row r="507" ht="15.75" customHeight="1">
      <c r="B507" s="2"/>
      <c r="C507" s="2"/>
      <c r="E507" s="2" t="str">
        <f>IFERROR(__xludf.DUMMYFUNCTION("IFERROR(
 VLOOKUP(
   C507,
   FILTER(Vendors_Pricing!A:E, Vendors_Pricing!H:H=""Yes""),
   5,
   FALSE
 ),
 """"
)
"),"")</f>
        <v/>
      </c>
      <c r="F507" s="2">
        <f t="shared" si="1"/>
        <v>0</v>
      </c>
    </row>
    <row r="508" ht="15.75" customHeight="1">
      <c r="B508" s="2"/>
      <c r="C508" s="2"/>
      <c r="E508" s="2" t="str">
        <f>IFERROR(__xludf.DUMMYFUNCTION("IFERROR(
 VLOOKUP(
   C508,
   FILTER(Vendors_Pricing!A:E, Vendors_Pricing!H:H=""Yes""),
   5,
   FALSE
 ),
 """"
)
"),"")</f>
        <v/>
      </c>
      <c r="F508" s="2">
        <f t="shared" si="1"/>
        <v>0</v>
      </c>
    </row>
    <row r="509" ht="15.75" customHeight="1">
      <c r="B509" s="2"/>
      <c r="C509" s="2"/>
      <c r="E509" s="2" t="str">
        <f>IFERROR(__xludf.DUMMYFUNCTION("IFERROR(
 VLOOKUP(
   C509,
   FILTER(Vendors_Pricing!A:E, Vendors_Pricing!H:H=""Yes""),
   5,
   FALSE
 ),
 """"
)
"),"")</f>
        <v/>
      </c>
      <c r="F509" s="2">
        <f t="shared" si="1"/>
        <v>0</v>
      </c>
    </row>
    <row r="510" ht="15.75" customHeight="1">
      <c r="B510" s="2"/>
      <c r="C510" s="2"/>
      <c r="E510" s="2" t="str">
        <f>IFERROR(__xludf.DUMMYFUNCTION("IFERROR(
 VLOOKUP(
   C510,
   FILTER(Vendors_Pricing!A:E, Vendors_Pricing!H:H=""Yes""),
   5,
   FALSE
 ),
 """"
)
"),"")</f>
        <v/>
      </c>
      <c r="F510" s="2">
        <f t="shared" si="1"/>
        <v>0</v>
      </c>
    </row>
    <row r="511" ht="15.75" customHeight="1">
      <c r="B511" s="2"/>
      <c r="C511" s="2"/>
      <c r="E511" s="2" t="str">
        <f>IFERROR(__xludf.DUMMYFUNCTION("IFERROR(
 VLOOKUP(
   C511,
   FILTER(Vendors_Pricing!A:E, Vendors_Pricing!H:H=""Yes""),
   5,
   FALSE
 ),
 """"
)
"),"")</f>
        <v/>
      </c>
      <c r="F511" s="2">
        <f t="shared" si="1"/>
        <v>0</v>
      </c>
    </row>
    <row r="512" ht="15.75" customHeight="1">
      <c r="B512" s="2"/>
      <c r="C512" s="2"/>
      <c r="E512" s="2" t="str">
        <f>IFERROR(__xludf.DUMMYFUNCTION("IFERROR(
 VLOOKUP(
   C512,
   FILTER(Vendors_Pricing!A:E, Vendors_Pricing!H:H=""Yes""),
   5,
   FALSE
 ),
 """"
)
"),"")</f>
        <v/>
      </c>
      <c r="F512" s="2">
        <f t="shared" si="1"/>
        <v>0</v>
      </c>
    </row>
    <row r="513" ht="15.75" customHeight="1">
      <c r="B513" s="2"/>
      <c r="C513" s="2"/>
      <c r="E513" s="2" t="str">
        <f>IFERROR(__xludf.DUMMYFUNCTION("IFERROR(
 VLOOKUP(
   C513,
   FILTER(Vendors_Pricing!A:E, Vendors_Pricing!H:H=""Yes""),
   5,
   FALSE
 ),
 """"
)
"),"")</f>
        <v/>
      </c>
      <c r="F513" s="2">
        <f t="shared" si="1"/>
        <v>0</v>
      </c>
    </row>
    <row r="514" ht="15.75" customHeight="1">
      <c r="B514" s="2"/>
      <c r="C514" s="2"/>
      <c r="E514" s="2" t="str">
        <f>IFERROR(__xludf.DUMMYFUNCTION("IFERROR(
 VLOOKUP(
   C514,
   FILTER(Vendors_Pricing!A:E, Vendors_Pricing!H:H=""Yes""),
   5,
   FALSE
 ),
 """"
)
"),"")</f>
        <v/>
      </c>
      <c r="F514" s="2">
        <f t="shared" si="1"/>
        <v>0</v>
      </c>
    </row>
    <row r="515" ht="15.75" customHeight="1">
      <c r="B515" s="2"/>
      <c r="C515" s="2"/>
      <c r="E515" s="2" t="str">
        <f>IFERROR(__xludf.DUMMYFUNCTION("IFERROR(
 VLOOKUP(
   C515,
   FILTER(Vendors_Pricing!A:E, Vendors_Pricing!H:H=""Yes""),
   5,
   FALSE
 ),
 """"
)
"),"")</f>
        <v/>
      </c>
      <c r="F515" s="2">
        <f t="shared" si="1"/>
        <v>0</v>
      </c>
    </row>
    <row r="516" ht="15.75" customHeight="1">
      <c r="B516" s="2"/>
      <c r="C516" s="2"/>
      <c r="E516" s="2" t="str">
        <f>IFERROR(__xludf.DUMMYFUNCTION("IFERROR(
 VLOOKUP(
   C516,
   FILTER(Vendors_Pricing!A:E, Vendors_Pricing!H:H=""Yes""),
   5,
   FALSE
 ),
 """"
)
"),"")</f>
        <v/>
      </c>
      <c r="F516" s="2">
        <f t="shared" si="1"/>
        <v>0</v>
      </c>
    </row>
    <row r="517" ht="15.75" customHeight="1">
      <c r="B517" s="2"/>
      <c r="C517" s="2"/>
      <c r="E517" s="2" t="str">
        <f>IFERROR(__xludf.DUMMYFUNCTION("IFERROR(
 VLOOKUP(
   C517,
   FILTER(Vendors_Pricing!A:E, Vendors_Pricing!H:H=""Yes""),
   5,
   FALSE
 ),
 """"
)
"),"")</f>
        <v/>
      </c>
      <c r="F517" s="2">
        <f t="shared" si="1"/>
        <v>0</v>
      </c>
    </row>
    <row r="518" ht="15.75" customHeight="1">
      <c r="B518" s="2"/>
      <c r="C518" s="2"/>
      <c r="E518" s="2" t="str">
        <f>IFERROR(__xludf.DUMMYFUNCTION("IFERROR(
 VLOOKUP(
   C518,
   FILTER(Vendors_Pricing!A:E, Vendors_Pricing!H:H=""Yes""),
   5,
   FALSE
 ),
 """"
)
"),"")</f>
        <v/>
      </c>
      <c r="F518" s="2">
        <f t="shared" si="1"/>
        <v>0</v>
      </c>
    </row>
    <row r="519" ht="15.75" customHeight="1">
      <c r="B519" s="2"/>
      <c r="C519" s="2"/>
      <c r="E519" s="2" t="str">
        <f>IFERROR(__xludf.DUMMYFUNCTION("IFERROR(
 VLOOKUP(
   C519,
   FILTER(Vendors_Pricing!A:E, Vendors_Pricing!H:H=""Yes""),
   5,
   FALSE
 ),
 """"
)
"),"")</f>
        <v/>
      </c>
      <c r="F519" s="2">
        <f t="shared" si="1"/>
        <v>0</v>
      </c>
    </row>
    <row r="520" ht="15.75" customHeight="1">
      <c r="B520" s="2"/>
      <c r="C520" s="2"/>
      <c r="E520" s="2" t="str">
        <f>IFERROR(__xludf.DUMMYFUNCTION("IFERROR(
 VLOOKUP(
   C520,
   FILTER(Vendors_Pricing!A:E, Vendors_Pricing!H:H=""Yes""),
   5,
   FALSE
 ),
 """"
)
"),"")</f>
        <v/>
      </c>
      <c r="F520" s="2">
        <f t="shared" si="1"/>
        <v>0</v>
      </c>
    </row>
    <row r="521" ht="15.75" customHeight="1">
      <c r="B521" s="2"/>
      <c r="C521" s="2"/>
      <c r="E521" s="2" t="str">
        <f>IFERROR(__xludf.DUMMYFUNCTION("IFERROR(
 VLOOKUP(
   C521,
   FILTER(Vendors_Pricing!A:E, Vendors_Pricing!H:H=""Yes""),
   5,
   FALSE
 ),
 """"
)
"),"")</f>
        <v/>
      </c>
      <c r="F521" s="2">
        <f t="shared" si="1"/>
        <v>0</v>
      </c>
    </row>
    <row r="522" ht="15.75" customHeight="1">
      <c r="B522" s="2"/>
      <c r="C522" s="2"/>
      <c r="E522" s="2" t="str">
        <f>IFERROR(__xludf.DUMMYFUNCTION("IFERROR(
 VLOOKUP(
   C522,
   FILTER(Vendors_Pricing!A:E, Vendors_Pricing!H:H=""Yes""),
   5,
   FALSE
 ),
 """"
)
"),"")</f>
        <v/>
      </c>
      <c r="F522" s="2">
        <f t="shared" si="1"/>
        <v>0</v>
      </c>
    </row>
    <row r="523" ht="15.75" customHeight="1">
      <c r="B523" s="2"/>
      <c r="C523" s="2"/>
      <c r="E523" s="2" t="str">
        <f>IFERROR(__xludf.DUMMYFUNCTION("IFERROR(
 VLOOKUP(
   C523,
   FILTER(Vendors_Pricing!A:E, Vendors_Pricing!H:H=""Yes""),
   5,
   FALSE
 ),
 """"
)
"),"")</f>
        <v/>
      </c>
      <c r="F523" s="2">
        <f t="shared" si="1"/>
        <v>0</v>
      </c>
    </row>
    <row r="524" ht="15.75" customHeight="1">
      <c r="B524" s="2"/>
      <c r="C524" s="2"/>
      <c r="E524" s="2" t="str">
        <f>IFERROR(__xludf.DUMMYFUNCTION("IFERROR(
 VLOOKUP(
   C524,
   FILTER(Vendors_Pricing!A:E, Vendors_Pricing!H:H=""Yes""),
   5,
   FALSE
 ),
 """"
)
"),"")</f>
        <v/>
      </c>
      <c r="F524" s="2">
        <f t="shared" si="1"/>
        <v>0</v>
      </c>
    </row>
    <row r="525" ht="15.75" customHeight="1">
      <c r="B525" s="2"/>
      <c r="C525" s="2"/>
      <c r="E525" s="2" t="str">
        <f>IFERROR(__xludf.DUMMYFUNCTION("IFERROR(
 VLOOKUP(
   C525,
   FILTER(Vendors_Pricing!A:E, Vendors_Pricing!H:H=""Yes""),
   5,
   FALSE
 ),
 """"
)
"),"")</f>
        <v/>
      </c>
      <c r="F525" s="2">
        <f t="shared" si="1"/>
        <v>0</v>
      </c>
    </row>
    <row r="526" ht="15.75" customHeight="1">
      <c r="B526" s="2"/>
      <c r="C526" s="2"/>
      <c r="E526" s="2" t="str">
        <f>IFERROR(__xludf.DUMMYFUNCTION("IFERROR(
 VLOOKUP(
   C526,
   FILTER(Vendors_Pricing!A:E, Vendors_Pricing!H:H=""Yes""),
   5,
   FALSE
 ),
 """"
)
"),"")</f>
        <v/>
      </c>
      <c r="F526" s="2">
        <f t="shared" si="1"/>
        <v>0</v>
      </c>
    </row>
    <row r="527" ht="15.75" customHeight="1">
      <c r="B527" s="2"/>
      <c r="C527" s="2"/>
      <c r="E527" s="2" t="str">
        <f>IFERROR(__xludf.DUMMYFUNCTION("IFERROR(
 VLOOKUP(
   C527,
   FILTER(Vendors_Pricing!A:E, Vendors_Pricing!H:H=""Yes""),
   5,
   FALSE
 ),
 """"
)
"),"")</f>
        <v/>
      </c>
      <c r="F527" s="2">
        <f t="shared" si="1"/>
        <v>0</v>
      </c>
    </row>
    <row r="528" ht="15.75" customHeight="1">
      <c r="B528" s="2"/>
      <c r="C528" s="2"/>
      <c r="E528" s="2" t="str">
        <f>IFERROR(__xludf.DUMMYFUNCTION("IFERROR(
 VLOOKUP(
   C528,
   FILTER(Vendors_Pricing!A:E, Vendors_Pricing!H:H=""Yes""),
   5,
   FALSE
 ),
 """"
)
"),"")</f>
        <v/>
      </c>
      <c r="F528" s="2">
        <f t="shared" si="1"/>
        <v>0</v>
      </c>
    </row>
    <row r="529" ht="15.75" customHeight="1">
      <c r="B529" s="2"/>
      <c r="C529" s="2"/>
      <c r="E529" s="2" t="str">
        <f>IFERROR(__xludf.DUMMYFUNCTION("IFERROR(
 VLOOKUP(
   C529,
   FILTER(Vendors_Pricing!A:E, Vendors_Pricing!H:H=""Yes""),
   5,
   FALSE
 ),
 """"
)
"),"")</f>
        <v/>
      </c>
      <c r="F529" s="2">
        <f t="shared" si="1"/>
        <v>0</v>
      </c>
    </row>
    <row r="530" ht="15.75" customHeight="1">
      <c r="B530" s="2"/>
      <c r="C530" s="2"/>
      <c r="E530" s="2" t="str">
        <f>IFERROR(__xludf.DUMMYFUNCTION("IFERROR(
 VLOOKUP(
   C530,
   FILTER(Vendors_Pricing!A:E, Vendors_Pricing!H:H=""Yes""),
   5,
   FALSE
 ),
 """"
)
"),"")</f>
        <v/>
      </c>
      <c r="F530" s="2">
        <f t="shared" si="1"/>
        <v>0</v>
      </c>
    </row>
    <row r="531" ht="15.75" customHeight="1">
      <c r="B531" s="2"/>
      <c r="C531" s="2"/>
      <c r="E531" s="2" t="str">
        <f>IFERROR(__xludf.DUMMYFUNCTION("IFERROR(
 VLOOKUP(
   C531,
   FILTER(Vendors_Pricing!A:E, Vendors_Pricing!H:H=""Yes""),
   5,
   FALSE
 ),
 """"
)
"),"")</f>
        <v/>
      </c>
      <c r="F531" s="2">
        <f t="shared" si="1"/>
        <v>0</v>
      </c>
    </row>
    <row r="532" ht="15.75" customHeight="1">
      <c r="B532" s="2"/>
      <c r="C532" s="2"/>
      <c r="E532" s="2" t="str">
        <f>IFERROR(__xludf.DUMMYFUNCTION("IFERROR(
 VLOOKUP(
   C532,
   FILTER(Vendors_Pricing!A:E, Vendors_Pricing!H:H=""Yes""),
   5,
   FALSE
 ),
 """"
)
"),"")</f>
        <v/>
      </c>
      <c r="F532" s="2">
        <f t="shared" si="1"/>
        <v>0</v>
      </c>
    </row>
    <row r="533" ht="15.75" customHeight="1">
      <c r="B533" s="2"/>
      <c r="C533" s="2"/>
      <c r="E533" s="2" t="str">
        <f>IFERROR(__xludf.DUMMYFUNCTION("IFERROR(
 VLOOKUP(
   C533,
   FILTER(Vendors_Pricing!A:E, Vendors_Pricing!H:H=""Yes""),
   5,
   FALSE
 ),
 """"
)
"),"")</f>
        <v/>
      </c>
      <c r="F533" s="2">
        <f t="shared" si="1"/>
        <v>0</v>
      </c>
    </row>
    <row r="534" ht="15.75" customHeight="1">
      <c r="B534" s="2"/>
      <c r="C534" s="2"/>
      <c r="E534" s="2" t="str">
        <f>IFERROR(__xludf.DUMMYFUNCTION("IFERROR(
 VLOOKUP(
   C534,
   FILTER(Vendors_Pricing!A:E, Vendors_Pricing!H:H=""Yes""),
   5,
   FALSE
 ),
 """"
)
"),"")</f>
        <v/>
      </c>
      <c r="F534" s="2">
        <f t="shared" si="1"/>
        <v>0</v>
      </c>
    </row>
    <row r="535" ht="15.75" customHeight="1">
      <c r="B535" s="2"/>
      <c r="C535" s="2"/>
      <c r="E535" s="2" t="str">
        <f>IFERROR(__xludf.DUMMYFUNCTION("IFERROR(
 VLOOKUP(
   C535,
   FILTER(Vendors_Pricing!A:E, Vendors_Pricing!H:H=""Yes""),
   5,
   FALSE
 ),
 """"
)
"),"")</f>
        <v/>
      </c>
      <c r="F535" s="2">
        <f t="shared" si="1"/>
        <v>0</v>
      </c>
    </row>
    <row r="536" ht="15.75" customHeight="1">
      <c r="B536" s="2"/>
      <c r="C536" s="2"/>
      <c r="E536" s="2" t="str">
        <f>IFERROR(__xludf.DUMMYFUNCTION("IFERROR(
 VLOOKUP(
   C536,
   FILTER(Vendors_Pricing!A:E, Vendors_Pricing!H:H=""Yes""),
   5,
   FALSE
 ),
 """"
)
"),"")</f>
        <v/>
      </c>
      <c r="F536" s="2">
        <f t="shared" si="1"/>
        <v>0</v>
      </c>
    </row>
    <row r="537" ht="15.75" customHeight="1">
      <c r="B537" s="2"/>
      <c r="C537" s="2"/>
      <c r="E537" s="2" t="str">
        <f>IFERROR(__xludf.DUMMYFUNCTION("IFERROR(
 VLOOKUP(
   C537,
   FILTER(Vendors_Pricing!A:E, Vendors_Pricing!H:H=""Yes""),
   5,
   FALSE
 ),
 """"
)
"),"")</f>
        <v/>
      </c>
    </row>
    <row r="538" ht="15.75" customHeight="1">
      <c r="B538" s="2"/>
      <c r="C538" s="2"/>
      <c r="E538" s="2" t="str">
        <f>IFERROR(__xludf.DUMMYFUNCTION("IFERROR(
 VLOOKUP(
   C538,
   FILTER(Vendors_Pricing!A:E, Vendors_Pricing!H:H=""Yes""),
   5,
   FALSE
 ),
 """"
)
"),"")</f>
        <v/>
      </c>
    </row>
    <row r="539" ht="15.75" customHeight="1">
      <c r="B539" s="2"/>
      <c r="C539" s="2"/>
      <c r="E539" s="2" t="str">
        <f>IFERROR(__xludf.DUMMYFUNCTION("IFERROR(
 VLOOKUP(
   C539,
   FILTER(Vendors_Pricing!A:E, Vendors_Pricing!H:H=""Yes""),
   5,
   FALSE
 ),
 """"
)
"),"")</f>
        <v/>
      </c>
    </row>
    <row r="540" ht="15.75" customHeight="1">
      <c r="B540" s="2"/>
      <c r="C540" s="2"/>
      <c r="E540" s="2" t="str">
        <f>IFERROR(__xludf.DUMMYFUNCTION("IFERROR(
 VLOOKUP(
   C540,
   FILTER(Vendors_Pricing!A:E, Vendors_Pricing!H:H=""Yes""),
   5,
   FALSE
 ),
 """"
)
"),"")</f>
        <v/>
      </c>
    </row>
    <row r="541" ht="15.75" customHeight="1">
      <c r="B541" s="2"/>
      <c r="C541" s="2"/>
      <c r="E541" s="2" t="str">
        <f>IFERROR(__xludf.DUMMYFUNCTION("IFERROR(
 VLOOKUP(
   C541,
   FILTER(Vendors_Pricing!A:E, Vendors_Pricing!H:H=""Yes""),
   5,
   FALSE
 ),
 """"
)
"),"")</f>
        <v/>
      </c>
    </row>
    <row r="542" ht="15.75" customHeight="1">
      <c r="B542" s="2"/>
      <c r="C542" s="2"/>
      <c r="E542" s="2" t="str">
        <f>IFERROR(__xludf.DUMMYFUNCTION("IFERROR(
 VLOOKUP(
   C542,
   FILTER(Vendors_Pricing!A:E, Vendors_Pricing!H:H=""Yes""),
   5,
   FALSE
 ),
 """"
)
"),"")</f>
        <v/>
      </c>
    </row>
    <row r="543" ht="15.75" customHeight="1">
      <c r="B543" s="2"/>
      <c r="C543" s="2"/>
      <c r="E543" s="2" t="str">
        <f>IFERROR(__xludf.DUMMYFUNCTION("IFERROR(
 VLOOKUP(
   C543,
   FILTER(Vendors_Pricing!A:E, Vendors_Pricing!H:H=""Yes""),
   5,
   FALSE
 ),
 """"
)
"),"")</f>
        <v/>
      </c>
    </row>
    <row r="544" ht="15.75" customHeight="1">
      <c r="B544" s="2"/>
      <c r="C544" s="2"/>
      <c r="E544" s="2" t="str">
        <f>IFERROR(__xludf.DUMMYFUNCTION("IFERROR(
 VLOOKUP(
   C544,
   FILTER(Vendors_Pricing!A:E, Vendors_Pricing!H:H=""Yes""),
   5,
   FALSE
 ),
 """"
)
"),"")</f>
        <v/>
      </c>
    </row>
    <row r="545" ht="15.75" customHeight="1">
      <c r="B545" s="2"/>
      <c r="C545" s="2"/>
      <c r="E545" s="2" t="str">
        <f>IFERROR(__xludf.DUMMYFUNCTION("IFERROR(
 VLOOKUP(
   C545,
   FILTER(Vendors_Pricing!A:E, Vendors_Pricing!H:H=""Yes""),
   5,
   FALSE
 ),
 """"
)
"),"")</f>
        <v/>
      </c>
    </row>
    <row r="546" ht="15.75" customHeight="1">
      <c r="B546" s="2"/>
      <c r="C546" s="2"/>
      <c r="E546" s="2" t="str">
        <f>IFERROR(__xludf.DUMMYFUNCTION("IFERROR(
 VLOOKUP(
   C546,
   FILTER(Vendors_Pricing!A:E, Vendors_Pricing!H:H=""Yes""),
   5,
   FALSE
 ),
 """"
)
"),"")</f>
        <v/>
      </c>
    </row>
    <row r="547" ht="15.75" customHeight="1">
      <c r="B547" s="2"/>
      <c r="C547" s="2"/>
      <c r="E547" s="2" t="str">
        <f>IFERROR(__xludf.DUMMYFUNCTION("IFERROR(
 VLOOKUP(
   C547,
   FILTER(Vendors_Pricing!A:E, Vendors_Pricing!H:H=""Yes""),
   5,
   FALSE
 ),
 """"
)
"),"")</f>
        <v/>
      </c>
    </row>
    <row r="548" ht="15.75" customHeight="1">
      <c r="B548" s="2"/>
      <c r="C548" s="2"/>
      <c r="E548" s="2" t="str">
        <f>IFERROR(__xludf.DUMMYFUNCTION("IFERROR(
 VLOOKUP(
   C548,
   FILTER(Vendors_Pricing!A:E, Vendors_Pricing!H:H=""Yes""),
   5,
   FALSE
 ),
 """"
)
"),"")</f>
        <v/>
      </c>
    </row>
    <row r="549" ht="15.75" customHeight="1">
      <c r="B549" s="2"/>
      <c r="C549" s="2"/>
      <c r="E549" s="2" t="str">
        <f>IFERROR(__xludf.DUMMYFUNCTION("IFERROR(
 VLOOKUP(
   C549,
   FILTER(Vendors_Pricing!A:E, Vendors_Pricing!H:H=""Yes""),
   5,
   FALSE
 ),
 """"
)
"),"")</f>
        <v/>
      </c>
    </row>
    <row r="550" ht="15.75" customHeight="1">
      <c r="B550" s="2"/>
      <c r="C550" s="2"/>
      <c r="E550" s="2" t="str">
        <f>IFERROR(__xludf.DUMMYFUNCTION("IFERROR(
 VLOOKUP(
   C550,
   FILTER(Vendors_Pricing!A:E, Vendors_Pricing!H:H=""Yes""),
   5,
   FALSE
 ),
 """"
)
"),"")</f>
        <v/>
      </c>
    </row>
    <row r="551" ht="15.75" customHeight="1">
      <c r="B551" s="2"/>
      <c r="C551" s="2"/>
      <c r="E551" s="2" t="str">
        <f>IFERROR(__xludf.DUMMYFUNCTION("IFERROR(
 VLOOKUP(
   C551,
   FILTER(Vendors_Pricing!A:E, Vendors_Pricing!H:H=""Yes""),
   5,
   FALSE
 ),
 """"
)
"),"")</f>
        <v/>
      </c>
    </row>
    <row r="552" ht="15.75" customHeight="1">
      <c r="B552" s="2"/>
      <c r="C552" s="2"/>
      <c r="E552" s="2" t="str">
        <f>IFERROR(__xludf.DUMMYFUNCTION("IFERROR(
 VLOOKUP(
   C552,
   FILTER(Vendors_Pricing!A:E, Vendors_Pricing!H:H=""Yes""),
   5,
   FALSE
 ),
 """"
)
"),"")</f>
        <v/>
      </c>
    </row>
    <row r="553" ht="15.75" customHeight="1">
      <c r="B553" s="2"/>
      <c r="C553" s="2"/>
      <c r="E553" s="2" t="str">
        <f>IFERROR(__xludf.DUMMYFUNCTION("IFERROR(
 VLOOKUP(
   C553,
   FILTER(Vendors_Pricing!A:E, Vendors_Pricing!H:H=""Yes""),
   5,
   FALSE
 ),
 """"
)
"),"")</f>
        <v/>
      </c>
    </row>
    <row r="554" ht="15.75" customHeight="1">
      <c r="B554" s="2"/>
      <c r="C554" s="2"/>
      <c r="E554" s="2" t="str">
        <f>IFERROR(__xludf.DUMMYFUNCTION("IFERROR(
 VLOOKUP(
   C554,
   FILTER(Vendors_Pricing!A:E, Vendors_Pricing!H:H=""Yes""),
   5,
   FALSE
 ),
 """"
)
"),"")</f>
        <v/>
      </c>
    </row>
    <row r="555" ht="15.75" customHeight="1">
      <c r="B555" s="2"/>
      <c r="C555" s="2"/>
      <c r="E555" s="2" t="str">
        <f>IFERROR(__xludf.DUMMYFUNCTION("IFERROR(
 VLOOKUP(
   C555,
   FILTER(Vendors_Pricing!A:E, Vendors_Pricing!H:H=""Yes""),
   5,
   FALSE
 ),
 """"
)
"),"")</f>
        <v/>
      </c>
    </row>
    <row r="556" ht="15.75" customHeight="1">
      <c r="B556" s="2"/>
      <c r="C556" s="2"/>
    </row>
    <row r="557" ht="15.75" customHeight="1">
      <c r="B557" s="2"/>
      <c r="C557" s="2"/>
    </row>
    <row r="558" ht="15.75" customHeight="1">
      <c r="B558" s="2"/>
      <c r="C558" s="2"/>
    </row>
    <row r="559" ht="15.75" customHeight="1">
      <c r="B559" s="2"/>
      <c r="C559" s="2"/>
    </row>
    <row r="560" ht="15.75" customHeight="1">
      <c r="B560" s="2"/>
      <c r="C560" s="2"/>
    </row>
    <row r="561" ht="15.75" customHeight="1">
      <c r="B561" s="2"/>
      <c r="C561" s="2"/>
    </row>
    <row r="562" ht="15.75" customHeight="1">
      <c r="B562" s="2"/>
      <c r="C562" s="2"/>
    </row>
    <row r="563" ht="15.75" customHeight="1">
      <c r="B563" s="2"/>
      <c r="C563" s="2"/>
    </row>
    <row r="564" ht="15.75" customHeight="1">
      <c r="B564" s="2"/>
      <c r="C564" s="2"/>
    </row>
    <row r="565" ht="15.75" customHeight="1">
      <c r="B565" s="2"/>
      <c r="C565" s="2"/>
    </row>
    <row r="566" ht="15.75" customHeight="1">
      <c r="B566" s="2"/>
      <c r="C566" s="2"/>
    </row>
    <row r="567" ht="15.75" customHeight="1">
      <c r="B567" s="2"/>
      <c r="C567" s="2"/>
    </row>
    <row r="568" ht="15.75" customHeight="1">
      <c r="B568" s="2"/>
      <c r="C568" s="2"/>
    </row>
    <row r="569" ht="15.75" customHeight="1">
      <c r="B569" s="2"/>
      <c r="C569" s="2"/>
    </row>
    <row r="570" ht="15.75" customHeight="1">
      <c r="B570" s="2"/>
      <c r="C570" s="2"/>
    </row>
    <row r="571" ht="15.75" customHeight="1">
      <c r="B571" s="2"/>
      <c r="C571" s="2"/>
    </row>
    <row r="572" ht="15.75" customHeight="1">
      <c r="B572" s="2"/>
      <c r="C572" s="2"/>
    </row>
    <row r="573" ht="15.75" customHeight="1">
      <c r="B573" s="2"/>
      <c r="C573" s="2"/>
    </row>
    <row r="574" ht="15.75" customHeight="1">
      <c r="B574" s="2"/>
      <c r="C574" s="2"/>
    </row>
    <row r="575" ht="15.75" customHeight="1">
      <c r="B575" s="2"/>
      <c r="C575" s="2"/>
    </row>
    <row r="576" ht="15.75" customHeight="1">
      <c r="B576" s="2"/>
      <c r="C576" s="2"/>
    </row>
    <row r="577" ht="15.75" customHeight="1">
      <c r="B577" s="2"/>
      <c r="C577" s="2"/>
    </row>
    <row r="578" ht="15.75" customHeight="1">
      <c r="B578" s="2"/>
      <c r="C578" s="2"/>
    </row>
    <row r="579" ht="15.75" customHeight="1">
      <c r="B579" s="2"/>
      <c r="C579" s="2"/>
    </row>
    <row r="580" ht="15.75" customHeight="1">
      <c r="B580" s="2"/>
      <c r="C580" s="2"/>
    </row>
    <row r="581" ht="15.75" customHeight="1">
      <c r="B581" s="2"/>
      <c r="C581" s="2"/>
    </row>
    <row r="582" ht="15.75" customHeight="1">
      <c r="B582" s="2"/>
      <c r="C582" s="2"/>
    </row>
    <row r="583" ht="15.75" customHeight="1">
      <c r="B583" s="2"/>
      <c r="C583" s="2"/>
    </row>
    <row r="584" ht="15.75" customHeight="1">
      <c r="B584" s="2"/>
      <c r="C584" s="2"/>
    </row>
    <row r="585" ht="15.75" customHeight="1">
      <c r="B585" s="2"/>
      <c r="C585" s="2"/>
    </row>
    <row r="586" ht="15.75" customHeight="1">
      <c r="B586" s="2"/>
      <c r="C586" s="2"/>
    </row>
    <row r="587" ht="15.75" customHeight="1">
      <c r="B587" s="2"/>
      <c r="C587" s="2"/>
    </row>
    <row r="588" ht="15.75" customHeight="1">
      <c r="B588" s="2"/>
      <c r="C588" s="2"/>
    </row>
    <row r="589" ht="15.75" customHeight="1">
      <c r="B589" s="2"/>
      <c r="C589" s="2"/>
    </row>
    <row r="590" ht="15.75" customHeight="1">
      <c r="B590" s="2"/>
      <c r="C590" s="2"/>
    </row>
    <row r="591" ht="15.75" customHeight="1">
      <c r="B591" s="2"/>
      <c r="C591" s="2"/>
    </row>
    <row r="592" ht="15.75" customHeight="1">
      <c r="B592" s="2"/>
      <c r="C592" s="2"/>
    </row>
    <row r="593" ht="15.75" customHeight="1">
      <c r="B593" s="2"/>
      <c r="C593" s="2"/>
    </row>
    <row r="594" ht="15.75" customHeight="1">
      <c r="B594" s="2"/>
      <c r="C594" s="2"/>
    </row>
    <row r="595" ht="15.75" customHeight="1">
      <c r="B595" s="2"/>
      <c r="C595" s="2"/>
    </row>
    <row r="596" ht="15.75" customHeight="1">
      <c r="B596" s="2"/>
      <c r="C596" s="2"/>
    </row>
    <row r="597" ht="15.75" customHeight="1">
      <c r="B597" s="2"/>
      <c r="C597" s="2"/>
    </row>
    <row r="598" ht="15.75" customHeight="1">
      <c r="B598" s="2"/>
      <c r="C598" s="2"/>
    </row>
    <row r="599" ht="15.75" customHeight="1">
      <c r="B599" s="2"/>
      <c r="C599" s="2"/>
    </row>
    <row r="600" ht="15.75" customHeight="1">
      <c r="B600" s="2"/>
      <c r="C600" s="2"/>
    </row>
    <row r="601" ht="15.75" customHeight="1">
      <c r="B601" s="2"/>
      <c r="C601" s="2"/>
    </row>
    <row r="602" ht="15.75" customHeight="1">
      <c r="B602" s="2"/>
      <c r="C602" s="2"/>
    </row>
    <row r="603" ht="15.75" customHeight="1">
      <c r="B603" s="2"/>
      <c r="C603" s="2"/>
    </row>
    <row r="604" ht="15.75" customHeight="1">
      <c r="B604" s="2"/>
      <c r="C604" s="2"/>
    </row>
    <row r="605" ht="15.75" customHeight="1">
      <c r="B605" s="2"/>
      <c r="C605" s="2"/>
    </row>
    <row r="606" ht="15.75" customHeight="1">
      <c r="B606" s="2"/>
      <c r="C606" s="2"/>
    </row>
    <row r="607" ht="15.75" customHeight="1">
      <c r="B607" s="2"/>
      <c r="C607" s="2"/>
    </row>
    <row r="608" ht="15.75" customHeight="1">
      <c r="B608" s="2"/>
      <c r="C608" s="2"/>
    </row>
    <row r="609" ht="15.75" customHeight="1">
      <c r="B609" s="2"/>
      <c r="C609" s="2"/>
    </row>
    <row r="610" ht="15.75" customHeight="1">
      <c r="B610" s="2"/>
      <c r="C610" s="2"/>
    </row>
    <row r="611" ht="15.75" customHeight="1">
      <c r="B611" s="2"/>
      <c r="C611" s="2"/>
    </row>
    <row r="612" ht="15.75" customHeight="1">
      <c r="B612" s="2"/>
      <c r="C612" s="2"/>
    </row>
    <row r="613" ht="15.75" customHeight="1">
      <c r="B613" s="2"/>
      <c r="C613" s="2"/>
    </row>
    <row r="614" ht="15.75" customHeight="1">
      <c r="B614" s="2"/>
      <c r="C614" s="2"/>
    </row>
    <row r="615" ht="15.75" customHeight="1">
      <c r="B615" s="2"/>
      <c r="C615" s="2"/>
    </row>
    <row r="616" ht="15.75" customHeight="1">
      <c r="B616" s="2"/>
      <c r="C616" s="2"/>
    </row>
    <row r="617" ht="15.75" customHeight="1">
      <c r="B617" s="2"/>
      <c r="C617" s="2"/>
    </row>
    <row r="618" ht="15.75" customHeight="1">
      <c r="B618" s="2"/>
      <c r="C618" s="2"/>
    </row>
    <row r="619" ht="15.75" customHeight="1">
      <c r="B619" s="2"/>
      <c r="C619" s="2"/>
    </row>
    <row r="620" ht="15.75" customHeight="1">
      <c r="B620" s="2"/>
      <c r="C620" s="2"/>
    </row>
    <row r="621" ht="15.75" customHeight="1">
      <c r="B621" s="2"/>
      <c r="C621" s="2"/>
    </row>
    <row r="622" ht="15.75" customHeight="1">
      <c r="B622" s="2"/>
      <c r="C622" s="2"/>
    </row>
    <row r="623" ht="15.75" customHeight="1">
      <c r="B623" s="2"/>
      <c r="C623" s="2"/>
    </row>
    <row r="624" ht="15.75" customHeight="1">
      <c r="B624" s="2"/>
      <c r="C624" s="2"/>
    </row>
    <row r="625" ht="15.75" customHeight="1">
      <c r="B625" s="2"/>
      <c r="C625" s="2"/>
    </row>
    <row r="626" ht="15.75" customHeight="1">
      <c r="B626" s="2"/>
      <c r="C626" s="2"/>
    </row>
    <row r="627" ht="15.75" customHeight="1">
      <c r="B627" s="2"/>
      <c r="C627" s="2"/>
    </row>
    <row r="628" ht="15.75" customHeight="1">
      <c r="B628" s="2"/>
      <c r="C628" s="2"/>
    </row>
    <row r="629" ht="15.75" customHeight="1">
      <c r="B629" s="2"/>
      <c r="C629" s="2"/>
    </row>
    <row r="630" ht="15.75" customHeight="1">
      <c r="B630" s="2"/>
      <c r="C630" s="2"/>
    </row>
    <row r="631" ht="15.75" customHeight="1">
      <c r="B631" s="2"/>
      <c r="C631" s="2"/>
    </row>
    <row r="632" ht="15.75" customHeight="1">
      <c r="B632" s="2"/>
      <c r="C632" s="2"/>
    </row>
    <row r="633" ht="15.75" customHeight="1">
      <c r="B633" s="2"/>
      <c r="C633" s="2"/>
    </row>
    <row r="634" ht="15.75" customHeight="1">
      <c r="B634" s="2"/>
      <c r="C634" s="2"/>
    </row>
    <row r="635" ht="15.75" customHeight="1">
      <c r="B635" s="2"/>
      <c r="C635" s="2"/>
    </row>
    <row r="636" ht="15.75" customHeight="1">
      <c r="B636" s="2"/>
      <c r="C636" s="2"/>
    </row>
    <row r="637" ht="15.75" customHeight="1">
      <c r="B637" s="2"/>
      <c r="C637" s="2"/>
    </row>
    <row r="638" ht="15.75" customHeight="1">
      <c r="B638" s="2"/>
      <c r="C638" s="2"/>
    </row>
    <row r="639" ht="15.75" customHeight="1">
      <c r="B639" s="2"/>
      <c r="C639" s="2"/>
    </row>
    <row r="640" ht="15.75" customHeight="1">
      <c r="B640" s="2"/>
      <c r="C640" s="2"/>
    </row>
    <row r="641" ht="15.75" customHeight="1">
      <c r="B641" s="2"/>
      <c r="C641" s="2"/>
    </row>
    <row r="642" ht="15.75" customHeight="1">
      <c r="B642" s="2"/>
      <c r="C642" s="2"/>
    </row>
    <row r="643" ht="15.75" customHeight="1">
      <c r="B643" s="2"/>
      <c r="C643" s="2"/>
    </row>
    <row r="644" ht="15.75" customHeight="1">
      <c r="B644" s="2"/>
      <c r="C644" s="2"/>
    </row>
    <row r="645" ht="15.75" customHeight="1">
      <c r="B645" s="2"/>
      <c r="C645" s="2"/>
    </row>
    <row r="646" ht="15.75" customHeight="1">
      <c r="B646" s="2"/>
      <c r="C646" s="2"/>
    </row>
    <row r="647" ht="15.75" customHeight="1">
      <c r="B647" s="2"/>
      <c r="C647" s="2"/>
    </row>
    <row r="648" ht="15.75" customHeight="1">
      <c r="B648" s="2"/>
      <c r="C648" s="2"/>
    </row>
    <row r="649" ht="15.75" customHeight="1">
      <c r="B649" s="2"/>
      <c r="C649" s="2"/>
    </row>
    <row r="650" ht="15.75" customHeight="1">
      <c r="B650" s="2"/>
      <c r="C650" s="2"/>
    </row>
    <row r="651" ht="15.75" customHeight="1">
      <c r="B651" s="2"/>
      <c r="C651" s="2"/>
    </row>
    <row r="652" ht="15.75" customHeight="1">
      <c r="B652" s="2"/>
      <c r="C652" s="2"/>
    </row>
    <row r="653" ht="15.75" customHeight="1">
      <c r="B653" s="2"/>
      <c r="C653" s="2"/>
    </row>
    <row r="654" ht="15.75" customHeight="1">
      <c r="B654" s="2"/>
      <c r="C654" s="2"/>
    </row>
    <row r="655" ht="15.75" customHeight="1">
      <c r="B655" s="2"/>
      <c r="C655" s="2"/>
    </row>
    <row r="656" ht="15.75" customHeight="1">
      <c r="B656" s="2"/>
      <c r="C656" s="2"/>
    </row>
    <row r="657" ht="15.75" customHeight="1">
      <c r="B657" s="2"/>
      <c r="C657" s="2"/>
    </row>
    <row r="658" ht="15.75" customHeight="1">
      <c r="B658" s="2"/>
      <c r="C658" s="2"/>
    </row>
    <row r="659" ht="15.75" customHeight="1">
      <c r="B659" s="2"/>
      <c r="C659" s="2"/>
    </row>
    <row r="660" ht="15.75" customHeight="1">
      <c r="B660" s="2"/>
      <c r="C660" s="2"/>
    </row>
    <row r="661" ht="15.75" customHeight="1">
      <c r="B661" s="2"/>
      <c r="C661" s="2"/>
    </row>
    <row r="662" ht="15.75" customHeight="1">
      <c r="B662" s="2"/>
      <c r="C662" s="2"/>
    </row>
    <row r="663" ht="15.75" customHeight="1">
      <c r="B663" s="2"/>
      <c r="C663" s="2"/>
    </row>
    <row r="664" ht="15.75" customHeight="1">
      <c r="B664" s="2"/>
      <c r="C664" s="2"/>
    </row>
    <row r="665" ht="15.75" customHeight="1">
      <c r="B665" s="2"/>
      <c r="C665" s="2"/>
    </row>
    <row r="666" ht="15.75" customHeight="1">
      <c r="B666" s="2"/>
      <c r="C666" s="2"/>
    </row>
    <row r="667" ht="15.75" customHeight="1">
      <c r="B667" s="2"/>
      <c r="C667" s="2"/>
    </row>
    <row r="668" ht="15.75" customHeight="1">
      <c r="B668" s="2"/>
      <c r="C668" s="2"/>
    </row>
    <row r="669" ht="15.75" customHeight="1">
      <c r="B669" s="2"/>
      <c r="C669" s="2"/>
    </row>
    <row r="670" ht="15.75" customHeight="1">
      <c r="B670" s="2"/>
      <c r="C670" s="2"/>
    </row>
    <row r="671" ht="15.75" customHeight="1">
      <c r="B671" s="2"/>
      <c r="C671" s="2"/>
    </row>
    <row r="672" ht="15.75" customHeight="1">
      <c r="B672" s="2"/>
      <c r="C672" s="2"/>
    </row>
    <row r="673" ht="15.75" customHeight="1">
      <c r="B673" s="2"/>
      <c r="C673" s="2"/>
    </row>
    <row r="674" ht="15.75" customHeight="1">
      <c r="B674" s="2"/>
      <c r="C674" s="2"/>
    </row>
    <row r="675" ht="15.75" customHeight="1">
      <c r="B675" s="2"/>
      <c r="C675" s="2"/>
    </row>
    <row r="676" ht="15.75" customHeight="1">
      <c r="B676" s="2"/>
      <c r="C676" s="2"/>
    </row>
    <row r="677" ht="15.75" customHeight="1">
      <c r="B677" s="2"/>
      <c r="C677" s="2"/>
    </row>
    <row r="678" ht="15.75" customHeight="1">
      <c r="B678" s="2"/>
      <c r="C678" s="2"/>
    </row>
    <row r="679" ht="15.75" customHeight="1">
      <c r="B679" s="2"/>
      <c r="C679" s="2"/>
    </row>
    <row r="680" ht="15.75" customHeight="1">
      <c r="B680" s="2"/>
      <c r="C680" s="2"/>
    </row>
    <row r="681" ht="15.75" customHeight="1">
      <c r="B681" s="2"/>
      <c r="C681" s="2"/>
    </row>
    <row r="682" ht="15.75" customHeight="1">
      <c r="B682" s="2"/>
      <c r="C682" s="2"/>
    </row>
    <row r="683" ht="15.75" customHeight="1">
      <c r="B683" s="2"/>
      <c r="C683" s="2"/>
    </row>
    <row r="684" ht="15.75" customHeight="1">
      <c r="B684" s="2"/>
      <c r="C684" s="2"/>
    </row>
    <row r="685" ht="15.75" customHeight="1">
      <c r="B685" s="2"/>
      <c r="C685" s="2"/>
    </row>
    <row r="686" ht="15.75" customHeight="1">
      <c r="B686" s="2"/>
      <c r="C686" s="2"/>
    </row>
    <row r="687" ht="15.75" customHeight="1">
      <c r="B687" s="2"/>
      <c r="C687" s="2"/>
    </row>
    <row r="688" ht="15.75" customHeight="1">
      <c r="B688" s="2"/>
      <c r="C688" s="2"/>
    </row>
    <row r="689" ht="15.75" customHeight="1">
      <c r="B689" s="2"/>
      <c r="C689" s="2"/>
    </row>
    <row r="690" ht="15.75" customHeight="1">
      <c r="B690" s="2"/>
      <c r="C690" s="2"/>
    </row>
    <row r="691" ht="15.75" customHeight="1">
      <c r="B691" s="2"/>
      <c r="C691" s="2"/>
    </row>
    <row r="692" ht="15.75" customHeight="1">
      <c r="B692" s="2"/>
      <c r="C692" s="2"/>
    </row>
    <row r="693" ht="15.75" customHeight="1">
      <c r="B693" s="2"/>
      <c r="C693" s="2"/>
    </row>
    <row r="694" ht="15.75" customHeight="1">
      <c r="B694" s="2"/>
      <c r="C694" s="2"/>
    </row>
    <row r="695" ht="15.75" customHeight="1">
      <c r="B695" s="2"/>
      <c r="C695" s="2"/>
    </row>
    <row r="696" ht="15.75" customHeight="1">
      <c r="B696" s="2"/>
      <c r="C696" s="2"/>
    </row>
    <row r="697" ht="15.75" customHeight="1">
      <c r="B697" s="2"/>
      <c r="C697" s="2"/>
    </row>
    <row r="698" ht="15.75" customHeight="1">
      <c r="B698" s="2"/>
      <c r="C698" s="2"/>
    </row>
    <row r="699" ht="15.75" customHeight="1">
      <c r="B699" s="2"/>
      <c r="C699" s="2"/>
    </row>
    <row r="700" ht="15.75" customHeight="1">
      <c r="B700" s="2"/>
      <c r="C700" s="2"/>
    </row>
    <row r="701" ht="15.75" customHeight="1">
      <c r="B701" s="2"/>
      <c r="C701" s="2"/>
    </row>
    <row r="702" ht="15.75" customHeight="1">
      <c r="B702" s="2"/>
      <c r="C702" s="2"/>
    </row>
    <row r="703" ht="15.75" customHeight="1">
      <c r="B703" s="2"/>
      <c r="C703" s="2"/>
    </row>
    <row r="704" ht="15.75" customHeight="1">
      <c r="B704" s="2"/>
      <c r="C704" s="2"/>
    </row>
    <row r="705" ht="15.75" customHeight="1">
      <c r="B705" s="2"/>
      <c r="C705" s="2"/>
    </row>
    <row r="706" ht="15.75" customHeight="1">
      <c r="B706" s="2"/>
      <c r="C706" s="2"/>
    </row>
    <row r="707" ht="15.75" customHeight="1">
      <c r="B707" s="2"/>
      <c r="C707" s="2"/>
    </row>
    <row r="708" ht="15.75" customHeight="1">
      <c r="B708" s="2"/>
      <c r="C708" s="2"/>
    </row>
    <row r="709" ht="15.75" customHeight="1">
      <c r="B709" s="2"/>
      <c r="C709" s="2"/>
    </row>
    <row r="710" ht="15.75" customHeight="1">
      <c r="B710" s="2"/>
      <c r="C710" s="2"/>
    </row>
    <row r="711" ht="15.75" customHeight="1">
      <c r="B711" s="2"/>
      <c r="C711" s="2"/>
    </row>
    <row r="712" ht="15.75" customHeight="1">
      <c r="B712" s="2"/>
      <c r="C712" s="2"/>
    </row>
    <row r="713" ht="15.75" customHeight="1">
      <c r="B713" s="2"/>
      <c r="C713" s="2"/>
    </row>
    <row r="714" ht="15.75" customHeight="1">
      <c r="B714" s="2"/>
      <c r="C714" s="2"/>
    </row>
    <row r="715" ht="15.75" customHeight="1">
      <c r="B715" s="2"/>
      <c r="C715" s="2"/>
    </row>
    <row r="716" ht="15.75" customHeight="1">
      <c r="B716" s="2"/>
      <c r="C716" s="2"/>
    </row>
    <row r="717" ht="15.75" customHeight="1">
      <c r="B717" s="2"/>
      <c r="C717" s="2"/>
    </row>
    <row r="718" ht="15.75" customHeight="1">
      <c r="B718" s="2"/>
      <c r="C718" s="2"/>
    </row>
    <row r="719" ht="15.75" customHeight="1">
      <c r="B719" s="2"/>
      <c r="C719" s="2"/>
    </row>
    <row r="720" ht="15.75" customHeight="1">
      <c r="B720" s="2"/>
      <c r="C720" s="2"/>
    </row>
    <row r="721" ht="15.75" customHeight="1">
      <c r="B721" s="2"/>
      <c r="C721" s="2"/>
    </row>
    <row r="722" ht="15.75" customHeight="1">
      <c r="B722" s="2"/>
      <c r="C722" s="2"/>
    </row>
    <row r="723" ht="15.75" customHeight="1">
      <c r="B723" s="2"/>
      <c r="C723" s="2"/>
    </row>
    <row r="724" ht="15.75" customHeight="1">
      <c r="B724" s="2"/>
      <c r="C724" s="2"/>
    </row>
    <row r="725" ht="15.75" customHeight="1">
      <c r="B725" s="2"/>
      <c r="C725" s="2"/>
    </row>
    <row r="726" ht="15.75" customHeight="1">
      <c r="B726" s="2"/>
      <c r="C726" s="2"/>
    </row>
    <row r="727" ht="15.75" customHeight="1">
      <c r="B727" s="2"/>
      <c r="C727" s="2"/>
    </row>
    <row r="728" ht="15.75" customHeight="1">
      <c r="B728" s="2"/>
      <c r="C728" s="2"/>
    </row>
    <row r="729" ht="15.75" customHeight="1">
      <c r="B729" s="2"/>
      <c r="C729" s="2"/>
    </row>
    <row r="730" ht="15.75" customHeight="1">
      <c r="B730" s="2"/>
      <c r="C730" s="2"/>
    </row>
    <row r="731" ht="15.75" customHeight="1">
      <c r="B731" s="2"/>
      <c r="C731" s="2"/>
    </row>
    <row r="732" ht="15.75" customHeight="1">
      <c r="B732" s="2"/>
      <c r="C732" s="2"/>
    </row>
    <row r="733" ht="15.75" customHeight="1">
      <c r="B733" s="2"/>
      <c r="C733" s="2"/>
    </row>
    <row r="734" ht="15.75" customHeight="1">
      <c r="B734" s="2"/>
      <c r="C734" s="2"/>
    </row>
    <row r="735" ht="15.75" customHeight="1">
      <c r="B735" s="2"/>
      <c r="C735" s="2"/>
    </row>
    <row r="736" ht="15.75" customHeight="1">
      <c r="B736" s="2"/>
      <c r="C736" s="2"/>
    </row>
    <row r="737" ht="15.75" customHeight="1">
      <c r="B737" s="2"/>
      <c r="C737" s="2"/>
    </row>
    <row r="738" ht="15.75" customHeight="1">
      <c r="B738" s="2"/>
      <c r="C738" s="2"/>
    </row>
    <row r="739" ht="15.75" customHeight="1">
      <c r="B739" s="2"/>
      <c r="C739" s="2"/>
    </row>
    <row r="740" ht="15.75" customHeight="1">
      <c r="B740" s="2"/>
      <c r="C740" s="2"/>
    </row>
    <row r="741" ht="15.75" customHeight="1">
      <c r="B741" s="2"/>
      <c r="C741" s="2"/>
    </row>
    <row r="742" ht="15.75" customHeight="1">
      <c r="B742" s="2"/>
      <c r="C742" s="2"/>
    </row>
    <row r="743" ht="15.75" customHeight="1">
      <c r="B743" s="2"/>
      <c r="C743" s="2"/>
    </row>
    <row r="744" ht="15.75" customHeight="1">
      <c r="B744" s="2"/>
      <c r="C744" s="2"/>
    </row>
    <row r="745" ht="15.75" customHeight="1">
      <c r="B745" s="2"/>
      <c r="C745" s="2"/>
    </row>
    <row r="746" ht="15.75" customHeight="1">
      <c r="B746" s="2"/>
      <c r="C746" s="2"/>
    </row>
    <row r="747" ht="15.75" customHeight="1">
      <c r="B747" s="2"/>
      <c r="C747" s="2"/>
    </row>
    <row r="748" ht="15.75" customHeight="1">
      <c r="B748" s="2"/>
      <c r="C748" s="2"/>
    </row>
    <row r="749" ht="15.75" customHeight="1">
      <c r="B749" s="2"/>
      <c r="C749" s="2"/>
    </row>
    <row r="750" ht="15.75" customHeight="1">
      <c r="B750" s="2"/>
      <c r="C750" s="2"/>
    </row>
    <row r="751" ht="15.75" customHeight="1">
      <c r="B751" s="2"/>
      <c r="C751" s="2"/>
    </row>
    <row r="752" ht="15.75" customHeight="1">
      <c r="B752" s="2"/>
      <c r="C752" s="2"/>
    </row>
    <row r="753" ht="15.75" customHeight="1">
      <c r="B753" s="2"/>
      <c r="C753" s="2"/>
    </row>
    <row r="754" ht="15.75" customHeight="1">
      <c r="B754" s="2"/>
      <c r="C754" s="2"/>
    </row>
    <row r="755" ht="15.75" customHeight="1">
      <c r="B755" s="2"/>
      <c r="C755" s="2"/>
    </row>
    <row r="756" ht="15.75" customHeight="1">
      <c r="B756" s="9"/>
      <c r="C756" s="9"/>
    </row>
    <row r="757" ht="15.75" customHeight="1">
      <c r="B757" s="9"/>
      <c r="C757" s="9"/>
    </row>
    <row r="758" ht="15.75" customHeight="1">
      <c r="B758" s="9"/>
      <c r="C758" s="9"/>
    </row>
    <row r="759" ht="15.75" customHeight="1">
      <c r="B759" s="9"/>
      <c r="C759" s="9"/>
    </row>
    <row r="760" ht="15.75" customHeight="1">
      <c r="B760" s="9"/>
      <c r="C760" s="9"/>
    </row>
    <row r="761" ht="15.75" customHeight="1">
      <c r="B761" s="9"/>
      <c r="C761" s="9"/>
    </row>
    <row r="762" ht="15.75" customHeight="1">
      <c r="B762" s="9"/>
      <c r="C762" s="9"/>
    </row>
    <row r="763" ht="15.75" customHeight="1">
      <c r="B763" s="9"/>
      <c r="C763" s="9"/>
    </row>
    <row r="764" ht="15.75" customHeight="1">
      <c r="B764" s="9"/>
      <c r="C764" s="9"/>
    </row>
    <row r="765" ht="15.75" customHeight="1">
      <c r="B765" s="9"/>
      <c r="C765" s="9"/>
    </row>
    <row r="766" ht="15.75" customHeight="1">
      <c r="B766" s="9"/>
      <c r="C766" s="9"/>
    </row>
    <row r="767" ht="15.75" customHeight="1">
      <c r="B767" s="9"/>
      <c r="C767" s="9"/>
    </row>
    <row r="768" ht="15.75" customHeight="1">
      <c r="B768" s="9"/>
      <c r="C768" s="9"/>
    </row>
    <row r="769" ht="15.75" customHeight="1">
      <c r="B769" s="9"/>
      <c r="C769" s="9"/>
    </row>
    <row r="770" ht="15.75" customHeight="1">
      <c r="B770" s="9"/>
      <c r="C770" s="9"/>
    </row>
    <row r="771" ht="15.75" customHeight="1">
      <c r="B771" s="9"/>
      <c r="C771" s="9"/>
    </row>
    <row r="772" ht="15.75" customHeight="1">
      <c r="B772" s="9"/>
      <c r="C772" s="9"/>
    </row>
    <row r="773" ht="15.75" customHeight="1">
      <c r="B773" s="9"/>
      <c r="C773" s="9"/>
    </row>
    <row r="774" ht="15.75" customHeight="1">
      <c r="B774" s="9"/>
      <c r="C774" s="9"/>
    </row>
    <row r="775" ht="15.75" customHeight="1">
      <c r="B775" s="9"/>
      <c r="C775" s="9"/>
    </row>
    <row r="776" ht="15.75" customHeight="1">
      <c r="B776" s="9"/>
      <c r="C776" s="9"/>
    </row>
    <row r="777" ht="15.75" customHeight="1">
      <c r="B777" s="9"/>
      <c r="C777" s="9"/>
    </row>
    <row r="778" ht="15.75" customHeight="1">
      <c r="B778" s="9"/>
      <c r="C778" s="9"/>
    </row>
    <row r="779" ht="15.75" customHeight="1">
      <c r="B779" s="9"/>
      <c r="C779" s="9"/>
    </row>
    <row r="780" ht="15.75" customHeight="1">
      <c r="B780" s="9"/>
      <c r="C780" s="9"/>
    </row>
    <row r="781" ht="15.75" customHeight="1">
      <c r="B781" s="9"/>
      <c r="C781" s="9"/>
    </row>
    <row r="782" ht="15.75" customHeight="1">
      <c r="B782" s="9"/>
      <c r="C782" s="9"/>
    </row>
    <row r="783" ht="15.75" customHeight="1">
      <c r="B783" s="9"/>
      <c r="C783" s="9"/>
    </row>
    <row r="784" ht="15.75" customHeight="1">
      <c r="B784" s="9"/>
      <c r="C784" s="9"/>
    </row>
    <row r="785" ht="15.75" customHeight="1">
      <c r="B785" s="9"/>
      <c r="C785" s="9"/>
    </row>
    <row r="786" ht="15.75" customHeight="1">
      <c r="B786" s="9"/>
      <c r="C786" s="9"/>
    </row>
    <row r="787" ht="15.75" customHeight="1">
      <c r="B787" s="9"/>
      <c r="C787" s="9"/>
    </row>
    <row r="788" ht="15.75" customHeight="1">
      <c r="B788" s="9"/>
      <c r="C788" s="9"/>
    </row>
    <row r="789" ht="15.75" customHeight="1">
      <c r="B789" s="9"/>
      <c r="C789" s="9"/>
    </row>
    <row r="790" ht="15.75" customHeight="1">
      <c r="B790" s="9"/>
      <c r="C790" s="9"/>
    </row>
    <row r="791" ht="15.75" customHeight="1">
      <c r="B791" s="9"/>
      <c r="C791" s="9"/>
    </row>
    <row r="792" ht="15.75" customHeight="1">
      <c r="B792" s="9"/>
      <c r="C792" s="9"/>
    </row>
    <row r="793" ht="15.75" customHeight="1">
      <c r="B793" s="9"/>
      <c r="C793" s="9"/>
    </row>
    <row r="794" ht="15.75" customHeight="1">
      <c r="B794" s="9"/>
      <c r="C794" s="9"/>
    </row>
    <row r="795" ht="15.75" customHeight="1">
      <c r="B795" s="9"/>
      <c r="C795" s="9"/>
    </row>
    <row r="796" ht="15.75" customHeight="1">
      <c r="B796" s="9"/>
      <c r="C796" s="9"/>
    </row>
    <row r="797" ht="15.75" customHeight="1">
      <c r="B797" s="9"/>
      <c r="C797" s="9"/>
    </row>
    <row r="798" ht="15.75" customHeight="1">
      <c r="B798" s="9"/>
      <c r="C798" s="9"/>
    </row>
    <row r="799" ht="15.75" customHeight="1">
      <c r="B799" s="9"/>
      <c r="C799" s="9"/>
    </row>
    <row r="800" ht="15.75" customHeight="1">
      <c r="B800" s="9"/>
      <c r="C800" s="9"/>
    </row>
    <row r="801" ht="15.75" customHeight="1">
      <c r="B801" s="9"/>
      <c r="C801" s="9"/>
    </row>
    <row r="802" ht="15.75" customHeight="1">
      <c r="B802" s="9"/>
      <c r="C802" s="9"/>
    </row>
    <row r="803" ht="15.75" customHeight="1">
      <c r="B803" s="9"/>
      <c r="C803" s="9"/>
    </row>
    <row r="804" ht="15.75" customHeight="1">
      <c r="B804" s="9"/>
      <c r="C804" s="9"/>
    </row>
    <row r="805" ht="15.75" customHeight="1">
      <c r="B805" s="9"/>
      <c r="C805" s="9"/>
    </row>
    <row r="806" ht="15.75" customHeight="1">
      <c r="B806" s="9"/>
      <c r="C806" s="9"/>
    </row>
    <row r="807" ht="15.75" customHeight="1">
      <c r="B807" s="9"/>
      <c r="C807" s="9"/>
    </row>
    <row r="808" ht="15.75" customHeight="1">
      <c r="B808" s="9"/>
      <c r="C808" s="9"/>
    </row>
    <row r="809" ht="15.75" customHeight="1">
      <c r="B809" s="9"/>
      <c r="C809" s="9"/>
    </row>
    <row r="810" ht="15.75" customHeight="1">
      <c r="B810" s="9"/>
      <c r="C810" s="9"/>
    </row>
    <row r="811" ht="15.75" customHeight="1">
      <c r="B811" s="9"/>
      <c r="C811" s="9"/>
    </row>
    <row r="812" ht="15.75" customHeight="1">
      <c r="B812" s="9"/>
      <c r="C812" s="9"/>
    </row>
    <row r="813" ht="15.75" customHeight="1">
      <c r="B813" s="9"/>
      <c r="C813" s="9"/>
    </row>
    <row r="814" ht="15.75" customHeight="1">
      <c r="B814" s="9"/>
      <c r="C814" s="9"/>
    </row>
    <row r="815" ht="15.75" customHeight="1">
      <c r="B815" s="9"/>
      <c r="C815" s="9"/>
    </row>
    <row r="816" ht="15.75" customHeight="1">
      <c r="B816" s="9"/>
      <c r="C816" s="9"/>
    </row>
    <row r="817" ht="15.75" customHeight="1">
      <c r="B817" s="9"/>
      <c r="C817" s="9"/>
    </row>
    <row r="818" ht="15.75" customHeight="1">
      <c r="B818" s="9"/>
      <c r="C818" s="9"/>
    </row>
    <row r="819" ht="15.75" customHeight="1">
      <c r="B819" s="9"/>
      <c r="C819" s="9"/>
    </row>
    <row r="820" ht="15.75" customHeight="1">
      <c r="B820" s="9"/>
      <c r="C820" s="9"/>
    </row>
    <row r="821" ht="15.75" customHeight="1">
      <c r="B821" s="9"/>
      <c r="C821" s="9"/>
    </row>
    <row r="822" ht="15.75" customHeight="1">
      <c r="B822" s="9"/>
      <c r="C822" s="9"/>
    </row>
    <row r="823" ht="15.75" customHeight="1">
      <c r="B823" s="9"/>
      <c r="C823" s="9"/>
    </row>
    <row r="824" ht="15.75" customHeight="1">
      <c r="B824" s="9"/>
      <c r="C824" s="9"/>
    </row>
    <row r="825" ht="15.75" customHeight="1">
      <c r="B825" s="9"/>
      <c r="C825" s="9"/>
    </row>
    <row r="826" ht="15.75" customHeight="1">
      <c r="B826" s="9"/>
      <c r="C826" s="9"/>
    </row>
    <row r="827" ht="15.75" customHeight="1">
      <c r="B827" s="9"/>
      <c r="C827" s="9"/>
    </row>
    <row r="828" ht="15.75" customHeight="1">
      <c r="B828" s="9"/>
      <c r="C828" s="9"/>
    </row>
    <row r="829" ht="15.75" customHeight="1">
      <c r="B829" s="9"/>
      <c r="C829" s="9"/>
    </row>
    <row r="830" ht="15.75" customHeight="1">
      <c r="B830" s="9"/>
      <c r="C830" s="9"/>
    </row>
    <row r="831" ht="15.75" customHeight="1">
      <c r="B831" s="9"/>
      <c r="C831" s="9"/>
    </row>
    <row r="832" ht="15.75" customHeight="1">
      <c r="B832" s="9"/>
      <c r="C832" s="9"/>
    </row>
    <row r="833" ht="15.75" customHeight="1">
      <c r="B833" s="9"/>
      <c r="C833" s="9"/>
    </row>
    <row r="834" ht="15.75" customHeight="1">
      <c r="B834" s="9"/>
      <c r="C834" s="9"/>
    </row>
    <row r="835" ht="15.75" customHeight="1">
      <c r="B835" s="9"/>
      <c r="C835" s="9"/>
    </row>
    <row r="836" ht="15.75" customHeight="1">
      <c r="B836" s="9"/>
      <c r="C836" s="9"/>
    </row>
    <row r="837" ht="15.75" customHeight="1">
      <c r="B837" s="9"/>
      <c r="C837" s="9"/>
    </row>
    <row r="838" ht="15.75" customHeight="1">
      <c r="B838" s="9"/>
      <c r="C838" s="9"/>
    </row>
    <row r="839" ht="15.75" customHeight="1">
      <c r="B839" s="9"/>
      <c r="C839" s="9"/>
    </row>
    <row r="840" ht="15.75" customHeight="1">
      <c r="B840" s="9"/>
      <c r="C840" s="9"/>
    </row>
    <row r="841" ht="15.75" customHeight="1">
      <c r="B841" s="9"/>
      <c r="C841" s="9"/>
    </row>
    <row r="842" ht="15.75" customHeight="1">
      <c r="B842" s="9"/>
      <c r="C842" s="9"/>
    </row>
    <row r="843" ht="15.75" customHeight="1">
      <c r="B843" s="9"/>
      <c r="C843" s="9"/>
    </row>
    <row r="844" ht="15.75" customHeight="1">
      <c r="B844" s="9"/>
      <c r="C844" s="9"/>
    </row>
    <row r="845" ht="15.75" customHeight="1">
      <c r="B845" s="9"/>
      <c r="C845" s="9"/>
    </row>
    <row r="846" ht="15.75" customHeight="1">
      <c r="B846" s="9"/>
      <c r="C846" s="9"/>
    </row>
    <row r="847" ht="15.75" customHeight="1">
      <c r="B847" s="9"/>
      <c r="C847" s="9"/>
    </row>
    <row r="848" ht="15.75" customHeight="1">
      <c r="B848" s="9"/>
      <c r="C848" s="9"/>
    </row>
    <row r="849" ht="15.75" customHeight="1">
      <c r="B849" s="9"/>
      <c r="C849" s="9"/>
    </row>
    <row r="850" ht="15.75" customHeight="1">
      <c r="B850" s="9"/>
      <c r="C850" s="9"/>
    </row>
    <row r="851" ht="15.75" customHeight="1">
      <c r="B851" s="9"/>
      <c r="C851" s="9"/>
    </row>
    <row r="852" ht="15.75" customHeight="1">
      <c r="B852" s="9"/>
      <c r="C852" s="9"/>
    </row>
    <row r="853" ht="15.75" customHeight="1">
      <c r="B853" s="9"/>
      <c r="C853" s="9"/>
    </row>
    <row r="854" ht="15.75" customHeight="1">
      <c r="B854" s="9"/>
      <c r="C854" s="9"/>
    </row>
    <row r="855" ht="15.75" customHeight="1">
      <c r="B855" s="9"/>
      <c r="C855" s="9"/>
    </row>
    <row r="856" ht="15.75" customHeight="1">
      <c r="B856" s="9"/>
      <c r="C856" s="9"/>
    </row>
    <row r="857" ht="15.75" customHeight="1">
      <c r="B857" s="9"/>
      <c r="C857" s="9"/>
    </row>
    <row r="858" ht="15.75" customHeight="1">
      <c r="B858" s="9"/>
      <c r="C858" s="9"/>
    </row>
    <row r="859" ht="15.75" customHeight="1">
      <c r="B859" s="9"/>
      <c r="C859" s="9"/>
    </row>
    <row r="860" ht="15.75" customHeight="1">
      <c r="B860" s="9"/>
      <c r="C860" s="9"/>
    </row>
    <row r="861" ht="15.75" customHeight="1">
      <c r="B861" s="9"/>
      <c r="C861" s="9"/>
    </row>
    <row r="862" ht="15.75" customHeight="1">
      <c r="B862" s="9"/>
      <c r="C862" s="9"/>
    </row>
    <row r="863" ht="15.75" customHeight="1">
      <c r="B863" s="9"/>
      <c r="C863" s="9"/>
    </row>
    <row r="864" ht="15.75" customHeight="1">
      <c r="B864" s="9"/>
      <c r="C864" s="9"/>
    </row>
    <row r="865" ht="15.75" customHeight="1">
      <c r="B865" s="9"/>
      <c r="C865" s="9"/>
    </row>
    <row r="866" ht="15.75" customHeight="1">
      <c r="B866" s="9"/>
      <c r="C866" s="9"/>
    </row>
    <row r="867" ht="15.75" customHeight="1">
      <c r="B867" s="9"/>
      <c r="C867" s="9"/>
    </row>
    <row r="868" ht="15.75" customHeight="1">
      <c r="B868" s="9"/>
      <c r="C868" s="9"/>
    </row>
    <row r="869" ht="15.75" customHeight="1">
      <c r="B869" s="9"/>
      <c r="C869" s="9"/>
    </row>
    <row r="870" ht="15.75" customHeight="1">
      <c r="B870" s="9"/>
      <c r="C870" s="9"/>
    </row>
    <row r="871" ht="15.75" customHeight="1">
      <c r="B871" s="9"/>
      <c r="C871" s="9"/>
    </row>
    <row r="872" ht="15.75" customHeight="1">
      <c r="B872" s="9"/>
      <c r="C872" s="9"/>
    </row>
    <row r="873" ht="15.75" customHeight="1">
      <c r="B873" s="9"/>
      <c r="C873" s="9"/>
    </row>
    <row r="874" ht="15.75" customHeight="1">
      <c r="B874" s="9"/>
      <c r="C874" s="9"/>
    </row>
    <row r="875" ht="15.75" customHeight="1">
      <c r="B875" s="9"/>
      <c r="C875" s="9"/>
    </row>
    <row r="876" ht="15.75" customHeight="1">
      <c r="B876" s="9"/>
      <c r="C876" s="9"/>
    </row>
    <row r="877" ht="15.75" customHeight="1">
      <c r="B877" s="9"/>
      <c r="C877" s="9"/>
    </row>
    <row r="878" ht="15.75" customHeight="1">
      <c r="B878" s="9"/>
      <c r="C878" s="9"/>
    </row>
    <row r="879" ht="15.75" customHeight="1">
      <c r="B879" s="9"/>
      <c r="C879" s="9"/>
    </row>
    <row r="880" ht="15.75" customHeight="1">
      <c r="B880" s="9"/>
      <c r="C880" s="9"/>
    </row>
    <row r="881" ht="15.75" customHeight="1">
      <c r="B881" s="9"/>
      <c r="C881" s="9"/>
    </row>
    <row r="882" ht="15.75" customHeight="1">
      <c r="B882" s="9"/>
      <c r="C882" s="9"/>
    </row>
    <row r="883" ht="15.75" customHeight="1">
      <c r="B883" s="9"/>
      <c r="C883" s="9"/>
    </row>
    <row r="884" ht="15.75" customHeight="1">
      <c r="B884" s="9"/>
      <c r="C884" s="9"/>
    </row>
    <row r="885" ht="15.75" customHeight="1">
      <c r="B885" s="9"/>
      <c r="C885" s="9"/>
    </row>
    <row r="886" ht="15.75" customHeight="1">
      <c r="B886" s="9"/>
      <c r="C886" s="9"/>
    </row>
    <row r="887" ht="15.75" customHeight="1">
      <c r="B887" s="9"/>
      <c r="C887" s="9"/>
    </row>
    <row r="888" ht="15.75" customHeight="1">
      <c r="B888" s="9"/>
      <c r="C888" s="9"/>
    </row>
    <row r="889" ht="15.75" customHeight="1">
      <c r="B889" s="9"/>
      <c r="C889" s="9"/>
    </row>
    <row r="890" ht="15.75" customHeight="1">
      <c r="B890" s="9"/>
      <c r="C890" s="9"/>
    </row>
    <row r="891" ht="15.75" customHeight="1">
      <c r="B891" s="9"/>
      <c r="C891" s="9"/>
    </row>
    <row r="892" ht="15.75" customHeight="1">
      <c r="B892" s="9"/>
      <c r="C892" s="9"/>
    </row>
    <row r="893" ht="15.75" customHeight="1">
      <c r="B893" s="9"/>
      <c r="C893" s="9"/>
    </row>
    <row r="894" ht="15.75" customHeight="1">
      <c r="B894" s="9"/>
      <c r="C894" s="9"/>
    </row>
    <row r="895" ht="15.75" customHeight="1">
      <c r="B895" s="9"/>
      <c r="C895" s="9"/>
    </row>
    <row r="896" ht="15.75" customHeight="1">
      <c r="B896" s="9"/>
      <c r="C896" s="9"/>
    </row>
    <row r="897" ht="15.75" customHeight="1">
      <c r="B897" s="9"/>
      <c r="C897" s="9"/>
    </row>
    <row r="898" ht="15.75" customHeight="1">
      <c r="B898" s="9"/>
      <c r="C898" s="9"/>
    </row>
    <row r="899" ht="15.75" customHeight="1">
      <c r="B899" s="9"/>
      <c r="C899" s="9"/>
    </row>
    <row r="900" ht="15.75" customHeight="1">
      <c r="B900" s="9"/>
      <c r="C900" s="9"/>
    </row>
    <row r="901" ht="15.75" customHeight="1">
      <c r="B901" s="9"/>
      <c r="C901" s="9"/>
    </row>
    <row r="902" ht="15.75" customHeight="1">
      <c r="B902" s="9"/>
      <c r="C902" s="9"/>
    </row>
    <row r="903" ht="15.75" customHeight="1">
      <c r="B903" s="9"/>
      <c r="C903" s="9"/>
    </row>
    <row r="904" ht="15.75" customHeight="1">
      <c r="B904" s="9"/>
      <c r="C904" s="9"/>
    </row>
    <row r="905" ht="15.75" customHeight="1">
      <c r="B905" s="9"/>
      <c r="C905" s="9"/>
    </row>
    <row r="906" ht="15.75" customHeight="1">
      <c r="B906" s="9"/>
      <c r="C906" s="9"/>
    </row>
    <row r="907" ht="15.75" customHeight="1">
      <c r="B907" s="9"/>
      <c r="C907" s="9"/>
    </row>
    <row r="908" ht="15.75" customHeight="1">
      <c r="B908" s="9"/>
      <c r="C908" s="9"/>
    </row>
    <row r="909" ht="15.75" customHeight="1">
      <c r="B909" s="9"/>
      <c r="C909" s="9"/>
    </row>
    <row r="910" ht="15.75" customHeight="1">
      <c r="B910" s="9"/>
      <c r="C910" s="9"/>
    </row>
    <row r="911" ht="15.75" customHeight="1">
      <c r="B911" s="9"/>
      <c r="C911" s="9"/>
    </row>
    <row r="912" ht="15.75" customHeight="1">
      <c r="B912" s="9"/>
      <c r="C912" s="9"/>
    </row>
    <row r="913" ht="15.75" customHeight="1">
      <c r="B913" s="9"/>
      <c r="C913" s="9"/>
    </row>
    <row r="914" ht="15.75" customHeight="1">
      <c r="B914" s="9"/>
      <c r="C914" s="9"/>
    </row>
    <row r="915" ht="15.75" customHeight="1">
      <c r="B915" s="9"/>
      <c r="C915" s="9"/>
    </row>
    <row r="916" ht="15.75" customHeight="1">
      <c r="B916" s="9"/>
      <c r="C916" s="9"/>
    </row>
    <row r="917" ht="15.75" customHeight="1">
      <c r="B917" s="9"/>
      <c r="C917" s="9"/>
    </row>
    <row r="918" ht="15.75" customHeight="1">
      <c r="B918" s="9"/>
      <c r="C918" s="9"/>
    </row>
    <row r="919" ht="15.75" customHeight="1">
      <c r="B919" s="9"/>
      <c r="C919" s="9"/>
    </row>
    <row r="920" ht="15.75" customHeight="1">
      <c r="B920" s="9"/>
      <c r="C920" s="9"/>
    </row>
    <row r="921" ht="15.75" customHeight="1">
      <c r="B921" s="9"/>
      <c r="C921" s="9"/>
    </row>
    <row r="922" ht="15.75" customHeight="1">
      <c r="B922" s="9"/>
      <c r="C922" s="9"/>
    </row>
    <row r="923" ht="15.75" customHeight="1">
      <c r="B923" s="9"/>
      <c r="C923" s="9"/>
    </row>
    <row r="924" ht="15.75" customHeight="1">
      <c r="B924" s="9"/>
      <c r="C924" s="9"/>
    </row>
    <row r="925" ht="15.75" customHeight="1">
      <c r="B925" s="9"/>
      <c r="C925" s="9"/>
    </row>
    <row r="926" ht="15.75" customHeight="1">
      <c r="B926" s="9"/>
      <c r="C926" s="9"/>
    </row>
    <row r="927" ht="15.75" customHeight="1">
      <c r="B927" s="9"/>
      <c r="C927" s="9"/>
    </row>
    <row r="928" ht="15.75" customHeight="1">
      <c r="B928" s="9"/>
      <c r="C928" s="9"/>
    </row>
    <row r="929" ht="15.75" customHeight="1">
      <c r="B929" s="9"/>
      <c r="C929" s="9"/>
    </row>
    <row r="930" ht="15.75" customHeight="1">
      <c r="B930" s="9"/>
      <c r="C930" s="9"/>
    </row>
    <row r="931" ht="15.75" customHeight="1">
      <c r="B931" s="9"/>
      <c r="C931" s="9"/>
    </row>
    <row r="932" ht="15.75" customHeight="1">
      <c r="B932" s="9"/>
      <c r="C932" s="9"/>
    </row>
    <row r="933" ht="15.75" customHeight="1">
      <c r="B933" s="9"/>
      <c r="C933" s="9"/>
    </row>
    <row r="934" ht="15.75" customHeight="1">
      <c r="B934" s="9"/>
      <c r="C934" s="9"/>
    </row>
    <row r="935" ht="15.75" customHeight="1">
      <c r="B935" s="9"/>
      <c r="C935" s="9"/>
    </row>
    <row r="936" ht="15.75" customHeight="1">
      <c r="B936" s="9"/>
      <c r="C936" s="9"/>
    </row>
    <row r="937" ht="15.75" customHeight="1">
      <c r="B937" s="9"/>
      <c r="C937" s="9"/>
    </row>
    <row r="938" ht="15.75" customHeight="1">
      <c r="B938" s="9"/>
      <c r="C938" s="9"/>
    </row>
    <row r="939" ht="15.75" customHeight="1">
      <c r="B939" s="9"/>
      <c r="C939" s="9"/>
    </row>
    <row r="940" ht="15.75" customHeight="1">
      <c r="B940" s="9"/>
      <c r="C940" s="9"/>
    </row>
    <row r="941" ht="15.75" customHeight="1">
      <c r="B941" s="9"/>
      <c r="C941" s="9"/>
    </row>
    <row r="942" ht="15.75" customHeight="1">
      <c r="B942" s="9"/>
      <c r="C942" s="9"/>
    </row>
    <row r="943" ht="15.75" customHeight="1">
      <c r="B943" s="9"/>
      <c r="C943" s="9"/>
    </row>
    <row r="944" ht="15.75" customHeight="1">
      <c r="B944" s="9"/>
      <c r="C944" s="9"/>
    </row>
    <row r="945" ht="15.75" customHeight="1">
      <c r="B945" s="9"/>
      <c r="C945" s="9"/>
    </row>
    <row r="946" ht="15.75" customHeight="1">
      <c r="B946" s="9"/>
      <c r="C946" s="9"/>
    </row>
    <row r="947" ht="15.75" customHeight="1">
      <c r="B947" s="9"/>
      <c r="C947" s="9"/>
    </row>
    <row r="948" ht="15.75" customHeight="1">
      <c r="B948" s="9"/>
      <c r="C948" s="9"/>
    </row>
    <row r="949" ht="15.75" customHeight="1">
      <c r="B949" s="9"/>
      <c r="C949" s="9"/>
    </row>
    <row r="950" ht="15.75" customHeight="1">
      <c r="B950" s="9"/>
      <c r="C950" s="9"/>
    </row>
    <row r="951" ht="15.75" customHeight="1">
      <c r="B951" s="9"/>
      <c r="C951" s="9"/>
    </row>
    <row r="952" ht="15.75" customHeight="1">
      <c r="B952" s="9"/>
      <c r="C952" s="9"/>
    </row>
    <row r="953" ht="15.75" customHeight="1">
      <c r="B953" s="9"/>
      <c r="C953" s="9"/>
    </row>
    <row r="954" ht="15.75" customHeight="1">
      <c r="B954" s="9"/>
      <c r="C954" s="9"/>
    </row>
    <row r="955" ht="15.75" customHeight="1">
      <c r="B955" s="9"/>
      <c r="C955" s="9"/>
    </row>
    <row r="956" ht="15.75" customHeight="1">
      <c r="B956" s="9"/>
      <c r="C956" s="9"/>
    </row>
    <row r="957" ht="15.75" customHeight="1">
      <c r="B957" s="9"/>
      <c r="C957" s="9"/>
    </row>
    <row r="958" ht="15.75" customHeight="1">
      <c r="B958" s="9"/>
      <c r="C958" s="9"/>
    </row>
    <row r="959" ht="15.75" customHeight="1">
      <c r="B959" s="9"/>
      <c r="C959" s="9"/>
    </row>
    <row r="960" ht="15.75" customHeight="1">
      <c r="B960" s="9"/>
      <c r="C960" s="9"/>
    </row>
    <row r="961" ht="15.75" customHeight="1">
      <c r="B961" s="9"/>
      <c r="C961" s="9"/>
    </row>
    <row r="962" ht="15.75" customHeight="1">
      <c r="B962" s="9"/>
      <c r="C962" s="9"/>
    </row>
    <row r="963" ht="15.75" customHeight="1">
      <c r="B963" s="9"/>
      <c r="C963" s="9"/>
    </row>
    <row r="964" ht="15.75" customHeight="1">
      <c r="B964" s="9"/>
      <c r="C964" s="9"/>
    </row>
    <row r="965" ht="15.75" customHeight="1">
      <c r="B965" s="9"/>
      <c r="C965" s="9"/>
    </row>
    <row r="966" ht="15.75" customHeight="1">
      <c r="B966" s="9"/>
      <c r="C966" s="9"/>
    </row>
    <row r="967" ht="15.75" customHeight="1">
      <c r="B967" s="9"/>
      <c r="C967" s="9"/>
    </row>
    <row r="968" ht="15.75" customHeight="1">
      <c r="B968" s="9"/>
      <c r="C968" s="9"/>
    </row>
    <row r="969" ht="15.75" customHeight="1">
      <c r="B969" s="9"/>
      <c r="C969" s="9"/>
    </row>
    <row r="970" ht="15.75" customHeight="1">
      <c r="B970" s="9"/>
      <c r="C970" s="9"/>
    </row>
    <row r="971" ht="15.75" customHeight="1">
      <c r="B971" s="9"/>
      <c r="C971" s="9"/>
    </row>
    <row r="972" ht="15.75" customHeight="1">
      <c r="B972" s="9"/>
      <c r="C972" s="9"/>
    </row>
    <row r="973" ht="15.75" customHeight="1">
      <c r="B973" s="9"/>
      <c r="C973" s="9"/>
    </row>
    <row r="974" ht="15.75" customHeight="1">
      <c r="B974" s="9"/>
      <c r="C974" s="9"/>
    </row>
    <row r="975" ht="15.75" customHeight="1">
      <c r="B975" s="9"/>
      <c r="C975" s="9"/>
    </row>
    <row r="976" ht="15.75" customHeight="1">
      <c r="B976" s="9"/>
      <c r="C976" s="9"/>
    </row>
    <row r="977" ht="15.75" customHeight="1">
      <c r="B977" s="9"/>
      <c r="C977" s="9"/>
    </row>
    <row r="978" ht="15.75" customHeight="1">
      <c r="B978" s="9"/>
      <c r="C978" s="9"/>
    </row>
    <row r="979" ht="15.75" customHeight="1">
      <c r="B979" s="9"/>
      <c r="C979" s="9"/>
    </row>
    <row r="980" ht="15.75" customHeight="1">
      <c r="B980" s="9"/>
      <c r="C980" s="9"/>
    </row>
    <row r="981" ht="15.75" customHeight="1">
      <c r="B981" s="9"/>
      <c r="C981" s="9"/>
    </row>
    <row r="982" ht="15.75" customHeight="1">
      <c r="B982" s="9"/>
      <c r="C982" s="9"/>
    </row>
    <row r="983" ht="15.75" customHeight="1">
      <c r="B983" s="9"/>
      <c r="C983" s="9"/>
    </row>
    <row r="984" ht="15.75" customHeight="1">
      <c r="B984" s="9"/>
      <c r="C984" s="9"/>
    </row>
    <row r="985" ht="15.75" customHeight="1">
      <c r="B985" s="9"/>
      <c r="C985" s="9"/>
    </row>
    <row r="986" ht="15.75" customHeight="1">
      <c r="B986" s="9"/>
      <c r="C986" s="9"/>
    </row>
    <row r="987" ht="15.75" customHeight="1">
      <c r="B987" s="9"/>
      <c r="C987" s="9"/>
    </row>
    <row r="988" ht="15.75" customHeight="1">
      <c r="B988" s="9"/>
      <c r="C988" s="9"/>
    </row>
    <row r="989" ht="15.75" customHeight="1">
      <c r="B989" s="9"/>
      <c r="C989" s="9"/>
    </row>
    <row r="990" ht="15.75" customHeight="1">
      <c r="B990" s="9"/>
      <c r="C990" s="9"/>
    </row>
    <row r="991" ht="15.75" customHeight="1">
      <c r="B991" s="9"/>
      <c r="C991" s="9"/>
    </row>
    <row r="992" ht="15.75" customHeight="1">
      <c r="B992" s="9"/>
      <c r="C992" s="9"/>
    </row>
    <row r="993" ht="15.75" customHeight="1">
      <c r="B993" s="9"/>
      <c r="C993" s="9"/>
    </row>
    <row r="994" ht="15.75" customHeight="1">
      <c r="B994" s="9"/>
      <c r="C994" s="9"/>
    </row>
    <row r="995" ht="15.75" customHeight="1">
      <c r="B995" s="9"/>
      <c r="C995" s="9"/>
    </row>
    <row r="996" ht="15.75" customHeight="1">
      <c r="B996" s="9"/>
      <c r="C996" s="9"/>
    </row>
    <row r="997" ht="15.75" customHeight="1">
      <c r="B997" s="9"/>
      <c r="C997" s="9"/>
    </row>
    <row r="998" ht="15.75" customHeight="1">
      <c r="B998" s="9"/>
      <c r="C998" s="9"/>
    </row>
    <row r="999" ht="15.75" customHeight="1">
      <c r="B999" s="9"/>
      <c r="C999" s="9"/>
    </row>
    <row r="1000" ht="15.75" customHeight="1">
      <c r="B1000" s="9"/>
      <c r="C1000" s="9"/>
    </row>
  </sheetData>
  <dataValidations>
    <dataValidation type="list" allowBlank="1" showErrorMessage="1" sqref="B2:B1000">
      <formula1>Vendors!$A$2:$A1000</formula1>
    </dataValidation>
    <dataValidation type="list" allowBlank="1" showErrorMessage="1" sqref="C2:C1000">
      <formula1>Master_Items!$C$2:$C1004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6" width="12.63"/>
  </cols>
  <sheetData>
    <row r="1" ht="15.75" customHeight="1">
      <c r="A1" s="2" t="s">
        <v>278</v>
      </c>
    </row>
    <row r="2" ht="15.75" customHeight="1">
      <c r="A2" s="2" t="s">
        <v>279</v>
      </c>
    </row>
    <row r="3" ht="15.75" customHeight="1">
      <c r="A3" s="2" t="s">
        <v>280</v>
      </c>
    </row>
    <row r="4" ht="15.75" customHeight="1">
      <c r="A4" s="2" t="s">
        <v>281</v>
      </c>
    </row>
    <row r="5" ht="15.75" customHeight="1">
      <c r="A5" s="2" t="s">
        <v>282</v>
      </c>
    </row>
    <row r="6" ht="15.75" customHeight="1">
      <c r="A6" s="2" t="s">
        <v>283</v>
      </c>
    </row>
    <row r="7" ht="15.75" customHeight="1">
      <c r="A7" s="2" t="s">
        <v>284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