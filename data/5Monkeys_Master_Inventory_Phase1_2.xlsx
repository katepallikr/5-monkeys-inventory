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ster_Items" sheetId="1" state="visible" r:id="rId1"/>
    <sheet xmlns:r="http://schemas.openxmlformats.org/officeDocument/2006/relationships" name="Vendors_Pricing" sheetId="2" state="visible" r:id="rId2"/>
    <sheet xmlns:r="http://schemas.openxmlformats.org/officeDocument/2006/relationships" name="Inventory_Tracking" sheetId="3" state="visible" r:id="rId3"/>
    <sheet xmlns:r="http://schemas.openxmlformats.org/officeDocument/2006/relationships" name="Purchases_Log" sheetId="4" state="visible" r:id="rId4"/>
    <sheet xmlns:r="http://schemas.openxmlformats.org/officeDocument/2006/relationships" name="Vend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theme="7"/>
        <bgColor theme="7"/>
      </patternFill>
    </fill>
  </fills>
  <borders count="1">
    <border/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3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1004"/>
  <sheetViews>
    <sheetView workbookViewId="0">
      <selection activeCell="A1" sqref="A1"/>
    </sheetView>
  </sheetViews>
  <sheetFormatPr baseColWidth="8" defaultColWidth="12.63" defaultRowHeight="15" customHeight="1"/>
  <cols>
    <col width="10.5" customWidth="1" style="14" min="1" max="1"/>
    <col width="14.13" customWidth="1" style="14" min="2" max="2"/>
    <col width="25.63" customWidth="1" style="14" min="3" max="3"/>
    <col width="14.88" customWidth="1" style="14" min="4" max="4"/>
    <col width="5.5" customWidth="1" style="14" min="5" max="5"/>
    <col width="5.25" customWidth="1" style="14" min="6" max="6"/>
    <col width="8" customWidth="1" style="14" min="7" max="7"/>
    <col width="10.13" customWidth="1" style="14" min="8" max="8"/>
    <col width="5.5" customWidth="1" style="14" min="9" max="9"/>
    <col width="11.5" customWidth="1" style="14" min="10" max="10"/>
    <col width="5.38" customWidth="1" style="14" min="11" max="11"/>
    <col width="13.63" customWidth="1" style="14" min="12" max="12"/>
  </cols>
  <sheetData>
    <row r="1" ht="15.75" customHeight="1" s="14">
      <c r="A1" t="inlineStr">
        <is>
          <t>Item ID</t>
        </is>
      </c>
      <c r="B1" s="1" t="inlineStr">
        <is>
          <t>Category</t>
        </is>
      </c>
      <c r="C1" s="1" t="inlineStr">
        <is>
          <t>Sub-Category</t>
        </is>
      </c>
      <c r="D1" s="1" t="inlineStr">
        <is>
          <t>Item Name</t>
        </is>
      </c>
      <c r="E1" s="1" t="inlineStr">
        <is>
          <t>Brand</t>
        </is>
      </c>
      <c r="F1" s="1" t="inlineStr">
        <is>
          <t>Size</t>
        </is>
      </c>
      <c r="G1" s="1" t="inlineStr">
        <is>
          <t>Unit</t>
        </is>
      </c>
      <c r="H1" s="1" t="inlineStr">
        <is>
          <t>Par Level</t>
        </is>
      </c>
      <c r="I1" s="1" t="inlineStr">
        <is>
          <t>Reorder Qty</t>
        </is>
      </c>
      <c r="J1" s="1" t="inlineStr">
        <is>
          <t>Active</t>
        </is>
      </c>
      <c r="K1" s="1" t="inlineStr">
        <is>
          <t>Pour Size (oz)</t>
        </is>
      </c>
      <c r="L1" s="1" t="inlineStr">
        <is>
          <t>Notes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15.75" customHeight="1" s="14">
      <c r="A2" t="inlineStr">
        <is>
          <t>I-0001</t>
        </is>
      </c>
      <c r="B2" s="5" t="inlineStr">
        <is>
          <t>Liquor</t>
        </is>
      </c>
      <c r="C2" s="5" t="inlineStr">
        <is>
          <t>Whiskey</t>
        </is>
      </c>
      <c r="D2" s="5" t="inlineStr">
        <is>
          <t>Jameson Irish</t>
        </is>
      </c>
      <c r="E2" s="5" t="inlineStr">
        <is>
          <t>Jameson</t>
        </is>
      </c>
      <c r="F2" s="5" t="inlineStr">
        <is>
          <t>1L</t>
        </is>
      </c>
      <c r="G2" s="5" t="inlineStr">
        <is>
          <t>Bottle</t>
        </is>
      </c>
      <c r="H2" s="5" t="n">
        <v>8</v>
      </c>
      <c r="I2" s="5" t="n">
        <v>4</v>
      </c>
      <c r="J2" s="5">
        <f>IF(ISNUMBER(MATCH(B2,Inventory_Tracking!$B$2:$B$1000,0)),"No","Yes")
</f>
        <v/>
      </c>
      <c r="K2" s="5" t="n">
        <v>2</v>
      </c>
      <c r="M2" s="5" t="n"/>
    </row>
    <row r="3" ht="15.75" customHeight="1" s="14">
      <c r="A3" t="inlineStr">
        <is>
          <t>I-0002</t>
        </is>
      </c>
      <c r="B3" s="5" t="inlineStr">
        <is>
          <t>Liquor</t>
        </is>
      </c>
      <c r="C3" s="5" t="inlineStr">
        <is>
          <t>Whiskey</t>
        </is>
      </c>
      <c r="D3" s="5" t="inlineStr">
        <is>
          <t>Four Walls</t>
        </is>
      </c>
      <c r="E3" s="5" t="inlineStr">
        <is>
          <t>Four</t>
        </is>
      </c>
      <c r="F3" s="5" t="n">
        <v>750</v>
      </c>
      <c r="G3" s="5" t="inlineStr">
        <is>
          <t>Bottle</t>
        </is>
      </c>
      <c r="H3" s="5" t="n">
        <v>8</v>
      </c>
      <c r="I3" s="5" t="n">
        <v>4</v>
      </c>
      <c r="J3" s="5">
        <f>IF(ISNUMBER(MATCH(B3,Inventory_Tracking!$B$2:$B$1000,0)),"No","Yes")
</f>
        <v/>
      </c>
      <c r="K3" s="5" t="n">
        <v>2</v>
      </c>
      <c r="M3" s="5" t="n"/>
    </row>
    <row r="4" ht="15.75" customHeight="1" s="14">
      <c r="A4" t="inlineStr">
        <is>
          <t>I-0003</t>
        </is>
      </c>
      <c r="B4" s="5" t="inlineStr">
        <is>
          <t>Liquor</t>
        </is>
      </c>
      <c r="C4" s="5" t="inlineStr">
        <is>
          <t>Whiskey</t>
        </is>
      </c>
      <c r="D4" s="5" t="inlineStr">
        <is>
          <t>Crown Royal Apple</t>
        </is>
      </c>
      <c r="E4" s="5" t="inlineStr">
        <is>
          <t>Crown Royal</t>
        </is>
      </c>
      <c r="F4" s="5" t="inlineStr">
        <is>
          <t>750ml</t>
        </is>
      </c>
      <c r="G4" s="5" t="inlineStr">
        <is>
          <t>Bottle</t>
        </is>
      </c>
      <c r="H4" s="5" t="n">
        <v>6</v>
      </c>
      <c r="I4" s="5" t="n">
        <v>3</v>
      </c>
      <c r="J4" s="5">
        <f>IF(ISNUMBER(MATCH(B4,Inventory_Tracking!$B$2:$B$1000,0)),"No","Yes")
</f>
        <v/>
      </c>
      <c r="K4" s="5" t="n">
        <v>2</v>
      </c>
      <c r="M4" s="5" t="n"/>
    </row>
    <row r="5" ht="15.75" customHeight="1" s="14">
      <c r="A5" t="inlineStr">
        <is>
          <t>I-0004</t>
        </is>
      </c>
      <c r="B5" s="5" t="inlineStr">
        <is>
          <t>Liquor</t>
        </is>
      </c>
      <c r="C5" s="5" t="inlineStr">
        <is>
          <t>Whiskey</t>
        </is>
      </c>
      <c r="D5" s="5" t="inlineStr">
        <is>
          <t>Crown Royal Peach</t>
        </is>
      </c>
      <c r="E5" s="5" t="inlineStr">
        <is>
          <t>Crown Royal</t>
        </is>
      </c>
      <c r="F5" s="5" t="inlineStr">
        <is>
          <t>750ml</t>
        </is>
      </c>
      <c r="G5" s="5" t="inlineStr">
        <is>
          <t>Bottle</t>
        </is>
      </c>
      <c r="H5" s="5" t="n">
        <v>6</v>
      </c>
      <c r="I5" s="5" t="n">
        <v>3</v>
      </c>
      <c r="J5" s="5">
        <f>IF(ISNUMBER(MATCH(B5,Inventory_Tracking!$B$2:$B$1000,0)),"No","Yes")
</f>
        <v/>
      </c>
      <c r="K5" s="5" t="n">
        <v>2</v>
      </c>
      <c r="M5" s="5" t="n"/>
    </row>
    <row r="6" ht="15.75" customHeight="1" s="14">
      <c r="A6" t="inlineStr">
        <is>
          <t>I-0005</t>
        </is>
      </c>
      <c r="B6" s="5" t="inlineStr">
        <is>
          <t>Liquor</t>
        </is>
      </c>
      <c r="C6" s="5" t="inlineStr">
        <is>
          <t>Whiskey</t>
        </is>
      </c>
      <c r="D6" s="5" t="inlineStr">
        <is>
          <t>Crown Royal Vanilla</t>
        </is>
      </c>
      <c r="E6" s="5" t="inlineStr">
        <is>
          <t>Crown Royal</t>
        </is>
      </c>
      <c r="F6" s="5" t="inlineStr">
        <is>
          <t>750ml</t>
        </is>
      </c>
      <c r="G6" s="5" t="inlineStr">
        <is>
          <t>Bottle</t>
        </is>
      </c>
      <c r="H6" s="5" t="n">
        <v>4</v>
      </c>
      <c r="I6" s="5" t="n">
        <v>2</v>
      </c>
      <c r="J6" s="5">
        <f>IF(ISNUMBER(MATCH(B6,Inventory_Tracking!$B$2:$B$1000,0)),"No","Yes")
</f>
        <v/>
      </c>
      <c r="K6" s="5" t="n">
        <v>2</v>
      </c>
      <c r="M6" s="5" t="n"/>
    </row>
    <row r="7" ht="15.75" customHeight="1" s="14">
      <c r="A7" t="inlineStr">
        <is>
          <t>I-0006</t>
        </is>
      </c>
      <c r="B7" s="5" t="inlineStr">
        <is>
          <t>Liquor</t>
        </is>
      </c>
      <c r="C7" s="5" t="inlineStr">
        <is>
          <t>Whiskey</t>
        </is>
      </c>
      <c r="D7" s="5" t="inlineStr">
        <is>
          <t>Crown Royal Canadian Whisky</t>
        </is>
      </c>
      <c r="E7" s="5" t="inlineStr">
        <is>
          <t>Crown Royal</t>
        </is>
      </c>
      <c r="F7" s="5" t="inlineStr">
        <is>
          <t>750ml</t>
        </is>
      </c>
      <c r="G7" s="5" t="inlineStr">
        <is>
          <t>Bottle</t>
        </is>
      </c>
      <c r="H7" s="5" t="n">
        <v>6</v>
      </c>
      <c r="I7" s="5" t="n">
        <v>3</v>
      </c>
      <c r="J7" s="5">
        <f>IF(ISNUMBER(MATCH(B7,Inventory_Tracking!$B$2:$B$1000,0)),"No","Yes")
</f>
        <v/>
      </c>
      <c r="K7" s="5" t="n">
        <v>2</v>
      </c>
      <c r="M7" s="5" t="n"/>
    </row>
    <row r="8" ht="15.75" customHeight="1" s="14">
      <c r="A8" t="inlineStr">
        <is>
          <t>I-0007</t>
        </is>
      </c>
      <c r="B8" s="5" t="inlineStr">
        <is>
          <t>Liquor</t>
        </is>
      </c>
      <c r="C8" s="5" t="inlineStr">
        <is>
          <t>Whiskey</t>
        </is>
      </c>
      <c r="D8" s="5" t="inlineStr">
        <is>
          <t>Texas Ranger Peach</t>
        </is>
      </c>
      <c r="E8" s="5" t="inlineStr">
        <is>
          <t>Texas Ranger</t>
        </is>
      </c>
      <c r="F8" s="5" t="inlineStr">
        <is>
          <t>750ml</t>
        </is>
      </c>
      <c r="G8" s="5" t="inlineStr">
        <is>
          <t>Bottle</t>
        </is>
      </c>
      <c r="H8" s="5" t="n">
        <v>4</v>
      </c>
      <c r="I8" s="5" t="n">
        <v>2</v>
      </c>
      <c r="J8" s="5">
        <f>IF(ISNUMBER(MATCH(B8,Inventory_Tracking!$B$2:$B$1000,0)),"No","Yes")
</f>
        <v/>
      </c>
      <c r="K8" s="5" t="n">
        <v>2</v>
      </c>
      <c r="M8" s="5" t="n"/>
    </row>
    <row r="9" ht="15.75" customHeight="1" s="14">
      <c r="A9" t="inlineStr">
        <is>
          <t>I-0008</t>
        </is>
      </c>
      <c r="B9" s="5" t="inlineStr">
        <is>
          <t>Liquor</t>
        </is>
      </c>
      <c r="C9" s="5" t="inlineStr">
        <is>
          <t>Whiskey</t>
        </is>
      </c>
      <c r="D9" s="5" t="inlineStr">
        <is>
          <t>Texas Ranger Coconut</t>
        </is>
      </c>
      <c r="E9" s="5" t="inlineStr">
        <is>
          <t>Texas Ranger</t>
        </is>
      </c>
      <c r="F9" s="5" t="inlineStr">
        <is>
          <t>750ml</t>
        </is>
      </c>
      <c r="G9" s="5" t="inlineStr">
        <is>
          <t>Bottle</t>
        </is>
      </c>
      <c r="H9" s="5" t="n">
        <v>4</v>
      </c>
      <c r="I9" s="5" t="n">
        <v>2</v>
      </c>
      <c r="J9" s="5">
        <f>IF(ISNUMBER(MATCH(B9,Inventory_Tracking!$B$2:$B$1000,0)),"No","Yes")
</f>
        <v/>
      </c>
      <c r="K9" s="5" t="n">
        <v>2</v>
      </c>
      <c r="M9" s="5" t="n"/>
    </row>
    <row r="10" ht="15.75" customHeight="1" s="14">
      <c r="A10" t="inlineStr">
        <is>
          <t>I-0009</t>
        </is>
      </c>
      <c r="B10" s="5" t="inlineStr">
        <is>
          <t>Liquor</t>
        </is>
      </c>
      <c r="C10" s="5" t="inlineStr">
        <is>
          <t>Whiskey</t>
        </is>
      </c>
      <c r="D10" s="5" t="inlineStr">
        <is>
          <t>Texas Ranger Peanut Butter</t>
        </is>
      </c>
      <c r="E10" s="5" t="inlineStr">
        <is>
          <t>Texas Ranger</t>
        </is>
      </c>
      <c r="F10" s="5" t="inlineStr">
        <is>
          <t>750ml</t>
        </is>
      </c>
      <c r="G10" s="5" t="inlineStr">
        <is>
          <t>Bottle</t>
        </is>
      </c>
      <c r="H10" s="5" t="n">
        <v>4</v>
      </c>
      <c r="I10" s="5" t="n">
        <v>2</v>
      </c>
      <c r="J10" s="5">
        <f>IF(ISNUMBER(MATCH(B10,Inventory_Tracking!$B$2:$B$1000,0)),"No","Yes")
</f>
        <v/>
      </c>
      <c r="K10" s="5" t="n">
        <v>2</v>
      </c>
      <c r="M10" s="5" t="n"/>
    </row>
    <row r="11" ht="15.75" customHeight="1" s="14">
      <c r="A11" t="inlineStr">
        <is>
          <t>I-0010</t>
        </is>
      </c>
      <c r="B11" s="7" t="inlineStr">
        <is>
          <t>Liquor</t>
        </is>
      </c>
      <c r="C11" s="7" t="inlineStr">
        <is>
          <t>Whiskey</t>
        </is>
      </c>
      <c r="D11" s="7" t="inlineStr">
        <is>
          <t>SagaMore Rye</t>
        </is>
      </c>
      <c r="E11" s="7" t="inlineStr">
        <is>
          <t>SagaMore</t>
        </is>
      </c>
      <c r="F11" s="7" t="inlineStr">
        <is>
          <t>750ml</t>
        </is>
      </c>
      <c r="G11" s="7" t="inlineStr">
        <is>
          <t>Bottle</t>
        </is>
      </c>
      <c r="H11" s="4" t="n">
        <v>5</v>
      </c>
      <c r="I11" s="4" t="n">
        <v>2</v>
      </c>
      <c r="J11" s="5">
        <f>IF(ISNUMBER(MATCH(B11,Inventory_Tracking!$B$2:$B$1000,0)),"No","Yes")
</f>
        <v/>
      </c>
      <c r="K11" s="4" t="n">
        <v>2</v>
      </c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</row>
    <row r="12" ht="15.75" customHeight="1" s="14">
      <c r="A12" t="inlineStr">
        <is>
          <t>I-0011</t>
        </is>
      </c>
      <c r="B12" s="5" t="inlineStr">
        <is>
          <t>Liquor</t>
        </is>
      </c>
      <c r="C12" s="5" t="inlineStr">
        <is>
          <t>Whiskey</t>
        </is>
      </c>
      <c r="D12" s="5" t="inlineStr">
        <is>
          <t>Bulleit Rye Whiskey</t>
        </is>
      </c>
      <c r="E12" s="5" t="inlineStr">
        <is>
          <t>Bulleit</t>
        </is>
      </c>
      <c r="F12" s="5" t="inlineStr">
        <is>
          <t>750ml</t>
        </is>
      </c>
      <c r="G12" s="5" t="inlineStr">
        <is>
          <t>Bottle</t>
        </is>
      </c>
      <c r="H12" s="5" t="n">
        <v>5</v>
      </c>
      <c r="I12" s="5" t="n">
        <v>2</v>
      </c>
      <c r="J12" s="5">
        <f>IF(ISNUMBER(MATCH(B12,Inventory_Tracking!$B$2:$B$1000,0)),"No","Yes")
</f>
        <v/>
      </c>
      <c r="K12" s="5" t="n">
        <v>2</v>
      </c>
      <c r="M12" s="5" t="n"/>
    </row>
    <row r="13" ht="15.75" customHeight="1" s="14">
      <c r="A13" t="inlineStr">
        <is>
          <t>I-0012</t>
        </is>
      </c>
      <c r="B13" s="5" t="inlineStr">
        <is>
          <t>Liquor</t>
        </is>
      </c>
      <c r="C13" s="5" t="inlineStr">
        <is>
          <t>Whiskey</t>
        </is>
      </c>
      <c r="D13" s="5" t="inlineStr">
        <is>
          <t>Dewar’s White Label</t>
        </is>
      </c>
      <c r="E13" s="5" t="inlineStr">
        <is>
          <t>Dewar’s</t>
        </is>
      </c>
      <c r="F13" s="5" t="inlineStr">
        <is>
          <t>1L</t>
        </is>
      </c>
      <c r="G13" s="5" t="inlineStr">
        <is>
          <t>Bottle</t>
        </is>
      </c>
      <c r="H13" s="5" t="n">
        <v>4</v>
      </c>
      <c r="I13" s="5" t="n">
        <v>2</v>
      </c>
      <c r="J13" s="5">
        <f>IF(ISNUMBER(MATCH(B13,Inventory_Tracking!$B$2:$B$1000,0)),"No","Yes")
</f>
        <v/>
      </c>
      <c r="K13" s="5" t="n">
        <v>2</v>
      </c>
      <c r="M13" s="5" t="n"/>
    </row>
    <row r="14" ht="15.75" customHeight="1" s="14">
      <c r="A14" t="inlineStr">
        <is>
          <t>I-0013</t>
        </is>
      </c>
      <c r="B14" s="5" t="inlineStr">
        <is>
          <t>Liquor</t>
        </is>
      </c>
      <c r="C14" s="5" t="inlineStr">
        <is>
          <t>Whiskey</t>
        </is>
      </c>
      <c r="D14" s="5" t="inlineStr">
        <is>
          <t>Buchanan’s 12</t>
        </is>
      </c>
      <c r="E14" s="5" t="inlineStr">
        <is>
          <t>Buchanan’s</t>
        </is>
      </c>
      <c r="F14" s="5" t="inlineStr">
        <is>
          <t>1L</t>
        </is>
      </c>
      <c r="G14" s="5" t="inlineStr">
        <is>
          <t>Bottle</t>
        </is>
      </c>
      <c r="H14" s="5" t="n">
        <v>4</v>
      </c>
      <c r="I14" s="5" t="n">
        <v>2</v>
      </c>
      <c r="J14" s="5">
        <f>IF(ISNUMBER(MATCH(B14,Inventory_Tracking!$B$2:$B$1000,0)),"No","Yes")
</f>
        <v/>
      </c>
      <c r="K14" s="5" t="n">
        <v>2</v>
      </c>
      <c r="M14" s="5" t="n"/>
    </row>
    <row r="15" ht="15.75" customHeight="1" s="14">
      <c r="A15" t="inlineStr">
        <is>
          <t>I-0014</t>
        </is>
      </c>
      <c r="B15" s="5" t="inlineStr">
        <is>
          <t>Liquor</t>
        </is>
      </c>
      <c r="C15" s="5" t="inlineStr">
        <is>
          <t>Whiskey</t>
        </is>
      </c>
      <c r="D15" s="5" t="inlineStr">
        <is>
          <t>Wild Turkey 101</t>
        </is>
      </c>
      <c r="E15" s="5" t="inlineStr">
        <is>
          <t>Wild Turkey</t>
        </is>
      </c>
      <c r="F15" s="5" t="inlineStr">
        <is>
          <t>750ml</t>
        </is>
      </c>
      <c r="G15" s="5" t="inlineStr">
        <is>
          <t>Bottle</t>
        </is>
      </c>
      <c r="H15" s="5" t="n">
        <v>4</v>
      </c>
      <c r="I15" s="5" t="n">
        <v>2</v>
      </c>
      <c r="J15" s="5">
        <f>IF(ISNUMBER(MATCH(B15,Inventory_Tracking!$B$2:$B$1000,0)),"No","Yes")
</f>
        <v/>
      </c>
      <c r="K15" s="5" t="n">
        <v>2</v>
      </c>
      <c r="M15" s="5" t="n"/>
    </row>
    <row r="16" ht="15.75" customHeight="1" s="14">
      <c r="A16" t="inlineStr">
        <is>
          <t>I-0015</t>
        </is>
      </c>
      <c r="B16" s="5" t="inlineStr">
        <is>
          <t>Liquor</t>
        </is>
      </c>
      <c r="C16" s="5" t="inlineStr">
        <is>
          <t>Whiskey</t>
        </is>
      </c>
      <c r="D16" s="5" t="inlineStr">
        <is>
          <t>Jack Daniel’s Tennessee Apple</t>
        </is>
      </c>
      <c r="E16" s="5" t="inlineStr">
        <is>
          <t>Jack Daniel’s</t>
        </is>
      </c>
      <c r="F16" s="5" t="inlineStr">
        <is>
          <t>750ml</t>
        </is>
      </c>
      <c r="G16" s="5" t="inlineStr">
        <is>
          <t>Bottle</t>
        </is>
      </c>
      <c r="H16" s="5" t="n">
        <v>5</v>
      </c>
      <c r="I16" s="5" t="n">
        <v>2</v>
      </c>
      <c r="J16" s="5">
        <f>IF(ISNUMBER(MATCH(B16,Inventory_Tracking!$B$2:$B$1000,0)),"No","Yes")
</f>
        <v/>
      </c>
      <c r="K16" s="5" t="n">
        <v>2</v>
      </c>
      <c r="M16" s="5" t="n"/>
    </row>
    <row r="17" ht="15.75" customHeight="1" s="14">
      <c r="A17" t="inlineStr">
        <is>
          <t>I-0016</t>
        </is>
      </c>
      <c r="B17" s="5" t="inlineStr">
        <is>
          <t>Liquor</t>
        </is>
      </c>
      <c r="C17" s="5" t="inlineStr">
        <is>
          <t>Whiskey</t>
        </is>
      </c>
      <c r="D17" s="5" t="inlineStr">
        <is>
          <t>Jack Daniel’s Tennessee</t>
        </is>
      </c>
      <c r="E17" s="5" t="inlineStr">
        <is>
          <t>Jack Daniel’s</t>
        </is>
      </c>
      <c r="F17" s="5" t="inlineStr">
        <is>
          <t>1L</t>
        </is>
      </c>
      <c r="G17" s="5" t="inlineStr">
        <is>
          <t>Bottle</t>
        </is>
      </c>
      <c r="H17" s="5" t="n">
        <v>5</v>
      </c>
      <c r="I17" s="5" t="n">
        <v>2</v>
      </c>
      <c r="J17" s="5">
        <f>IF(ISNUMBER(MATCH(B17,Inventory_Tracking!$B$2:$B$1000,0)),"No","Yes")
</f>
        <v/>
      </c>
      <c r="K17" s="5" t="n">
        <v>2</v>
      </c>
      <c r="M17" s="5" t="n"/>
    </row>
    <row r="18" ht="15.75" customHeight="1" s="14">
      <c r="A18" t="inlineStr">
        <is>
          <t>I-0017</t>
        </is>
      </c>
      <c r="B18" s="5" t="inlineStr">
        <is>
          <t>Liquor</t>
        </is>
      </c>
      <c r="C18" s="5" t="inlineStr">
        <is>
          <t>Whiskey</t>
        </is>
      </c>
      <c r="D18" s="5" t="inlineStr">
        <is>
          <t>Jack Daniel’s Tennessee Fire</t>
        </is>
      </c>
      <c r="E18" s="5" t="inlineStr">
        <is>
          <t>Jack Daniel’s</t>
        </is>
      </c>
      <c r="F18" s="5" t="inlineStr">
        <is>
          <t>750ml</t>
        </is>
      </c>
      <c r="G18" s="5" t="inlineStr">
        <is>
          <t>Bottle</t>
        </is>
      </c>
      <c r="H18" s="5" t="n">
        <v>5</v>
      </c>
      <c r="I18" s="5" t="n">
        <v>2</v>
      </c>
      <c r="J18" s="5">
        <f>IF(ISNUMBER(MATCH(B18,Inventory_Tracking!$B$2:$B$1000,0)),"No","Yes")
</f>
        <v/>
      </c>
      <c r="K18" s="5" t="n">
        <v>2</v>
      </c>
      <c r="M18" s="5" t="n"/>
    </row>
    <row r="19" ht="15.75" customHeight="1" s="14">
      <c r="A19" t="inlineStr">
        <is>
          <t>I-0018</t>
        </is>
      </c>
      <c r="B19" s="5" t="inlineStr">
        <is>
          <t>Liquor</t>
        </is>
      </c>
      <c r="C19" s="5" t="inlineStr">
        <is>
          <t>Whiskey</t>
        </is>
      </c>
      <c r="D19" s="5" t="inlineStr">
        <is>
          <t>Jack Daniel’s Tennessee Black Berry</t>
        </is>
      </c>
      <c r="E19" s="5" t="inlineStr">
        <is>
          <t>Jack Daniel’s</t>
        </is>
      </c>
      <c r="F19" s="5" t="inlineStr">
        <is>
          <t>1L</t>
        </is>
      </c>
      <c r="G19" s="5" t="inlineStr">
        <is>
          <t>Bottle</t>
        </is>
      </c>
      <c r="H19" s="5" t="n">
        <v>5</v>
      </c>
      <c r="I19" s="5" t="n">
        <v>2</v>
      </c>
      <c r="J19" s="5">
        <f>IF(ISNUMBER(MATCH(B19,Inventory_Tracking!$B$2:$B$1000,0)),"No","Yes")
</f>
        <v/>
      </c>
      <c r="K19" s="5" t="n">
        <v>2</v>
      </c>
      <c r="M19" s="5" t="n"/>
    </row>
    <row r="20" ht="15.75" customHeight="1" s="14">
      <c r="A20" t="inlineStr">
        <is>
          <t>I-0019</t>
        </is>
      </c>
      <c r="B20" s="5" t="inlineStr">
        <is>
          <t>Liquor</t>
        </is>
      </c>
      <c r="C20" s="5" t="inlineStr">
        <is>
          <t>Whiskey</t>
        </is>
      </c>
      <c r="D20" s="5" t="inlineStr">
        <is>
          <t>Fireball Cinnamon</t>
        </is>
      </c>
      <c r="E20" s="5" t="inlineStr">
        <is>
          <t>Fireball</t>
        </is>
      </c>
      <c r="F20" s="5" t="inlineStr">
        <is>
          <t>1L</t>
        </is>
      </c>
      <c r="G20" s="5" t="inlineStr">
        <is>
          <t>Bottle</t>
        </is>
      </c>
      <c r="H20" s="5" t="n">
        <v>6</v>
      </c>
      <c r="I20" s="5" t="n">
        <v>3</v>
      </c>
      <c r="J20" s="5">
        <f>IF(ISNUMBER(MATCH(B20,Inventory_Tracking!$B$2:$B$1000,0)),"No","Yes")
</f>
        <v/>
      </c>
      <c r="K20" s="5" t="n">
        <v>2</v>
      </c>
      <c r="M20" s="5" t="n"/>
    </row>
    <row r="21" ht="15.75" customHeight="1" s="14">
      <c r="A21" t="inlineStr">
        <is>
          <t>I-0020</t>
        </is>
      </c>
      <c r="B21" s="5" t="inlineStr">
        <is>
          <t>Liquor</t>
        </is>
      </c>
      <c r="C21" s="5" t="inlineStr">
        <is>
          <t>Whiskey</t>
        </is>
      </c>
      <c r="D21" s="5" t="inlineStr">
        <is>
          <t>Traveller Blend N9 40</t>
        </is>
      </c>
      <c r="E21" s="5" t="inlineStr">
        <is>
          <t>Traveller</t>
        </is>
      </c>
      <c r="F21" s="5" t="inlineStr">
        <is>
          <t>1L</t>
        </is>
      </c>
      <c r="G21" s="5" t="inlineStr">
        <is>
          <t>Bottle</t>
        </is>
      </c>
      <c r="H21" s="5" t="n">
        <v>8</v>
      </c>
      <c r="I21" s="5" t="n">
        <v>2</v>
      </c>
      <c r="J21" s="5">
        <f>IF(ISNUMBER(MATCH(B21,Inventory_Tracking!$B$2:$B$1000,0)),"No","Yes")
</f>
        <v/>
      </c>
      <c r="K21" s="5" t="n">
        <v>2</v>
      </c>
      <c r="M21" s="5" t="n"/>
    </row>
    <row r="22" ht="15.75" customHeight="1" s="14">
      <c r="A22" t="inlineStr">
        <is>
          <t>I-0021</t>
        </is>
      </c>
      <c r="B22" s="5" t="inlineStr">
        <is>
          <t>Liquor</t>
        </is>
      </c>
      <c r="C22" s="5" t="inlineStr">
        <is>
          <t>Whiskey</t>
        </is>
      </c>
      <c r="D22" s="5" t="inlineStr">
        <is>
          <t>Skrewball Peanut Butter Whiskey</t>
        </is>
      </c>
      <c r="E22" s="5" t="inlineStr">
        <is>
          <t>Skrewball</t>
        </is>
      </c>
      <c r="F22" s="5" t="inlineStr">
        <is>
          <t>750ml</t>
        </is>
      </c>
      <c r="G22" s="5" t="inlineStr">
        <is>
          <t>Bottle</t>
        </is>
      </c>
      <c r="H22" s="5" t="n">
        <v>4</v>
      </c>
      <c r="I22" s="5" t="n">
        <v>2</v>
      </c>
      <c r="J22" s="5">
        <f>IF(ISNUMBER(MATCH(B22,Inventory_Tracking!$B$2:$B$1000,0)),"No","Yes")
</f>
        <v/>
      </c>
      <c r="K22" s="5" t="n">
        <v>2</v>
      </c>
      <c r="M22" s="5" t="n"/>
    </row>
    <row r="23" ht="15.75" customHeight="1" s="14">
      <c r="A23" t="inlineStr">
        <is>
          <t>I-0022</t>
        </is>
      </c>
      <c r="B23" s="5" t="inlineStr">
        <is>
          <t>Liquor</t>
        </is>
      </c>
      <c r="C23" s="5" t="inlineStr">
        <is>
          <t>Bourbon</t>
        </is>
      </c>
      <c r="D23" s="5" t="inlineStr">
        <is>
          <t>Rebecca Creek</t>
        </is>
      </c>
      <c r="E23" s="5" t="inlineStr">
        <is>
          <t>Rebecca Creek</t>
        </is>
      </c>
      <c r="F23" s="5" t="inlineStr">
        <is>
          <t>750ml</t>
        </is>
      </c>
      <c r="G23" s="5" t="inlineStr">
        <is>
          <t>Bottle</t>
        </is>
      </c>
      <c r="H23" s="5" t="n">
        <v>4</v>
      </c>
      <c r="I23" s="5" t="n">
        <v>2</v>
      </c>
      <c r="J23" s="5">
        <f>IF(ISNUMBER(MATCH(B23,Inventory_Tracking!$B$2:$B$1000,0)),"No","Yes")
</f>
        <v/>
      </c>
      <c r="K23" s="5" t="n">
        <v>2</v>
      </c>
      <c r="M23" s="5" t="n"/>
    </row>
    <row r="24" ht="15.75" customHeight="1" s="14">
      <c r="A24" t="inlineStr">
        <is>
          <t>I-0023</t>
        </is>
      </c>
      <c r="B24" s="7" t="inlineStr">
        <is>
          <t>Liquor</t>
        </is>
      </c>
      <c r="C24" s="7" t="inlineStr">
        <is>
          <t>Bourbon</t>
        </is>
      </c>
      <c r="D24" s="7" t="inlineStr">
        <is>
          <t>Jim Bim</t>
        </is>
      </c>
      <c r="E24" s="7" t="inlineStr">
        <is>
          <t>Jim Bim</t>
        </is>
      </c>
      <c r="F24" s="7" t="inlineStr">
        <is>
          <t>1L</t>
        </is>
      </c>
      <c r="G24" s="7" t="inlineStr">
        <is>
          <t>Bottle</t>
        </is>
      </c>
      <c r="H24" s="4" t="n">
        <v>4</v>
      </c>
      <c r="I24" s="4" t="n">
        <v>2</v>
      </c>
      <c r="J24" s="5">
        <f>IF(ISNUMBER(MATCH(B24,Inventory_Tracking!$B$2:$B$1000,0)),"No","Yes")
</f>
        <v/>
      </c>
      <c r="K24" s="4" t="n">
        <v>2</v>
      </c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</row>
    <row r="25" ht="15.75" customHeight="1" s="14">
      <c r="A25" t="inlineStr">
        <is>
          <t>I-0024</t>
        </is>
      </c>
      <c r="B25" s="5" t="inlineStr">
        <is>
          <t>Liquor</t>
        </is>
      </c>
      <c r="C25" s="5" t="inlineStr">
        <is>
          <t>Bourbon</t>
        </is>
      </c>
      <c r="D25" s="5" t="inlineStr">
        <is>
          <t>Russell</t>
        </is>
      </c>
      <c r="E25" s="5" t="inlineStr">
        <is>
          <t>Russell</t>
        </is>
      </c>
      <c r="F25" s="5" t="inlineStr">
        <is>
          <t>750ml</t>
        </is>
      </c>
      <c r="G25" s="5" t="inlineStr">
        <is>
          <t>Bottle</t>
        </is>
      </c>
      <c r="H25" s="5" t="n">
        <v>4</v>
      </c>
      <c r="I25" s="5" t="n">
        <v>2</v>
      </c>
      <c r="J25" s="5">
        <f>IF(ISNUMBER(MATCH(B25,Inventory_Tracking!$B$2:$B$1000,0)),"No","Yes")
</f>
        <v/>
      </c>
      <c r="K25" s="5" t="n">
        <v>2</v>
      </c>
      <c r="M25" s="5" t="n"/>
    </row>
    <row r="26" ht="15.75" customHeight="1" s="14">
      <c r="A26" t="inlineStr">
        <is>
          <t>I-0025</t>
        </is>
      </c>
      <c r="B26" s="5" t="inlineStr">
        <is>
          <t>Liquor</t>
        </is>
      </c>
      <c r="C26" s="5" t="inlineStr">
        <is>
          <t>Bourbon</t>
        </is>
      </c>
      <c r="D26" s="5" t="inlineStr">
        <is>
          <t>Maker’s Mark Bourbon</t>
        </is>
      </c>
      <c r="E26" s="5" t="inlineStr">
        <is>
          <t>Maker’s Mark</t>
        </is>
      </c>
      <c r="F26" s="5" t="inlineStr">
        <is>
          <t>750ml</t>
        </is>
      </c>
      <c r="G26" s="5" t="inlineStr">
        <is>
          <t>Bottle</t>
        </is>
      </c>
      <c r="H26" s="5" t="n">
        <v>6</v>
      </c>
      <c r="I26" s="5" t="n">
        <v>3</v>
      </c>
      <c r="J26" s="5">
        <f>IF(ISNUMBER(MATCH(B26,Inventory_Tracking!$B$2:$B$1000,0)),"No","Yes")
</f>
        <v/>
      </c>
      <c r="K26" s="5" t="n">
        <v>2</v>
      </c>
      <c r="M26" s="5" t="n"/>
    </row>
    <row r="27" ht="15.75" customHeight="1" s="14">
      <c r="A27" t="inlineStr">
        <is>
          <t>I-0026</t>
        </is>
      </c>
      <c r="B27" s="5" t="inlineStr">
        <is>
          <t>Liquor</t>
        </is>
      </c>
      <c r="C27" s="5" t="inlineStr">
        <is>
          <t>Bourbon</t>
        </is>
      </c>
      <c r="D27" s="5" t="inlineStr">
        <is>
          <t>Michter’s Bourbon</t>
        </is>
      </c>
      <c r="E27" s="5" t="inlineStr">
        <is>
          <t>Michter’s</t>
        </is>
      </c>
      <c r="F27" s="5" t="inlineStr">
        <is>
          <t>750ml</t>
        </is>
      </c>
      <c r="G27" s="5" t="inlineStr">
        <is>
          <t>Bottle</t>
        </is>
      </c>
      <c r="H27" s="5" t="n">
        <v>3</v>
      </c>
      <c r="I27" s="5" t="n">
        <v>1</v>
      </c>
      <c r="J27" s="5">
        <f>IF(ISNUMBER(MATCH(B27,Inventory_Tracking!$B$2:$B$1000,0)),"No","Yes")
</f>
        <v/>
      </c>
      <c r="K27" s="5" t="n">
        <v>2</v>
      </c>
      <c r="M27" s="5" t="n"/>
    </row>
    <row r="28" ht="15.75" customHeight="1" s="14">
      <c r="A28" t="inlineStr">
        <is>
          <t>I-0027</t>
        </is>
      </c>
      <c r="B28" s="5" t="inlineStr">
        <is>
          <t>Liquor</t>
        </is>
      </c>
      <c r="C28" s="5" t="inlineStr">
        <is>
          <t>Bourbon</t>
        </is>
      </c>
      <c r="D28" s="5" t="inlineStr">
        <is>
          <t>Buffalo Trace Bourbon</t>
        </is>
      </c>
      <c r="E28" s="5" t="inlineStr">
        <is>
          <t>Buffalo Trace</t>
        </is>
      </c>
      <c r="F28" s="5" t="inlineStr">
        <is>
          <t>750ml</t>
        </is>
      </c>
      <c r="G28" s="5" t="inlineStr">
        <is>
          <t>Bottle</t>
        </is>
      </c>
      <c r="H28" s="5" t="n">
        <v>6</v>
      </c>
      <c r="I28" s="5" t="n">
        <v>3</v>
      </c>
      <c r="J28" s="5">
        <f>IF(ISNUMBER(MATCH(B28,Inventory_Tracking!$B$2:$B$1000,0)),"No","Yes")
</f>
        <v/>
      </c>
      <c r="K28" s="5" t="n">
        <v>2</v>
      </c>
      <c r="M28" s="5" t="n"/>
    </row>
    <row r="29" ht="15.75" customHeight="1" s="14">
      <c r="A29" t="inlineStr">
        <is>
          <t>I-0028</t>
        </is>
      </c>
      <c r="B29" s="5" t="inlineStr">
        <is>
          <t>Liquor</t>
        </is>
      </c>
      <c r="C29" s="5" t="inlineStr">
        <is>
          <t>Bourbon</t>
        </is>
      </c>
      <c r="D29" s="5" t="inlineStr">
        <is>
          <t>Woodford Reserve Bourbon</t>
        </is>
      </c>
      <c r="E29" s="5" t="inlineStr">
        <is>
          <t>Woodford Reserve</t>
        </is>
      </c>
      <c r="F29" s="5" t="inlineStr">
        <is>
          <t>750ml</t>
        </is>
      </c>
      <c r="G29" s="5" t="inlineStr">
        <is>
          <t>Bottle</t>
        </is>
      </c>
      <c r="H29" s="5" t="n">
        <v>5</v>
      </c>
      <c r="I29" s="5" t="n">
        <v>2</v>
      </c>
      <c r="J29" s="5">
        <f>IF(ISNUMBER(MATCH(B29,Inventory_Tracking!$B$2:$B$1000,0)),"No","Yes")
</f>
        <v/>
      </c>
      <c r="K29" s="5" t="n">
        <v>2</v>
      </c>
      <c r="M29" s="5" t="n"/>
    </row>
    <row r="30" ht="15.75" customHeight="1" s="14">
      <c r="A30" t="inlineStr">
        <is>
          <t>I-0029</t>
        </is>
      </c>
      <c r="B30" s="5" t="inlineStr">
        <is>
          <t>Liquor</t>
        </is>
      </c>
      <c r="C30" s="5" t="inlineStr">
        <is>
          <t>Bourbon</t>
        </is>
      </c>
      <c r="D30" s="5" t="inlineStr">
        <is>
          <t>Bulleit Bourbon</t>
        </is>
      </c>
      <c r="E30" s="5" t="inlineStr">
        <is>
          <t>Bulleit</t>
        </is>
      </c>
      <c r="F30" s="5" t="inlineStr">
        <is>
          <t>750ml</t>
        </is>
      </c>
      <c r="G30" s="5" t="inlineStr">
        <is>
          <t>Bottle</t>
        </is>
      </c>
      <c r="H30" s="5" t="n">
        <v>5</v>
      </c>
      <c r="I30" s="5" t="n">
        <v>2</v>
      </c>
      <c r="J30" s="5">
        <f>IF(ISNUMBER(MATCH(B30,Inventory_Tracking!$B$2:$B$1000,0)),"No","Yes")
</f>
        <v/>
      </c>
      <c r="K30" s="5" t="n">
        <v>2</v>
      </c>
      <c r="M30" s="5" t="n"/>
    </row>
    <row r="31" ht="15.75" customHeight="1" s="14">
      <c r="A31" t="inlineStr">
        <is>
          <t>I-0030</t>
        </is>
      </c>
      <c r="B31" s="5" t="inlineStr">
        <is>
          <t>Liquor</t>
        </is>
      </c>
      <c r="C31" s="5" t="inlineStr">
        <is>
          <t>Scotch</t>
        </is>
      </c>
      <c r="D31" s="5" t="inlineStr">
        <is>
          <t>Chivas Regal 12</t>
        </is>
      </c>
      <c r="E31" s="5" t="inlineStr">
        <is>
          <t>Chivas Regal</t>
        </is>
      </c>
      <c r="F31" s="5" t="inlineStr">
        <is>
          <t>750ml</t>
        </is>
      </c>
      <c r="G31" s="5" t="inlineStr">
        <is>
          <t>Bottle</t>
        </is>
      </c>
      <c r="H31" s="5" t="n">
        <v>4</v>
      </c>
      <c r="I31" s="5" t="n">
        <v>2</v>
      </c>
      <c r="J31" s="5">
        <f>IF(ISNUMBER(MATCH(B31,Inventory_Tracking!$B$2:$B$1000,0)),"No","Yes")
</f>
        <v/>
      </c>
      <c r="K31" s="5" t="n">
        <v>2</v>
      </c>
      <c r="M31" s="5" t="n"/>
    </row>
    <row r="32" ht="15.75" customHeight="1" s="14">
      <c r="A32" t="inlineStr">
        <is>
          <t>I-0031</t>
        </is>
      </c>
      <c r="B32" s="5" t="inlineStr">
        <is>
          <t>Liquor</t>
        </is>
      </c>
      <c r="C32" s="5" t="inlineStr">
        <is>
          <t>Scotch</t>
        </is>
      </c>
      <c r="D32" s="5" t="inlineStr">
        <is>
          <t>Glenfiddich 12</t>
        </is>
      </c>
      <c r="E32" s="5" t="inlineStr">
        <is>
          <t>Glenfiddich</t>
        </is>
      </c>
      <c r="F32" s="5" t="inlineStr">
        <is>
          <t>1L</t>
        </is>
      </c>
      <c r="G32" s="5" t="inlineStr">
        <is>
          <t>Bottle</t>
        </is>
      </c>
      <c r="H32" s="5" t="n">
        <v>3</v>
      </c>
      <c r="I32" s="5" t="n">
        <v>1</v>
      </c>
      <c r="J32" s="5">
        <f>IF(ISNUMBER(MATCH(B32,Inventory_Tracking!$B$2:$B$1000,0)),"No","Yes")
</f>
        <v/>
      </c>
      <c r="K32" s="5" t="n">
        <v>2</v>
      </c>
      <c r="M32" s="5" t="n"/>
    </row>
    <row r="33" ht="15.75" customHeight="1" s="14">
      <c r="A33" t="inlineStr">
        <is>
          <t>I-0032</t>
        </is>
      </c>
      <c r="B33" s="5" t="inlineStr">
        <is>
          <t>Liquor</t>
        </is>
      </c>
      <c r="C33" s="5" t="inlineStr">
        <is>
          <t>Scotch</t>
        </is>
      </c>
      <c r="D33" s="5" t="inlineStr">
        <is>
          <t>Glenfiddich 15</t>
        </is>
      </c>
      <c r="E33" s="5" t="inlineStr">
        <is>
          <t>Glenfiddich</t>
        </is>
      </c>
      <c r="F33" s="5" t="inlineStr">
        <is>
          <t>1L</t>
        </is>
      </c>
      <c r="G33" s="5" t="inlineStr">
        <is>
          <t>Bottle</t>
        </is>
      </c>
      <c r="H33" s="5" t="n">
        <v>2</v>
      </c>
      <c r="I33" s="5" t="n">
        <v>1</v>
      </c>
      <c r="J33" s="5">
        <f>IF(ISNUMBER(MATCH(B33,Inventory_Tracking!$B$2:$B$1000,0)),"No","Yes")
</f>
        <v/>
      </c>
      <c r="K33" s="5" t="n">
        <v>2</v>
      </c>
      <c r="M33" s="5" t="n"/>
    </row>
    <row r="34" ht="15.75" customHeight="1" s="14">
      <c r="A34" t="inlineStr">
        <is>
          <t>I-0033</t>
        </is>
      </c>
      <c r="B34" s="5" t="inlineStr">
        <is>
          <t>Liquor</t>
        </is>
      </c>
      <c r="C34" s="5" t="inlineStr">
        <is>
          <t>Scotch</t>
        </is>
      </c>
      <c r="D34" s="5" t="inlineStr">
        <is>
          <t>Glenfiddich 18</t>
        </is>
      </c>
      <c r="E34" s="5" t="inlineStr">
        <is>
          <t>Glenfiddich</t>
        </is>
      </c>
      <c r="F34" s="5" t="inlineStr">
        <is>
          <t>750ml</t>
        </is>
      </c>
      <c r="G34" s="5" t="inlineStr">
        <is>
          <t>Bottle</t>
        </is>
      </c>
      <c r="H34" s="5" t="n">
        <v>2</v>
      </c>
      <c r="I34" s="5" t="n">
        <v>1</v>
      </c>
      <c r="J34" s="5">
        <f>IF(ISNUMBER(MATCH(B34,Inventory_Tracking!$B$2:$B$1000,0)),"No","Yes")
</f>
        <v/>
      </c>
      <c r="K34" s="5" t="n">
        <v>2</v>
      </c>
      <c r="M34" s="5" t="n"/>
    </row>
    <row r="35" ht="15.75" customHeight="1" s="14">
      <c r="A35" t="inlineStr">
        <is>
          <t>I-0034</t>
        </is>
      </c>
      <c r="B35" s="5" t="inlineStr">
        <is>
          <t>Liquor</t>
        </is>
      </c>
      <c r="C35" s="5" t="inlineStr">
        <is>
          <t>Scotch</t>
        </is>
      </c>
      <c r="D35" s="5" t="inlineStr">
        <is>
          <t>Glenlivet Reserve</t>
        </is>
      </c>
      <c r="E35" s="5" t="inlineStr">
        <is>
          <t>Glenlivet</t>
        </is>
      </c>
      <c r="F35" s="5" t="inlineStr">
        <is>
          <t>750ml</t>
        </is>
      </c>
      <c r="G35" s="5" t="inlineStr">
        <is>
          <t>Bottle</t>
        </is>
      </c>
      <c r="H35" s="5" t="n">
        <v>3</v>
      </c>
      <c r="I35" s="5" t="n">
        <v>1</v>
      </c>
      <c r="J35" s="5">
        <f>IF(ISNUMBER(MATCH(B35,Inventory_Tracking!$B$2:$B$1000,0)),"No","Yes")
</f>
        <v/>
      </c>
      <c r="K35" s="5" t="n">
        <v>2</v>
      </c>
      <c r="M35" s="5" t="n"/>
    </row>
    <row r="36" ht="15.75" customHeight="1" s="14">
      <c r="A36" t="inlineStr">
        <is>
          <t>I-0035</t>
        </is>
      </c>
      <c r="B36" s="5" t="inlineStr">
        <is>
          <t>Liquor</t>
        </is>
      </c>
      <c r="C36" s="5" t="inlineStr">
        <is>
          <t>Scotch</t>
        </is>
      </c>
      <c r="D36" s="5" t="inlineStr">
        <is>
          <t>Glenlivet 12</t>
        </is>
      </c>
      <c r="E36" s="5" t="inlineStr">
        <is>
          <t>Glenlivet</t>
        </is>
      </c>
      <c r="F36" s="5" t="inlineStr">
        <is>
          <t>1L</t>
        </is>
      </c>
      <c r="G36" s="5" t="inlineStr">
        <is>
          <t>Bottle</t>
        </is>
      </c>
      <c r="H36" s="5" t="n">
        <v>3</v>
      </c>
      <c r="I36" s="5" t="n">
        <v>1</v>
      </c>
      <c r="J36" s="5">
        <f>IF(ISNUMBER(MATCH(B36,Inventory_Tracking!$B$2:$B$1000,0)),"No","Yes")
</f>
        <v/>
      </c>
      <c r="K36" s="5" t="n">
        <v>2</v>
      </c>
      <c r="M36" s="5" t="n"/>
    </row>
    <row r="37" ht="15.75" customHeight="1" s="14">
      <c r="A37" t="inlineStr">
        <is>
          <t>I-0036</t>
        </is>
      </c>
      <c r="B37" s="5" t="inlineStr">
        <is>
          <t>Liquor</t>
        </is>
      </c>
      <c r="C37" s="5" t="inlineStr">
        <is>
          <t>Scotch</t>
        </is>
      </c>
      <c r="D37" s="5" t="inlineStr">
        <is>
          <t>Macallan 12</t>
        </is>
      </c>
      <c r="E37" s="5" t="inlineStr">
        <is>
          <t>Macallan</t>
        </is>
      </c>
      <c r="F37" s="5" t="inlineStr">
        <is>
          <t>750ml</t>
        </is>
      </c>
      <c r="G37" s="5" t="inlineStr">
        <is>
          <t>Bottle</t>
        </is>
      </c>
      <c r="H37" s="5" t="n">
        <v>3</v>
      </c>
      <c r="I37" s="5" t="n">
        <v>1</v>
      </c>
      <c r="J37" s="5">
        <f>IF(ISNUMBER(MATCH(B37,Inventory_Tracking!$B$2:$B$1000,0)),"No","Yes")
</f>
        <v/>
      </c>
      <c r="K37" s="5" t="n">
        <v>2</v>
      </c>
      <c r="M37" s="5" t="n"/>
    </row>
    <row r="38" ht="15.75" customHeight="1" s="14">
      <c r="A38" t="inlineStr">
        <is>
          <t>I-0037</t>
        </is>
      </c>
      <c r="B38" s="5" t="inlineStr">
        <is>
          <t>Liquor</t>
        </is>
      </c>
      <c r="C38" s="5" t="inlineStr">
        <is>
          <t>Scotch</t>
        </is>
      </c>
      <c r="D38" s="5" t="inlineStr">
        <is>
          <t>Macallan 15</t>
        </is>
      </c>
      <c r="E38" s="5" t="inlineStr">
        <is>
          <t>Macallan</t>
        </is>
      </c>
      <c r="F38" s="5" t="inlineStr">
        <is>
          <t>750ml</t>
        </is>
      </c>
      <c r="G38" s="5" t="inlineStr">
        <is>
          <t>Bottle</t>
        </is>
      </c>
      <c r="H38" s="5" t="n">
        <v>2</v>
      </c>
      <c r="I38" s="5" t="n">
        <v>1</v>
      </c>
      <c r="J38" s="5">
        <f>IF(ISNUMBER(MATCH(B38,Inventory_Tracking!$B$2:$B$1000,0)),"No","Yes")
</f>
        <v/>
      </c>
      <c r="K38" s="5" t="n">
        <v>2</v>
      </c>
      <c r="M38" s="5" t="n"/>
    </row>
    <row r="39" ht="15.75" customHeight="1" s="14">
      <c r="A39" t="inlineStr">
        <is>
          <t>I-0038</t>
        </is>
      </c>
      <c r="B39" s="5" t="inlineStr">
        <is>
          <t>Liquor</t>
        </is>
      </c>
      <c r="C39" s="5" t="inlineStr">
        <is>
          <t>Scotch</t>
        </is>
      </c>
      <c r="D39" s="5" t="inlineStr">
        <is>
          <t>Johnnie Walker Black</t>
        </is>
      </c>
      <c r="E39" s="5" t="inlineStr">
        <is>
          <t>Johnnie Walker</t>
        </is>
      </c>
      <c r="F39" s="5" t="inlineStr">
        <is>
          <t>750ml</t>
        </is>
      </c>
      <c r="G39" s="5" t="inlineStr">
        <is>
          <t>Bottle</t>
        </is>
      </c>
      <c r="H39" s="5" t="n">
        <v>4</v>
      </c>
      <c r="I39" s="5" t="n">
        <v>2</v>
      </c>
      <c r="J39" s="5">
        <f>IF(ISNUMBER(MATCH(B39,Inventory_Tracking!$B$2:$B$1000,0)),"No","Yes")
</f>
        <v/>
      </c>
      <c r="K39" s="5" t="n">
        <v>2</v>
      </c>
      <c r="M39" s="5" t="n"/>
    </row>
    <row r="40" ht="15.75" customHeight="1" s="14">
      <c r="A40" t="inlineStr">
        <is>
          <t>I-0039</t>
        </is>
      </c>
      <c r="B40" s="5" t="inlineStr">
        <is>
          <t>Liquor</t>
        </is>
      </c>
      <c r="C40" s="5" t="inlineStr">
        <is>
          <t>Scotch</t>
        </is>
      </c>
      <c r="D40" s="5" t="inlineStr">
        <is>
          <t>Johnnie Walker Blue</t>
        </is>
      </c>
      <c r="E40" s="5" t="inlineStr">
        <is>
          <t>Johnnie Walker</t>
        </is>
      </c>
      <c r="F40" s="5" t="inlineStr">
        <is>
          <t>750ml</t>
        </is>
      </c>
      <c r="G40" s="5" t="inlineStr">
        <is>
          <t>Bottle</t>
        </is>
      </c>
      <c r="H40" s="5" t="n">
        <v>1</v>
      </c>
      <c r="I40" s="5" t="n">
        <v>1</v>
      </c>
      <c r="J40" s="5">
        <f>IF(ISNUMBER(MATCH(B40,Inventory_Tracking!$B$2:$B$1000,0)),"No","Yes")
</f>
        <v/>
      </c>
      <c r="K40" s="5" t="n">
        <v>2</v>
      </c>
      <c r="M40" s="5" t="n"/>
    </row>
    <row r="41" ht="15.75" customHeight="1" s="14">
      <c r="A41" t="inlineStr">
        <is>
          <t>I-0040</t>
        </is>
      </c>
      <c r="B41" s="5" t="inlineStr">
        <is>
          <t>Liquor</t>
        </is>
      </c>
      <c r="C41" s="5" t="inlineStr">
        <is>
          <t>Scotch</t>
        </is>
      </c>
      <c r="D41" s="5" t="inlineStr">
        <is>
          <t>Royal Salute 21</t>
        </is>
      </c>
      <c r="E41" s="5" t="inlineStr">
        <is>
          <t>Royal Salute</t>
        </is>
      </c>
      <c r="F41" s="5" t="inlineStr">
        <is>
          <t>750ml</t>
        </is>
      </c>
      <c r="G41" s="5" t="inlineStr">
        <is>
          <t>Bottle</t>
        </is>
      </c>
      <c r="H41" s="5" t="n">
        <v>1</v>
      </c>
      <c r="I41" s="5" t="n">
        <v>1</v>
      </c>
      <c r="J41" s="5">
        <f>IF(ISNUMBER(MATCH(B41,Inventory_Tracking!$B$2:$B$1000,0)),"No","Yes")
</f>
        <v/>
      </c>
      <c r="K41" s="5" t="n">
        <v>2</v>
      </c>
      <c r="M41" s="5" t="n"/>
    </row>
    <row r="42" ht="15.75" customHeight="1" s="14">
      <c r="A42" t="inlineStr">
        <is>
          <t>I-0041</t>
        </is>
      </c>
      <c r="B42" s="5" t="inlineStr">
        <is>
          <t>Liquor</t>
        </is>
      </c>
      <c r="C42" s="5" t="inlineStr">
        <is>
          <t>Vodka</t>
        </is>
      </c>
      <c r="D42" s="5" t="inlineStr">
        <is>
          <t>Tito’s Handmade Vodka</t>
        </is>
      </c>
      <c r="E42" s="5" t="inlineStr">
        <is>
          <t>Tito’s</t>
        </is>
      </c>
      <c r="F42" s="5" t="inlineStr">
        <is>
          <t>1L</t>
        </is>
      </c>
      <c r="G42" s="5" t="inlineStr">
        <is>
          <t>Bottle</t>
        </is>
      </c>
      <c r="H42" s="5" t="n">
        <v>8</v>
      </c>
      <c r="I42" s="5" t="n">
        <v>4</v>
      </c>
      <c r="J42" s="5">
        <f>IF(ISNUMBER(MATCH(B42,Inventory_Tracking!$B$2:$B$1000,0)),"No","Yes")
</f>
        <v/>
      </c>
      <c r="K42" s="5" t="n">
        <v>2</v>
      </c>
      <c r="M42" s="5" t="n"/>
    </row>
    <row r="43" ht="15.75" customHeight="1" s="14">
      <c r="A43" t="inlineStr">
        <is>
          <t>I-0042</t>
        </is>
      </c>
      <c r="B43" s="5" t="inlineStr">
        <is>
          <t>Liquor</t>
        </is>
      </c>
      <c r="C43" s="5" t="inlineStr">
        <is>
          <t>Vodka</t>
        </is>
      </c>
      <c r="D43" s="5" t="inlineStr">
        <is>
          <t>Grey Goose</t>
        </is>
      </c>
      <c r="E43" s="5" t="inlineStr">
        <is>
          <t>Grey Goose</t>
        </is>
      </c>
      <c r="F43" s="5" t="inlineStr">
        <is>
          <t>750ml</t>
        </is>
      </c>
      <c r="G43" s="5" t="inlineStr">
        <is>
          <t>Bottle</t>
        </is>
      </c>
      <c r="H43" s="5" t="n">
        <v>5</v>
      </c>
      <c r="I43" s="5" t="n">
        <v>2</v>
      </c>
      <c r="J43" s="5">
        <f>IF(ISNUMBER(MATCH(B43,Inventory_Tracking!$B$2:$B$1000,0)),"No","Yes")
</f>
        <v/>
      </c>
      <c r="K43" s="5" t="n">
        <v>2</v>
      </c>
      <c r="M43" s="5" t="n"/>
    </row>
    <row r="44" ht="15.75" customHeight="1" s="14">
      <c r="A44" t="inlineStr">
        <is>
          <t>I-0043</t>
        </is>
      </c>
      <c r="B44" s="5" t="inlineStr">
        <is>
          <t>Liquor</t>
        </is>
      </c>
      <c r="C44" s="5" t="inlineStr">
        <is>
          <t>Vodka</t>
        </is>
      </c>
      <c r="D44" s="5" t="inlineStr">
        <is>
          <t>Cîroc Watermelon</t>
        </is>
      </c>
      <c r="E44" s="5" t="inlineStr">
        <is>
          <t>Cîroc</t>
        </is>
      </c>
      <c r="F44" s="5" t="inlineStr">
        <is>
          <t>750ml</t>
        </is>
      </c>
      <c r="G44" s="5" t="inlineStr">
        <is>
          <t>Bottle</t>
        </is>
      </c>
      <c r="H44" s="5" t="n">
        <v>4</v>
      </c>
      <c r="I44" s="5" t="n">
        <v>2</v>
      </c>
      <c r="J44" s="5">
        <f>IF(ISNUMBER(MATCH(B44,Inventory_Tracking!$B$2:$B$1000,0)),"No","Yes")
</f>
        <v/>
      </c>
      <c r="K44" s="5" t="n">
        <v>2</v>
      </c>
      <c r="M44" s="5" t="n"/>
    </row>
    <row r="45" ht="15.75" customHeight="1" s="14">
      <c r="A45" t="inlineStr">
        <is>
          <t>I-0044</t>
        </is>
      </c>
      <c r="B45" s="5" t="inlineStr">
        <is>
          <t>Liquor</t>
        </is>
      </c>
      <c r="C45" s="5" t="inlineStr">
        <is>
          <t>Vodka</t>
        </is>
      </c>
      <c r="D45" s="5" t="inlineStr">
        <is>
          <t>Deep Eddy Lemon</t>
        </is>
      </c>
      <c r="E45" s="5" t="inlineStr">
        <is>
          <t>Deep Eddy</t>
        </is>
      </c>
      <c r="F45" s="5" t="inlineStr">
        <is>
          <t>1L</t>
        </is>
      </c>
      <c r="G45" s="5" t="inlineStr">
        <is>
          <t>Bottle</t>
        </is>
      </c>
      <c r="H45" s="5" t="n">
        <v>4</v>
      </c>
      <c r="I45" s="5" t="n">
        <v>2</v>
      </c>
      <c r="J45" s="5">
        <f>IF(ISNUMBER(MATCH(B45,Inventory_Tracking!$B$2:$B$1000,0)),"No","Yes")
</f>
        <v/>
      </c>
      <c r="K45" s="5" t="n">
        <v>2</v>
      </c>
      <c r="M45" s="5" t="n"/>
    </row>
    <row r="46" ht="15.75" customHeight="1" s="14">
      <c r="A46" t="inlineStr">
        <is>
          <t>I-0045</t>
        </is>
      </c>
      <c r="B46" s="5" t="inlineStr">
        <is>
          <t>Liquor</t>
        </is>
      </c>
      <c r="C46" s="5" t="inlineStr">
        <is>
          <t>Vodka</t>
        </is>
      </c>
      <c r="D46" s="5" t="inlineStr">
        <is>
          <t>Deep Eddy Ruby Red</t>
        </is>
      </c>
      <c r="E46" s="5" t="inlineStr">
        <is>
          <t>Deep Eddy</t>
        </is>
      </c>
      <c r="F46" s="5" t="inlineStr">
        <is>
          <t>1L</t>
        </is>
      </c>
      <c r="G46" s="5" t="inlineStr">
        <is>
          <t>Bottle</t>
        </is>
      </c>
      <c r="H46" s="5" t="n">
        <v>4</v>
      </c>
      <c r="I46" s="5" t="n">
        <v>2</v>
      </c>
      <c r="J46" s="5">
        <f>IF(ISNUMBER(MATCH(B46,Inventory_Tracking!$B$2:$B$1000,0)),"No","Yes")
</f>
        <v/>
      </c>
      <c r="K46" s="5" t="n">
        <v>2</v>
      </c>
      <c r="M46" s="5" t="n"/>
    </row>
    <row r="47" ht="15.75" customHeight="1" s="14">
      <c r="A47" t="inlineStr">
        <is>
          <t>I-0046</t>
        </is>
      </c>
      <c r="B47" s="5" t="inlineStr">
        <is>
          <t>Liquor</t>
        </is>
      </c>
      <c r="C47" s="5" t="inlineStr">
        <is>
          <t>Vodka</t>
        </is>
      </c>
      <c r="D47" s="5" t="inlineStr">
        <is>
          <t>Deep Eddy Lime</t>
        </is>
      </c>
      <c r="E47" s="5" t="inlineStr">
        <is>
          <t>Deep Eddy</t>
        </is>
      </c>
      <c r="F47" s="5" t="inlineStr">
        <is>
          <t>1L</t>
        </is>
      </c>
      <c r="G47" s="5" t="inlineStr">
        <is>
          <t>Bottle</t>
        </is>
      </c>
      <c r="H47" s="5" t="n">
        <v>4</v>
      </c>
      <c r="I47" s="5" t="n">
        <v>2</v>
      </c>
      <c r="J47" s="5">
        <f>IF(ISNUMBER(MATCH(B47,Inventory_Tracking!$B$2:$B$1000,0)),"No","Yes")
</f>
        <v/>
      </c>
      <c r="K47" s="5" t="n">
        <v>2</v>
      </c>
      <c r="M47" s="5" t="n"/>
    </row>
    <row r="48" ht="15.75" customHeight="1" s="14">
      <c r="A48" t="inlineStr">
        <is>
          <t>I-0047</t>
        </is>
      </c>
      <c r="B48" s="5" t="inlineStr">
        <is>
          <t>Liquor</t>
        </is>
      </c>
      <c r="C48" s="5" t="inlineStr">
        <is>
          <t>Vodka</t>
        </is>
      </c>
      <c r="D48" s="5" t="inlineStr">
        <is>
          <t>Deep Eddy Peach</t>
        </is>
      </c>
      <c r="E48" s="5" t="inlineStr">
        <is>
          <t>Deep Eddy</t>
        </is>
      </c>
      <c r="F48" s="5" t="inlineStr">
        <is>
          <t>1L</t>
        </is>
      </c>
      <c r="G48" s="5" t="inlineStr">
        <is>
          <t>Bottle</t>
        </is>
      </c>
      <c r="H48" s="5" t="n">
        <v>4</v>
      </c>
      <c r="I48" s="5" t="n">
        <v>2</v>
      </c>
      <c r="J48" s="5">
        <f>IF(ISNUMBER(MATCH(B48,Inventory_Tracking!$B$2:$B$1000,0)),"No","Yes")
</f>
        <v/>
      </c>
      <c r="K48" s="5" t="n">
        <v>2</v>
      </c>
      <c r="M48" s="5" t="n"/>
    </row>
    <row r="49" ht="15.75" customHeight="1" s="14">
      <c r="A49" t="inlineStr">
        <is>
          <t>I-0048</t>
        </is>
      </c>
      <c r="B49" s="5" t="inlineStr">
        <is>
          <t>Liquor</t>
        </is>
      </c>
      <c r="C49" s="5" t="inlineStr">
        <is>
          <t>Vodka</t>
        </is>
      </c>
      <c r="D49" s="5" t="inlineStr">
        <is>
          <t>Absolut Espresso</t>
        </is>
      </c>
      <c r="E49" s="5" t="inlineStr">
        <is>
          <t>Absolut</t>
        </is>
      </c>
      <c r="F49" s="5" t="inlineStr">
        <is>
          <t>750ml</t>
        </is>
      </c>
      <c r="G49" s="5" t="inlineStr">
        <is>
          <t>Bottle</t>
        </is>
      </c>
      <c r="H49" s="5" t="n">
        <v>3</v>
      </c>
      <c r="I49" s="5" t="n">
        <v>1</v>
      </c>
      <c r="J49" s="5">
        <f>IF(ISNUMBER(MATCH(B49,Inventory_Tracking!$B$2:$B$1000,0)),"No","Yes")
</f>
        <v/>
      </c>
      <c r="K49" s="5" t="n">
        <v>2</v>
      </c>
      <c r="M49" s="5" t="n"/>
    </row>
    <row r="50" ht="15.75" customHeight="1" s="14">
      <c r="A50" t="inlineStr">
        <is>
          <t>I-0049</t>
        </is>
      </c>
      <c r="B50" s="5" t="inlineStr">
        <is>
          <t>Liquor</t>
        </is>
      </c>
      <c r="C50" s="5" t="inlineStr">
        <is>
          <t>Vodka</t>
        </is>
      </c>
      <c r="D50" s="5" t="inlineStr">
        <is>
          <t>Smirnoff</t>
        </is>
      </c>
      <c r="E50" s="5" t="inlineStr">
        <is>
          <t>Smirnoff</t>
        </is>
      </c>
      <c r="F50" s="5" t="inlineStr">
        <is>
          <t>1L</t>
        </is>
      </c>
      <c r="G50" s="5" t="inlineStr">
        <is>
          <t>Bottle</t>
        </is>
      </c>
      <c r="H50" s="5" t="n">
        <v>6</v>
      </c>
      <c r="I50" s="5" t="n">
        <v>3</v>
      </c>
      <c r="J50" s="5">
        <f>IF(ISNUMBER(MATCH(B50,Inventory_Tracking!$B$2:$B$1000,0)),"No","Yes")
</f>
        <v/>
      </c>
      <c r="K50" s="5" t="n">
        <v>2</v>
      </c>
      <c r="M50" s="5" t="n"/>
    </row>
    <row r="51" ht="15.75" customHeight="1" s="14">
      <c r="A51" t="inlineStr">
        <is>
          <t>I-0050</t>
        </is>
      </c>
      <c r="B51" s="7" t="inlineStr">
        <is>
          <t>Liquor</t>
        </is>
      </c>
      <c r="C51" s="7" t="inlineStr">
        <is>
          <t>Vodka</t>
        </is>
      </c>
      <c r="D51" s="7" t="inlineStr">
        <is>
          <t>Smirnoff Vanilla</t>
        </is>
      </c>
      <c r="E51" s="7" t="inlineStr">
        <is>
          <t>Smirnoff</t>
        </is>
      </c>
      <c r="F51" s="7" t="inlineStr">
        <is>
          <t>1L</t>
        </is>
      </c>
      <c r="G51" s="7" t="inlineStr">
        <is>
          <t>Bottle</t>
        </is>
      </c>
      <c r="H51" s="4" t="n">
        <v>4</v>
      </c>
      <c r="I51" s="4" t="n">
        <v>2</v>
      </c>
      <c r="J51" s="5">
        <f>IF(ISNUMBER(MATCH(B51,Inventory_Tracking!$B$2:$B$1000,0)),"No","Yes")
</f>
        <v/>
      </c>
      <c r="K51" s="4" t="n">
        <v>2</v>
      </c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</row>
    <row r="52" ht="15.75" customHeight="1" s="14">
      <c r="A52" t="inlineStr">
        <is>
          <t>I-0051</t>
        </is>
      </c>
      <c r="B52" s="7" t="inlineStr">
        <is>
          <t>Liquor</t>
        </is>
      </c>
      <c r="C52" s="7" t="inlineStr">
        <is>
          <t>Vodka</t>
        </is>
      </c>
      <c r="D52" s="7" t="inlineStr">
        <is>
          <t>Smirnoff Pink Lemonade</t>
        </is>
      </c>
      <c r="E52" s="7" t="inlineStr">
        <is>
          <t>Smirnoff</t>
        </is>
      </c>
      <c r="F52" s="7" t="inlineStr">
        <is>
          <t>750ml</t>
        </is>
      </c>
      <c r="G52" s="7" t="inlineStr">
        <is>
          <t>Bottle</t>
        </is>
      </c>
      <c r="H52" s="4" t="n">
        <v>4</v>
      </c>
      <c r="I52" s="4" t="n">
        <v>2</v>
      </c>
      <c r="J52" s="5">
        <f>IF(ISNUMBER(MATCH(B52,Inventory_Tracking!$B$2:$B$1000,0)),"No","Yes")
</f>
        <v/>
      </c>
      <c r="K52" s="4" t="n">
        <v>2</v>
      </c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</row>
    <row r="53" ht="15.75" customHeight="1" s="14">
      <c r="A53" t="inlineStr">
        <is>
          <t>I-0052</t>
        </is>
      </c>
      <c r="B53" s="5" t="inlineStr">
        <is>
          <t>Liquor</t>
        </is>
      </c>
      <c r="C53" s="5" t="inlineStr">
        <is>
          <t>Vodka</t>
        </is>
      </c>
      <c r="D53" s="5" t="inlineStr">
        <is>
          <t>Smirnoff Raspberry</t>
        </is>
      </c>
      <c r="E53" s="5" t="inlineStr">
        <is>
          <t>Smirnoff</t>
        </is>
      </c>
      <c r="F53" s="5" t="inlineStr">
        <is>
          <t>1L</t>
        </is>
      </c>
      <c r="G53" s="5" t="inlineStr">
        <is>
          <t>Bottle</t>
        </is>
      </c>
      <c r="H53" s="5" t="n">
        <v>4</v>
      </c>
      <c r="I53" s="5" t="n">
        <v>2</v>
      </c>
      <c r="J53" s="5">
        <f>IF(ISNUMBER(MATCH(B53,Inventory_Tracking!$B$2:$B$1000,0)),"No","Yes")
</f>
        <v/>
      </c>
      <c r="K53" s="5" t="n">
        <v>2</v>
      </c>
      <c r="M53" s="5" t="n"/>
    </row>
    <row r="54" ht="15.75" customHeight="1" s="14">
      <c r="A54" t="inlineStr">
        <is>
          <t>I-0053</t>
        </is>
      </c>
      <c r="B54" s="5" t="inlineStr">
        <is>
          <t>Liquor</t>
        </is>
      </c>
      <c r="C54" s="5" t="inlineStr">
        <is>
          <t>Vodka</t>
        </is>
      </c>
      <c r="D54" s="5" t="inlineStr">
        <is>
          <t>Smirnoff Peach</t>
        </is>
      </c>
      <c r="E54" s="5" t="inlineStr">
        <is>
          <t>Smirnoff</t>
        </is>
      </c>
      <c r="F54" s="5" t="inlineStr">
        <is>
          <t>1L</t>
        </is>
      </c>
      <c r="G54" s="5" t="inlineStr">
        <is>
          <t>Bottle</t>
        </is>
      </c>
      <c r="H54" s="5" t="n">
        <v>4</v>
      </c>
      <c r="I54" s="5" t="n">
        <v>2</v>
      </c>
      <c r="J54" s="5">
        <f>IF(ISNUMBER(MATCH(B54,Inventory_Tracking!$B$2:$B$1000,0)),"No","Yes")
</f>
        <v/>
      </c>
      <c r="K54" s="5" t="n">
        <v>2</v>
      </c>
      <c r="M54" s="5" t="n"/>
    </row>
    <row r="55" ht="15.75" customHeight="1" s="14">
      <c r="A55" t="inlineStr">
        <is>
          <t>I-0054</t>
        </is>
      </c>
      <c r="B55" s="5" t="inlineStr">
        <is>
          <t>Liquor</t>
        </is>
      </c>
      <c r="C55" s="5" t="inlineStr">
        <is>
          <t>Vodka</t>
        </is>
      </c>
      <c r="D55" s="5" t="inlineStr">
        <is>
          <t>Smirnoff Red,White&amp;Merry</t>
        </is>
      </c>
      <c r="E55" s="5" t="inlineStr">
        <is>
          <t>Smirnoff</t>
        </is>
      </c>
      <c r="F55" s="5" t="inlineStr">
        <is>
          <t>750ml</t>
        </is>
      </c>
      <c r="G55" s="5" t="inlineStr">
        <is>
          <t>Bottle</t>
        </is>
      </c>
      <c r="H55" s="5" t="n">
        <v>4</v>
      </c>
      <c r="I55" s="5" t="n">
        <v>2</v>
      </c>
      <c r="J55" s="5">
        <f>IF(ISNUMBER(MATCH(B55,Inventory_Tracking!$B$2:$B$1000,0)),"No","Yes")
</f>
        <v/>
      </c>
      <c r="K55" s="5" t="n">
        <v>2</v>
      </c>
      <c r="M55" s="5" t="n"/>
    </row>
    <row r="56" ht="15.75" customHeight="1" s="14">
      <c r="A56" t="inlineStr">
        <is>
          <t>I-0055</t>
        </is>
      </c>
      <c r="B56" s="5" t="inlineStr">
        <is>
          <t>Liquor</t>
        </is>
      </c>
      <c r="C56" s="5" t="inlineStr">
        <is>
          <t>Vodka</t>
        </is>
      </c>
      <c r="D56" s="5" t="inlineStr">
        <is>
          <t>Dry Well Mountain</t>
        </is>
      </c>
      <c r="E56" s="5" t="inlineStr">
        <is>
          <t>DryWell</t>
        </is>
      </c>
      <c r="F56" s="5" t="inlineStr">
        <is>
          <t>1L</t>
        </is>
      </c>
      <c r="G56" s="5" t="inlineStr">
        <is>
          <t>Bottle</t>
        </is>
      </c>
      <c r="H56" s="5" t="n"/>
      <c r="I56" s="5" t="n"/>
      <c r="J56" s="5">
        <f>IF(ISNUMBER(MATCH(B56,Inventory_Tracking!$B$2:$B$1000,0)),"No","Yes")
</f>
        <v/>
      </c>
      <c r="K56" s="5" t="n"/>
      <c r="M56" s="5" t="n"/>
    </row>
    <row r="57" ht="15.75" customHeight="1" s="14">
      <c r="A57" t="inlineStr">
        <is>
          <t>I-0056</t>
        </is>
      </c>
      <c r="B57" s="5" t="inlineStr">
        <is>
          <t>Liquor</t>
        </is>
      </c>
      <c r="C57" s="5" t="inlineStr">
        <is>
          <t>Vodka</t>
        </is>
      </c>
      <c r="D57" s="5" t="inlineStr">
        <is>
          <t>Ketel One</t>
        </is>
      </c>
      <c r="E57" s="5" t="inlineStr">
        <is>
          <t>Ketel One</t>
        </is>
      </c>
      <c r="F57" s="5" t="inlineStr">
        <is>
          <t>1L</t>
        </is>
      </c>
      <c r="G57" s="5" t="inlineStr">
        <is>
          <t>Bottle</t>
        </is>
      </c>
      <c r="H57" s="5" t="n">
        <v>4</v>
      </c>
      <c r="I57" s="5" t="n">
        <v>2</v>
      </c>
      <c r="J57" s="5">
        <f>IF(ISNUMBER(MATCH(B57,Inventory_Tracking!$B$2:$B$1000,0)),"No","Yes")
</f>
        <v/>
      </c>
      <c r="K57" s="5" t="n">
        <v>2</v>
      </c>
      <c r="M57" s="5" t="n"/>
    </row>
    <row r="58" ht="15.75" customHeight="1" s="14">
      <c r="A58" t="inlineStr">
        <is>
          <t>I-0057</t>
        </is>
      </c>
      <c r="B58" s="5" t="inlineStr">
        <is>
          <t>Liquor</t>
        </is>
      </c>
      <c r="C58" s="5" t="inlineStr">
        <is>
          <t>Vodka</t>
        </is>
      </c>
      <c r="D58" s="5" t="inlineStr">
        <is>
          <t>Wheatley Vodka</t>
        </is>
      </c>
      <c r="E58" s="5" t="inlineStr">
        <is>
          <t>Wheatley</t>
        </is>
      </c>
      <c r="F58" s="5" t="inlineStr">
        <is>
          <t>750ml</t>
        </is>
      </c>
      <c r="G58" s="5" t="inlineStr">
        <is>
          <t>Bottle</t>
        </is>
      </c>
      <c r="H58" s="5" t="n">
        <v>3</v>
      </c>
      <c r="I58" s="5" t="n">
        <v>1</v>
      </c>
      <c r="J58" s="5">
        <f>IF(ISNUMBER(MATCH(B58,Inventory_Tracking!$B$2:$B$1000,0)),"No","Yes")
</f>
        <v/>
      </c>
      <c r="K58" s="5" t="n">
        <v>2</v>
      </c>
      <c r="M58" s="5" t="n"/>
    </row>
    <row r="59" ht="15.75" customHeight="1" s="14">
      <c r="A59" t="inlineStr">
        <is>
          <t>I-0058</t>
        </is>
      </c>
      <c r="B59" s="5" t="inlineStr">
        <is>
          <t>Liquor</t>
        </is>
      </c>
      <c r="C59" s="5" t="inlineStr">
        <is>
          <t>Gin</t>
        </is>
      </c>
      <c r="D59" s="5" t="inlineStr">
        <is>
          <t>Taaka</t>
        </is>
      </c>
      <c r="E59" s="5" t="inlineStr">
        <is>
          <t>Taaka</t>
        </is>
      </c>
      <c r="F59" s="5" t="inlineStr">
        <is>
          <t>1L</t>
        </is>
      </c>
      <c r="G59" s="5" t="inlineStr">
        <is>
          <t>Bottle</t>
        </is>
      </c>
      <c r="H59" s="5" t="n">
        <v>4</v>
      </c>
      <c r="I59" s="5" t="n">
        <v>2</v>
      </c>
      <c r="J59" s="5">
        <f>IF(ISNUMBER(MATCH(B59,Inventory_Tracking!$B$2:$B$1000,0)),"No","Yes")
</f>
        <v/>
      </c>
      <c r="K59" s="5" t="n">
        <v>2</v>
      </c>
      <c r="M59" s="5" t="n"/>
    </row>
    <row r="60" ht="15.75" customHeight="1" s="14">
      <c r="A60" t="inlineStr">
        <is>
          <t>I-0059</t>
        </is>
      </c>
      <c r="B60" s="5" t="inlineStr">
        <is>
          <t>Liquor</t>
        </is>
      </c>
      <c r="C60" s="5" t="inlineStr">
        <is>
          <t>Gin</t>
        </is>
      </c>
      <c r="D60" s="5" t="inlineStr">
        <is>
          <t>Hendrick’s</t>
        </is>
      </c>
      <c r="E60" s="5" t="inlineStr">
        <is>
          <t>Hendrick’s</t>
        </is>
      </c>
      <c r="F60" s="5" t="inlineStr">
        <is>
          <t>750ml</t>
        </is>
      </c>
      <c r="G60" s="5" t="inlineStr">
        <is>
          <t>Bottle</t>
        </is>
      </c>
      <c r="H60" s="5" t="n">
        <v>4</v>
      </c>
      <c r="I60" s="5" t="n">
        <v>2</v>
      </c>
      <c r="J60" s="5">
        <f>IF(ISNUMBER(MATCH(B60,Inventory_Tracking!$B$2:$B$1000,0)),"No","Yes")
</f>
        <v/>
      </c>
      <c r="K60" s="5" t="n">
        <v>2</v>
      </c>
      <c r="M60" s="5" t="n"/>
    </row>
    <row r="61" ht="15.75" customHeight="1" s="14">
      <c r="A61" t="inlineStr">
        <is>
          <t>I-0060</t>
        </is>
      </c>
      <c r="B61" s="5" t="inlineStr">
        <is>
          <t>Liquor</t>
        </is>
      </c>
      <c r="C61" s="5" t="inlineStr">
        <is>
          <t>Gin</t>
        </is>
      </c>
      <c r="D61" s="5" t="inlineStr">
        <is>
          <t>Tanqueray</t>
        </is>
      </c>
      <c r="E61" s="5" t="inlineStr">
        <is>
          <t>Tanqueray</t>
        </is>
      </c>
      <c r="F61" s="5" t="inlineStr">
        <is>
          <t>750ml</t>
        </is>
      </c>
      <c r="G61" s="5" t="inlineStr">
        <is>
          <t>Bottle</t>
        </is>
      </c>
      <c r="H61" s="5" t="n">
        <v>4</v>
      </c>
      <c r="I61" s="5" t="n">
        <v>2</v>
      </c>
      <c r="J61" s="5">
        <f>IF(ISNUMBER(MATCH(B61,Inventory_Tracking!$B$2:$B$1000,0)),"No","Yes")
</f>
        <v/>
      </c>
      <c r="K61" s="5" t="n">
        <v>2</v>
      </c>
      <c r="M61" s="5" t="n"/>
    </row>
    <row r="62" ht="15.75" customHeight="1" s="14">
      <c r="A62" t="inlineStr">
        <is>
          <t>I-0061</t>
        </is>
      </c>
      <c r="B62" s="5" t="inlineStr">
        <is>
          <t>Liquor</t>
        </is>
      </c>
      <c r="C62" s="5" t="inlineStr">
        <is>
          <t>Gin</t>
        </is>
      </c>
      <c r="D62" s="5" t="inlineStr">
        <is>
          <t>Bombay Sapphire</t>
        </is>
      </c>
      <c r="E62" s="5" t="inlineStr">
        <is>
          <t>Bombay Sapphire</t>
        </is>
      </c>
      <c r="F62" s="5" t="inlineStr">
        <is>
          <t>750ml</t>
        </is>
      </c>
      <c r="G62" s="5" t="inlineStr">
        <is>
          <t>Bottle</t>
        </is>
      </c>
      <c r="H62" s="5" t="n">
        <v>4</v>
      </c>
      <c r="I62" s="5" t="n">
        <v>2</v>
      </c>
      <c r="J62" s="5">
        <f>IF(ISNUMBER(MATCH(B62,Inventory_Tracking!$B$2:$B$1000,0)),"No","Yes")
</f>
        <v/>
      </c>
      <c r="K62" s="5" t="n">
        <v>2</v>
      </c>
      <c r="M62" s="5" t="n"/>
    </row>
    <row r="63" ht="15.75" customHeight="1" s="14">
      <c r="A63" t="inlineStr">
        <is>
          <t>I-0062</t>
        </is>
      </c>
      <c r="B63" s="5" t="inlineStr">
        <is>
          <t>Liquor</t>
        </is>
      </c>
      <c r="C63" s="5" t="inlineStr">
        <is>
          <t>Rum</t>
        </is>
      </c>
      <c r="D63" s="5" t="inlineStr">
        <is>
          <t>Bacardi Light</t>
        </is>
      </c>
      <c r="E63" s="5" t="inlineStr">
        <is>
          <t>Bacardi</t>
        </is>
      </c>
      <c r="F63" s="5" t="inlineStr">
        <is>
          <t>1L</t>
        </is>
      </c>
      <c r="G63" s="5" t="inlineStr">
        <is>
          <t>Bottle</t>
        </is>
      </c>
      <c r="H63" s="5" t="n">
        <v>6</v>
      </c>
      <c r="I63" s="5" t="n">
        <v>3</v>
      </c>
      <c r="J63" s="5">
        <f>IF(ISNUMBER(MATCH(B63,Inventory_Tracking!$B$2:$B$1000,0)),"No","Yes")
</f>
        <v/>
      </c>
      <c r="K63" s="5" t="n">
        <v>2</v>
      </c>
      <c r="M63" s="5" t="n"/>
    </row>
    <row r="64" ht="15.75" customHeight="1" s="14">
      <c r="A64" t="inlineStr">
        <is>
          <t>I-0063</t>
        </is>
      </c>
      <c r="B64" s="5" t="inlineStr">
        <is>
          <t>Liquor</t>
        </is>
      </c>
      <c r="C64" s="5" t="inlineStr">
        <is>
          <t>Rum</t>
        </is>
      </c>
      <c r="D64" s="5" t="inlineStr">
        <is>
          <t>Castillo Light</t>
        </is>
      </c>
      <c r="E64" s="5" t="inlineStr">
        <is>
          <t>Castillo</t>
        </is>
      </c>
      <c r="F64" s="5" t="inlineStr">
        <is>
          <t>1L</t>
        </is>
      </c>
      <c r="G64" s="5" t="inlineStr">
        <is>
          <t>Bottle</t>
        </is>
      </c>
      <c r="H64" s="5" t="n">
        <v>4</v>
      </c>
      <c r="I64" s="5" t="n">
        <v>2</v>
      </c>
      <c r="J64" s="5">
        <f>IF(ISNUMBER(MATCH(B64,Inventory_Tracking!$B$2:$B$1000,0)),"No","Yes")
</f>
        <v/>
      </c>
      <c r="K64" s="5" t="n">
        <v>2</v>
      </c>
      <c r="M64" s="5" t="n"/>
    </row>
    <row r="65" ht="15.75" customHeight="1" s="14">
      <c r="A65" t="inlineStr">
        <is>
          <t>I-0064</t>
        </is>
      </c>
      <c r="B65" s="5" t="inlineStr">
        <is>
          <t>Liquor</t>
        </is>
      </c>
      <c r="C65" s="5" t="inlineStr">
        <is>
          <t>Rum</t>
        </is>
      </c>
      <c r="D65" s="5" t="inlineStr">
        <is>
          <t>Ron Corina Coconut</t>
        </is>
      </c>
      <c r="E65" s="5" t="inlineStr">
        <is>
          <t>Ron Corina</t>
        </is>
      </c>
      <c r="F65" s="5" t="inlineStr">
        <is>
          <t>750ml</t>
        </is>
      </c>
      <c r="G65" s="5" t="inlineStr">
        <is>
          <t>Bottle</t>
        </is>
      </c>
      <c r="H65" s="5" t="n">
        <v>3</v>
      </c>
      <c r="I65" s="5" t="n">
        <v>1</v>
      </c>
      <c r="J65" s="5">
        <f>IF(ISNUMBER(MATCH(B65,Inventory_Tracking!$B$2:$B$1000,0)),"No","Yes")
</f>
        <v/>
      </c>
      <c r="K65" s="5" t="n">
        <v>2</v>
      </c>
      <c r="M65" s="5" t="n"/>
    </row>
    <row r="66" ht="15.75" customHeight="1" s="14">
      <c r="A66" t="inlineStr">
        <is>
          <t>I-0065</t>
        </is>
      </c>
      <c r="B66" s="5" t="inlineStr">
        <is>
          <t>Liquor</t>
        </is>
      </c>
      <c r="C66" s="5" t="inlineStr">
        <is>
          <t>Rum</t>
        </is>
      </c>
      <c r="D66" s="5" t="inlineStr">
        <is>
          <t>Captain Morgan Spiced</t>
        </is>
      </c>
      <c r="E66" s="5" t="inlineStr">
        <is>
          <t>Captain Morgan</t>
        </is>
      </c>
      <c r="F66" s="5" t="inlineStr">
        <is>
          <t>1L</t>
        </is>
      </c>
      <c r="G66" s="5" t="inlineStr">
        <is>
          <t>Bottle</t>
        </is>
      </c>
      <c r="H66" s="5" t="n">
        <v>5</v>
      </c>
      <c r="I66" s="5" t="n">
        <v>2</v>
      </c>
      <c r="J66" s="5">
        <f>IF(ISNUMBER(MATCH(B66,Inventory_Tracking!$B$2:$B$1000,0)),"No","Yes")
</f>
        <v/>
      </c>
      <c r="K66" s="5" t="n">
        <v>2</v>
      </c>
      <c r="M66" s="5" t="n"/>
    </row>
    <row r="67" ht="15.75" customHeight="1" s="14">
      <c r="A67" t="inlineStr">
        <is>
          <t>I-0066</t>
        </is>
      </c>
      <c r="B67" s="5" t="inlineStr">
        <is>
          <t>Liquor</t>
        </is>
      </c>
      <c r="C67" s="5" t="inlineStr">
        <is>
          <t>Rum</t>
        </is>
      </c>
      <c r="D67" s="5" t="inlineStr">
        <is>
          <t>Captain Morgan Original</t>
        </is>
      </c>
      <c r="E67" s="5" t="inlineStr">
        <is>
          <t>Captain Morgan</t>
        </is>
      </c>
      <c r="F67" s="5" t="inlineStr">
        <is>
          <t>1L</t>
        </is>
      </c>
      <c r="G67" s="5" t="inlineStr">
        <is>
          <t>Bottle</t>
        </is>
      </c>
      <c r="H67" s="5" t="n">
        <v>5</v>
      </c>
      <c r="I67" s="5" t="n">
        <v>2</v>
      </c>
      <c r="J67" s="5">
        <f>IF(ISNUMBER(MATCH(B67,Inventory_Tracking!$B$2:$B$1000,0)),"No","Yes")
</f>
        <v/>
      </c>
      <c r="K67" s="5" t="n">
        <v>2</v>
      </c>
      <c r="M67" s="5" t="n"/>
    </row>
    <row r="68" ht="15.75" customHeight="1" s="14">
      <c r="A68" t="inlineStr">
        <is>
          <t>I-0067</t>
        </is>
      </c>
      <c r="B68" s="5" t="inlineStr">
        <is>
          <t>Liquor</t>
        </is>
      </c>
      <c r="C68" s="5" t="inlineStr">
        <is>
          <t>Rum</t>
        </is>
      </c>
      <c r="D68" s="5" t="inlineStr">
        <is>
          <t>Malibu Coconut</t>
        </is>
      </c>
      <c r="E68" s="5" t="inlineStr">
        <is>
          <t>Malibu</t>
        </is>
      </c>
      <c r="F68" s="5" t="inlineStr">
        <is>
          <t>750ml</t>
        </is>
      </c>
      <c r="G68" s="5" t="inlineStr">
        <is>
          <t>Bottle</t>
        </is>
      </c>
      <c r="H68" s="5" t="n">
        <v>4</v>
      </c>
      <c r="I68" s="5" t="n">
        <v>2</v>
      </c>
      <c r="J68" s="5">
        <f>IF(ISNUMBER(MATCH(B68,Inventory_Tracking!$B$2:$B$1000,0)),"No","Yes")
</f>
        <v/>
      </c>
      <c r="K68" s="5" t="n">
        <v>2</v>
      </c>
      <c r="M68" s="5" t="n"/>
    </row>
    <row r="69" ht="15.75" customHeight="1" s="14">
      <c r="A69" t="inlineStr">
        <is>
          <t>I-0068</t>
        </is>
      </c>
      <c r="B69" s="5" t="inlineStr">
        <is>
          <t>Liquor</t>
        </is>
      </c>
      <c r="C69" s="5" t="inlineStr">
        <is>
          <t>Rum</t>
        </is>
      </c>
      <c r="D69" s="5" t="inlineStr">
        <is>
          <t>RumChata</t>
        </is>
      </c>
      <c r="E69" s="5" t="inlineStr">
        <is>
          <t>RumChata</t>
        </is>
      </c>
      <c r="F69" s="5" t="inlineStr">
        <is>
          <t>750ml</t>
        </is>
      </c>
      <c r="G69" s="5" t="inlineStr">
        <is>
          <t>Bottle</t>
        </is>
      </c>
      <c r="H69" s="5" t="n">
        <v>4</v>
      </c>
      <c r="I69" s="5" t="n">
        <v>2</v>
      </c>
      <c r="J69" s="5">
        <f>IF(ISNUMBER(MATCH(B69,Inventory_Tracking!$B$2:$B$1000,0)),"No","Yes")
</f>
        <v/>
      </c>
      <c r="K69" s="5" t="n">
        <v>2</v>
      </c>
      <c r="M69" s="5" t="n"/>
    </row>
    <row r="70" ht="15.75" customHeight="1" s="14">
      <c r="A70" t="inlineStr">
        <is>
          <t>I-0069</t>
        </is>
      </c>
      <c r="B70" s="5" t="inlineStr">
        <is>
          <t>Liquor</t>
        </is>
      </c>
      <c r="C70" s="5" t="inlineStr">
        <is>
          <t>Rum</t>
        </is>
      </c>
      <c r="D70" s="5" t="inlineStr">
        <is>
          <t>Diplomático Reserva</t>
        </is>
      </c>
      <c r="E70" s="5" t="inlineStr">
        <is>
          <t>Diplomático</t>
        </is>
      </c>
      <c r="F70" s="5" t="inlineStr">
        <is>
          <t>750ml</t>
        </is>
      </c>
      <c r="G70" s="5" t="inlineStr">
        <is>
          <t>Bottle</t>
        </is>
      </c>
      <c r="H70" s="5" t="n">
        <v>2</v>
      </c>
      <c r="I70" s="5" t="n">
        <v>1</v>
      </c>
      <c r="J70" s="5">
        <f>IF(ISNUMBER(MATCH(B70,Inventory_Tracking!$B$2:$B$1000,0)),"No","Yes")
</f>
        <v/>
      </c>
      <c r="K70" s="5" t="n">
        <v>2</v>
      </c>
      <c r="M70" s="5" t="n"/>
    </row>
    <row r="71" ht="15.75" customHeight="1" s="14">
      <c r="A71" t="inlineStr">
        <is>
          <t>I-0070</t>
        </is>
      </c>
      <c r="B71" s="5" t="inlineStr">
        <is>
          <t>Liquor</t>
        </is>
      </c>
      <c r="C71" s="5" t="inlineStr">
        <is>
          <t>Rum</t>
        </is>
      </c>
      <c r="D71" s="5" t="inlineStr">
        <is>
          <t>Kraken Black Spiced Rum</t>
        </is>
      </c>
      <c r="E71" s="5" t="inlineStr">
        <is>
          <t>Kraken</t>
        </is>
      </c>
      <c r="F71" s="5" t="inlineStr">
        <is>
          <t>750ml</t>
        </is>
      </c>
      <c r="G71" s="5" t="inlineStr">
        <is>
          <t>Bottle</t>
        </is>
      </c>
      <c r="H71" s="5" t="n">
        <v>3</v>
      </c>
      <c r="I71" s="5" t="n">
        <v>1</v>
      </c>
      <c r="J71" s="5">
        <f>IF(ISNUMBER(MATCH(B71,Inventory_Tracking!$B$2:$B$1000,0)),"No","Yes")
</f>
        <v/>
      </c>
      <c r="K71" s="5" t="n">
        <v>2</v>
      </c>
      <c r="M71" s="5" t="n"/>
    </row>
    <row r="72" ht="15.75" customHeight="1" s="14">
      <c r="A72" t="inlineStr">
        <is>
          <t>I-0071</t>
        </is>
      </c>
      <c r="B72" s="5" t="inlineStr">
        <is>
          <t>Liquor</t>
        </is>
      </c>
      <c r="C72" s="5" t="inlineStr">
        <is>
          <t>Rum</t>
        </is>
      </c>
      <c r="D72" s="5" t="inlineStr">
        <is>
          <t>Ron Corina Silver</t>
        </is>
      </c>
      <c r="E72" s="5" t="inlineStr">
        <is>
          <t>Ron Corina</t>
        </is>
      </c>
      <c r="F72" s="5" t="inlineStr">
        <is>
          <t>1L</t>
        </is>
      </c>
      <c r="G72" s="5" t="inlineStr">
        <is>
          <t>Bottle</t>
        </is>
      </c>
      <c r="H72" s="5" t="n">
        <v>3</v>
      </c>
      <c r="I72" s="5" t="n">
        <v>1</v>
      </c>
      <c r="J72" s="5">
        <f>IF(ISNUMBER(MATCH(B72,Inventory_Tracking!$B$2:$B$1000,0)),"No","Yes")
</f>
        <v/>
      </c>
      <c r="K72" s="5" t="n">
        <v>2</v>
      </c>
      <c r="M72" s="5" t="n"/>
    </row>
    <row r="73" ht="15.75" customHeight="1" s="14">
      <c r="A73" t="inlineStr">
        <is>
          <t>I-0072</t>
        </is>
      </c>
      <c r="B73" s="5" t="inlineStr">
        <is>
          <t>Liquor</t>
        </is>
      </c>
      <c r="C73" s="5" t="inlineStr">
        <is>
          <t>Rum</t>
        </is>
      </c>
      <c r="D73" s="5" t="inlineStr">
        <is>
          <t>Rumple Minze</t>
        </is>
      </c>
      <c r="E73" s="5" t="inlineStr">
        <is>
          <t>DIageo</t>
        </is>
      </c>
      <c r="F73" s="5" t="inlineStr">
        <is>
          <t>1L</t>
        </is>
      </c>
      <c r="G73" s="5" t="inlineStr">
        <is>
          <t>Bottle</t>
        </is>
      </c>
      <c r="H73" s="5" t="n">
        <v>3</v>
      </c>
      <c r="I73" s="5" t="n">
        <v>1</v>
      </c>
      <c r="J73" s="5">
        <f>IF(ISNUMBER(MATCH(B73,Inventory_Tracking!$B$2:$B$1000,0)),"No","Yes")
</f>
        <v/>
      </c>
      <c r="K73" s="5" t="n">
        <v>2</v>
      </c>
      <c r="M73" s="5" t="n"/>
    </row>
    <row r="74" ht="15.75" customHeight="1" s="14">
      <c r="A74" t="inlineStr">
        <is>
          <t>I-0073</t>
        </is>
      </c>
      <c r="B74" s="5" t="inlineStr">
        <is>
          <t>Liquor</t>
        </is>
      </c>
      <c r="C74" s="5" t="inlineStr">
        <is>
          <t>Rum</t>
        </is>
      </c>
      <c r="D74" s="5" t="inlineStr">
        <is>
          <t>Parrot Bay</t>
        </is>
      </c>
      <c r="E74" s="5" t="inlineStr">
        <is>
          <t>Parrot Bay</t>
        </is>
      </c>
      <c r="F74" s="5" t="inlineStr">
        <is>
          <t>750ml</t>
        </is>
      </c>
      <c r="G74" s="5" t="inlineStr">
        <is>
          <t>Bottle</t>
        </is>
      </c>
      <c r="H74" s="5" t="n">
        <v>3</v>
      </c>
      <c r="I74" s="5" t="n">
        <v>1</v>
      </c>
      <c r="J74" s="5">
        <f>IF(ISNUMBER(MATCH(B74,Inventory_Tracking!$B$2:$B$1000,0)),"No","Yes")
</f>
        <v/>
      </c>
      <c r="K74" s="5" t="n">
        <v>2</v>
      </c>
      <c r="M74" s="5" t="n"/>
    </row>
    <row r="75" ht="15.75" customHeight="1" s="14">
      <c r="A75" t="inlineStr">
        <is>
          <t>I-0074</t>
        </is>
      </c>
      <c r="B75" s="5" t="inlineStr">
        <is>
          <t>Liquor</t>
        </is>
      </c>
      <c r="C75" s="5" t="inlineStr">
        <is>
          <t>Tequila</t>
        </is>
      </c>
      <c r="D75" s="5" t="inlineStr">
        <is>
          <t>Lalo</t>
        </is>
      </c>
      <c r="E75" s="5" t="inlineStr">
        <is>
          <t>Lalo</t>
        </is>
      </c>
      <c r="F75" s="5" t="inlineStr">
        <is>
          <t>1L</t>
        </is>
      </c>
      <c r="G75" s="5" t="inlineStr">
        <is>
          <t>Bottle</t>
        </is>
      </c>
      <c r="H75" s="5" t="n"/>
      <c r="I75" s="5" t="n"/>
      <c r="J75" s="5">
        <f>IF(ISNUMBER(MATCH(B75,Inventory_Tracking!$B$2:$B$1000,0)),"No","Yes")
</f>
        <v/>
      </c>
      <c r="K75" s="5" t="n"/>
      <c r="M75" s="5" t="n"/>
    </row>
    <row r="76" ht="15.75" customHeight="1" s="14">
      <c r="A76" t="inlineStr">
        <is>
          <t>I-0075</t>
        </is>
      </c>
      <c r="B76" s="5" t="inlineStr">
        <is>
          <t>Liquor</t>
        </is>
      </c>
      <c r="C76" s="5" t="inlineStr">
        <is>
          <t>Tequila</t>
        </is>
      </c>
      <c r="D76" s="5" t="inlineStr">
        <is>
          <t>1800 Blanco</t>
        </is>
      </c>
      <c r="E76" s="5" t="n">
        <v>1800</v>
      </c>
      <c r="F76" s="5" t="inlineStr">
        <is>
          <t>1L</t>
        </is>
      </c>
      <c r="G76" s="5" t="inlineStr">
        <is>
          <t>Bottle</t>
        </is>
      </c>
      <c r="H76" s="5" t="n">
        <v>6</v>
      </c>
      <c r="I76" s="5" t="n">
        <v>3</v>
      </c>
      <c r="J76" s="5">
        <f>IF(ISNUMBER(MATCH(B76,Inventory_Tracking!$B$2:$B$1000,0)),"No","Yes")
</f>
        <v/>
      </c>
      <c r="K76" s="5" t="n">
        <v>2</v>
      </c>
      <c r="M76" s="5" t="n"/>
    </row>
    <row r="77" ht="15.75" customHeight="1" s="14">
      <c r="A77" t="inlineStr">
        <is>
          <t>I-0076</t>
        </is>
      </c>
      <c r="B77" s="5" t="inlineStr">
        <is>
          <t>Liquor</t>
        </is>
      </c>
      <c r="C77" s="5" t="inlineStr">
        <is>
          <t>Tequila</t>
        </is>
      </c>
      <c r="D77" s="5" t="inlineStr">
        <is>
          <t>Torada Silver</t>
        </is>
      </c>
      <c r="E77" s="5" t="inlineStr">
        <is>
          <t>Torada</t>
        </is>
      </c>
      <c r="F77" s="5" t="inlineStr">
        <is>
          <t>1L</t>
        </is>
      </c>
      <c r="G77" s="5" t="inlineStr">
        <is>
          <t>Bottle</t>
        </is>
      </c>
      <c r="H77" s="5" t="n">
        <v>6</v>
      </c>
      <c r="I77" s="5" t="n">
        <v>3</v>
      </c>
      <c r="J77" s="5">
        <f>IF(ISNUMBER(MATCH(B77,Inventory_Tracking!$B$2:$B$1000,0)),"No","Yes")
</f>
        <v/>
      </c>
      <c r="K77" s="5" t="n">
        <v>2</v>
      </c>
      <c r="M77" s="5" t="n"/>
    </row>
    <row r="78" ht="15.75" customHeight="1" s="14">
      <c r="A78" t="inlineStr">
        <is>
          <t>I-0077</t>
        </is>
      </c>
      <c r="B78" s="5" t="inlineStr">
        <is>
          <t>Liquor</t>
        </is>
      </c>
      <c r="C78" s="5" t="inlineStr">
        <is>
          <t>Tequila</t>
        </is>
      </c>
      <c r="D78" s="5" t="inlineStr">
        <is>
          <t>JaJa Reposado</t>
        </is>
      </c>
      <c r="E78" s="5" t="inlineStr">
        <is>
          <t>Jaja</t>
        </is>
      </c>
      <c r="F78" s="5" t="inlineStr">
        <is>
          <t>750ml</t>
        </is>
      </c>
      <c r="G78" s="5" t="inlineStr">
        <is>
          <t>Bottle</t>
        </is>
      </c>
      <c r="H78" s="5" t="n">
        <v>6</v>
      </c>
      <c r="I78" s="5" t="n">
        <v>3</v>
      </c>
      <c r="J78" s="5">
        <f>IF(ISNUMBER(MATCH(B78,Inventory_Tracking!$B$2:$B$1000,0)),"No","Yes")
</f>
        <v/>
      </c>
      <c r="K78" s="5" t="n">
        <v>2</v>
      </c>
      <c r="M78" s="5" t="n"/>
    </row>
    <row r="79" ht="15.75" customHeight="1" s="14">
      <c r="A79" t="inlineStr">
        <is>
          <t>I-0078</t>
        </is>
      </c>
      <c r="B79" s="5" t="inlineStr">
        <is>
          <t>Liquor</t>
        </is>
      </c>
      <c r="C79" s="5" t="inlineStr">
        <is>
          <t>Tequila</t>
        </is>
      </c>
      <c r="D79" s="5" t="inlineStr">
        <is>
          <t>JaJa Blanco</t>
        </is>
      </c>
      <c r="E79" s="5" t="inlineStr">
        <is>
          <t>Jaja</t>
        </is>
      </c>
      <c r="F79" s="5" t="inlineStr">
        <is>
          <t>750ml</t>
        </is>
      </c>
      <c r="G79" s="5" t="inlineStr">
        <is>
          <t>Bottle</t>
        </is>
      </c>
      <c r="H79" s="5" t="n">
        <v>6</v>
      </c>
      <c r="I79" s="5" t="n">
        <v>3</v>
      </c>
      <c r="J79" s="5">
        <f>IF(ISNUMBER(MATCH(B79,Inventory_Tracking!$B$2:$B$1000,0)),"No","Yes")
</f>
        <v/>
      </c>
      <c r="K79" s="5" t="n">
        <v>2</v>
      </c>
      <c r="M79" s="5" t="n"/>
    </row>
    <row r="80" ht="15.75" customHeight="1" s="14">
      <c r="A80" t="inlineStr">
        <is>
          <t>I-0079</t>
        </is>
      </c>
      <c r="B80" s="5" t="inlineStr">
        <is>
          <t>Liquor</t>
        </is>
      </c>
      <c r="C80" s="5" t="inlineStr">
        <is>
          <t>Tequila</t>
        </is>
      </c>
      <c r="D80" s="5" t="inlineStr">
        <is>
          <t>Casamigos Blanco</t>
        </is>
      </c>
      <c r="E80" s="5" t="inlineStr">
        <is>
          <t>Casamigos</t>
        </is>
      </c>
      <c r="F80" s="5" t="inlineStr">
        <is>
          <t>750ml</t>
        </is>
      </c>
      <c r="G80" s="5" t="inlineStr">
        <is>
          <t>Bottle</t>
        </is>
      </c>
      <c r="H80" s="5" t="n">
        <v>5</v>
      </c>
      <c r="I80" s="5" t="n">
        <v>2</v>
      </c>
      <c r="J80" s="5">
        <f>IF(ISNUMBER(MATCH(B80,Inventory_Tracking!$B$2:$B$1000,0)),"No","Yes")
</f>
        <v/>
      </c>
      <c r="K80" s="5" t="n">
        <v>2</v>
      </c>
      <c r="M80" s="5" t="n"/>
    </row>
    <row r="81" ht="15.75" customHeight="1" s="14">
      <c r="A81" t="inlineStr">
        <is>
          <t>I-0080</t>
        </is>
      </c>
      <c r="B81" s="5" t="inlineStr">
        <is>
          <t>Liquor</t>
        </is>
      </c>
      <c r="C81" s="5" t="inlineStr">
        <is>
          <t>Tequila</t>
        </is>
      </c>
      <c r="D81" s="5" t="inlineStr">
        <is>
          <t>Maestro Dobel Diamante</t>
        </is>
      </c>
      <c r="E81" s="5" t="inlineStr">
        <is>
          <t>Maestro</t>
        </is>
      </c>
      <c r="F81" s="5" t="inlineStr">
        <is>
          <t>750ml</t>
        </is>
      </c>
      <c r="G81" s="5" t="inlineStr">
        <is>
          <t>Bottle</t>
        </is>
      </c>
      <c r="H81" s="5" t="n">
        <v>5</v>
      </c>
      <c r="I81" s="5" t="n">
        <v>2</v>
      </c>
      <c r="J81" s="5">
        <f>IF(ISNUMBER(MATCH(B81,Inventory_Tracking!$B$2:$B$1000,0)),"No","Yes")
</f>
        <v/>
      </c>
      <c r="K81" s="5" t="n">
        <v>2</v>
      </c>
      <c r="M81" s="5" t="n"/>
    </row>
    <row r="82" ht="15.75" customHeight="1" s="14">
      <c r="A82" t="inlineStr">
        <is>
          <t>I-0081</t>
        </is>
      </c>
      <c r="B82" s="5" t="inlineStr">
        <is>
          <t>Liquor</t>
        </is>
      </c>
      <c r="C82" s="5" t="inlineStr">
        <is>
          <t>Tequila</t>
        </is>
      </c>
      <c r="D82" s="5" t="inlineStr">
        <is>
          <t>Casamigos Reposado</t>
        </is>
      </c>
      <c r="E82" s="5" t="inlineStr">
        <is>
          <t>Casamigos</t>
        </is>
      </c>
      <c r="F82" s="5" t="inlineStr">
        <is>
          <t>1L</t>
        </is>
      </c>
      <c r="G82" s="5" t="inlineStr">
        <is>
          <t>Bottle</t>
        </is>
      </c>
      <c r="H82" s="5" t="n">
        <v>4</v>
      </c>
      <c r="I82" s="5" t="n">
        <v>2</v>
      </c>
      <c r="J82" s="5">
        <f>IF(ISNUMBER(MATCH(B82,Inventory_Tracking!$B$2:$B$1000,0)),"No","Yes")
</f>
        <v/>
      </c>
      <c r="K82" s="5" t="n">
        <v>2</v>
      </c>
      <c r="M82" s="5" t="n"/>
    </row>
    <row r="83" ht="15.75" customHeight="1" s="14">
      <c r="A83" t="inlineStr">
        <is>
          <t>I-0082</t>
        </is>
      </c>
      <c r="B83" s="7" t="inlineStr">
        <is>
          <t>Liquor</t>
        </is>
      </c>
      <c r="C83" s="7" t="inlineStr">
        <is>
          <t>Tequila</t>
        </is>
      </c>
      <c r="D83" s="7" t="inlineStr">
        <is>
          <t>Espolòn Reposado</t>
        </is>
      </c>
      <c r="E83" s="7" t="inlineStr">
        <is>
          <t>Espolòn</t>
        </is>
      </c>
      <c r="F83" s="7" t="inlineStr">
        <is>
          <t>750ml</t>
        </is>
      </c>
      <c r="G83" s="7" t="inlineStr">
        <is>
          <t>Bottle</t>
        </is>
      </c>
      <c r="H83" s="4" t="n">
        <v>5</v>
      </c>
      <c r="I83" s="4" t="n">
        <v>2</v>
      </c>
      <c r="J83" s="5">
        <f>IF(ISNUMBER(MATCH(B83,Inventory_Tracking!$B$2:$B$1000,0)),"No","Yes")
</f>
        <v/>
      </c>
      <c r="K83" s="4" t="n">
        <v>2</v>
      </c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</row>
    <row r="84" ht="15.75" customHeight="1" s="14">
      <c r="A84" t="inlineStr">
        <is>
          <t>I-0083</t>
        </is>
      </c>
      <c r="B84" s="5" t="inlineStr">
        <is>
          <t>Liquor</t>
        </is>
      </c>
      <c r="C84" s="5" t="inlineStr">
        <is>
          <t>Tequila</t>
        </is>
      </c>
      <c r="D84" s="5" t="inlineStr">
        <is>
          <t>Espolòn Blanco</t>
        </is>
      </c>
      <c r="E84" s="5" t="inlineStr">
        <is>
          <t>Espolòn</t>
        </is>
      </c>
      <c r="F84" s="5" t="inlineStr">
        <is>
          <t>750ml</t>
        </is>
      </c>
      <c r="G84" s="5" t="inlineStr">
        <is>
          <t>Bottle</t>
        </is>
      </c>
      <c r="H84" s="5" t="n">
        <v>5</v>
      </c>
      <c r="I84" s="5" t="n">
        <v>2</v>
      </c>
      <c r="J84" s="5">
        <f>IF(ISNUMBER(MATCH(B84,Inventory_Tracking!$B$2:$B$1000,0)),"No","Yes")
</f>
        <v/>
      </c>
      <c r="K84" s="5" t="n">
        <v>2</v>
      </c>
      <c r="M84" s="5" t="n"/>
    </row>
    <row r="85" ht="15.75" customHeight="1" s="14">
      <c r="A85" t="inlineStr">
        <is>
          <t>I-0084</t>
        </is>
      </c>
      <c r="B85" s="5" t="inlineStr">
        <is>
          <t>Liquor</t>
        </is>
      </c>
      <c r="C85" s="5" t="inlineStr">
        <is>
          <t>Tequila</t>
        </is>
      </c>
      <c r="D85" s="5" t="inlineStr">
        <is>
          <t>Herradura</t>
        </is>
      </c>
      <c r="E85" s="5" t="inlineStr">
        <is>
          <t>Herradura</t>
        </is>
      </c>
      <c r="F85" s="5" t="inlineStr">
        <is>
          <t>1L</t>
        </is>
      </c>
      <c r="G85" s="5" t="inlineStr">
        <is>
          <t>Bottle</t>
        </is>
      </c>
      <c r="H85" s="5" t="n">
        <v>5</v>
      </c>
      <c r="I85" s="5" t="n">
        <v>2</v>
      </c>
      <c r="J85" s="5">
        <f>IF(ISNUMBER(MATCH(B85,Inventory_Tracking!$B$2:$B$1000,0)),"No","Yes")
</f>
        <v/>
      </c>
      <c r="K85" s="5" t="n">
        <v>2</v>
      </c>
      <c r="M85" s="5" t="n"/>
    </row>
    <row r="86" ht="15.75" customHeight="1" s="14">
      <c r="A86" t="inlineStr">
        <is>
          <t>I-0085</t>
        </is>
      </c>
      <c r="B86" s="5" t="inlineStr">
        <is>
          <t>Liquor</t>
        </is>
      </c>
      <c r="C86" s="5" t="inlineStr">
        <is>
          <t>Tequila</t>
        </is>
      </c>
      <c r="D86" s="5" t="inlineStr">
        <is>
          <t>Lunazul</t>
        </is>
      </c>
      <c r="E86" s="5" t="inlineStr">
        <is>
          <t>Jalisco</t>
        </is>
      </c>
      <c r="F86" s="5" t="inlineStr">
        <is>
          <t>1L</t>
        </is>
      </c>
      <c r="G86" s="5" t="inlineStr">
        <is>
          <t>Bottle</t>
        </is>
      </c>
      <c r="H86" s="5" t="n">
        <v>5</v>
      </c>
      <c r="I86" s="5" t="n">
        <v>2</v>
      </c>
      <c r="J86" s="5">
        <f>IF(ISNUMBER(MATCH(B86,Inventory_Tracking!$B$2:$B$1000,0)),"No","Yes")
</f>
        <v/>
      </c>
      <c r="K86" s="5" t="n">
        <v>2</v>
      </c>
      <c r="M86" s="5" t="n"/>
    </row>
    <row r="87" ht="15.75" customHeight="1" s="14">
      <c r="A87" t="inlineStr">
        <is>
          <t>I-0086</t>
        </is>
      </c>
      <c r="B87" s="5" t="inlineStr">
        <is>
          <t>Liquor</t>
        </is>
      </c>
      <c r="C87" s="5" t="inlineStr">
        <is>
          <t>Tequila</t>
        </is>
      </c>
      <c r="D87" s="5" t="inlineStr">
        <is>
          <t>Don Julio Silver</t>
        </is>
      </c>
      <c r="E87" s="5" t="inlineStr">
        <is>
          <t>Don Julio</t>
        </is>
      </c>
      <c r="F87" s="5" t="inlineStr">
        <is>
          <t>750ml</t>
        </is>
      </c>
      <c r="G87" s="5" t="inlineStr">
        <is>
          <t>Bottle</t>
        </is>
      </c>
      <c r="H87" s="5" t="n">
        <v>5</v>
      </c>
      <c r="I87" s="5" t="n">
        <v>2</v>
      </c>
      <c r="J87" s="5">
        <f>IF(ISNUMBER(MATCH(B87,Inventory_Tracking!$B$2:$B$1000,0)),"No","Yes")
</f>
        <v/>
      </c>
      <c r="K87" s="5" t="n">
        <v>2</v>
      </c>
      <c r="M87" s="5" t="n"/>
    </row>
    <row r="88" ht="15.75" customHeight="1" s="14">
      <c r="A88" t="inlineStr">
        <is>
          <t>I-0087</t>
        </is>
      </c>
      <c r="B88" s="5" t="inlineStr">
        <is>
          <t>Liquor</t>
        </is>
      </c>
      <c r="C88" s="5" t="inlineStr">
        <is>
          <t>Tequila</t>
        </is>
      </c>
      <c r="D88" s="5" t="inlineStr">
        <is>
          <t>Don Julio Reposado</t>
        </is>
      </c>
      <c r="E88" s="5" t="inlineStr">
        <is>
          <t>Don Julio</t>
        </is>
      </c>
      <c r="F88" s="5" t="inlineStr">
        <is>
          <t>750ml</t>
        </is>
      </c>
      <c r="G88" s="5" t="inlineStr">
        <is>
          <t>Bottle</t>
        </is>
      </c>
      <c r="H88" s="5" t="n">
        <v>4</v>
      </c>
      <c r="I88" s="5" t="n">
        <v>2</v>
      </c>
      <c r="J88" s="5">
        <f>IF(ISNUMBER(MATCH(B88,Inventory_Tracking!$B$2:$B$1000,0)),"No","Yes")
</f>
        <v/>
      </c>
      <c r="K88" s="5" t="n">
        <v>2</v>
      </c>
      <c r="M88" s="5" t="n"/>
    </row>
    <row r="89" ht="15.75" customHeight="1" s="14">
      <c r="A89" t="inlineStr">
        <is>
          <t>I-0088</t>
        </is>
      </c>
      <c r="B89" s="5" t="inlineStr">
        <is>
          <t>Liquor</t>
        </is>
      </c>
      <c r="C89" s="5" t="inlineStr">
        <is>
          <t>Tequila</t>
        </is>
      </c>
      <c r="D89" s="5" t="inlineStr">
        <is>
          <t>Don Julio 70th</t>
        </is>
      </c>
      <c r="E89" s="5" t="inlineStr">
        <is>
          <t>Don Julio</t>
        </is>
      </c>
      <c r="F89" s="5" t="inlineStr">
        <is>
          <t>750ml</t>
        </is>
      </c>
      <c r="G89" s="5" t="inlineStr">
        <is>
          <t>Bottle</t>
        </is>
      </c>
      <c r="H89" s="5" t="n">
        <v>3</v>
      </c>
      <c r="I89" s="5" t="n">
        <v>1</v>
      </c>
      <c r="J89" s="5">
        <f>IF(ISNUMBER(MATCH(B89,Inventory_Tracking!$B$2:$B$1000,0)),"No","Yes")
</f>
        <v/>
      </c>
      <c r="K89" s="5" t="n">
        <v>2</v>
      </c>
      <c r="M89" s="5" t="n"/>
    </row>
    <row r="90" ht="15.75" customHeight="1" s="14">
      <c r="A90" t="inlineStr">
        <is>
          <t>I-0089</t>
        </is>
      </c>
      <c r="B90" s="5" t="inlineStr">
        <is>
          <t>Liquor</t>
        </is>
      </c>
      <c r="C90" s="5" t="inlineStr">
        <is>
          <t>Tequila</t>
        </is>
      </c>
      <c r="D90" s="5" t="inlineStr">
        <is>
          <t>Patrón Silver</t>
        </is>
      </c>
      <c r="E90" s="5" t="inlineStr">
        <is>
          <t>Patrón</t>
        </is>
      </c>
      <c r="F90" s="5" t="inlineStr">
        <is>
          <t>750ml</t>
        </is>
      </c>
      <c r="G90" s="5" t="inlineStr">
        <is>
          <t>Bottle</t>
        </is>
      </c>
      <c r="H90" s="5" t="n">
        <v>4</v>
      </c>
      <c r="I90" s="5" t="n">
        <v>2</v>
      </c>
      <c r="J90" s="5">
        <f>IF(ISNUMBER(MATCH(B90,Inventory_Tracking!$B$2:$B$1000,0)),"No","Yes")
</f>
        <v/>
      </c>
      <c r="K90" s="5" t="n">
        <v>2</v>
      </c>
      <c r="M90" s="5" t="n"/>
    </row>
    <row r="91" ht="15.75" customHeight="1" s="14">
      <c r="A91" t="inlineStr">
        <is>
          <t>I-0090</t>
        </is>
      </c>
      <c r="B91" s="5" t="inlineStr">
        <is>
          <t>Liquor</t>
        </is>
      </c>
      <c r="C91" s="5" t="inlineStr">
        <is>
          <t>Tequila</t>
        </is>
      </c>
      <c r="D91" s="5" t="inlineStr">
        <is>
          <t>Patrón Reposado</t>
        </is>
      </c>
      <c r="E91" s="5" t="inlineStr">
        <is>
          <t>Patrón</t>
        </is>
      </c>
      <c r="F91" s="5" t="inlineStr">
        <is>
          <t>750ml</t>
        </is>
      </c>
      <c r="G91" s="5" t="inlineStr">
        <is>
          <t>Bottle</t>
        </is>
      </c>
      <c r="H91" s="5" t="n">
        <v>4</v>
      </c>
      <c r="I91" s="5" t="n">
        <v>2</v>
      </c>
      <c r="J91" s="5">
        <f>IF(ISNUMBER(MATCH(B91,Inventory_Tracking!$B$2:$B$1000,0)),"No","Yes")
</f>
        <v/>
      </c>
      <c r="K91" s="5" t="n">
        <v>2</v>
      </c>
      <c r="M91" s="5" t="n"/>
    </row>
    <row r="92" ht="15.75" customHeight="1" s="14">
      <c r="A92" t="inlineStr">
        <is>
          <t>I-0091</t>
        </is>
      </c>
      <c r="B92" s="5" t="inlineStr">
        <is>
          <t>Liquor</t>
        </is>
      </c>
      <c r="C92" s="5" t="inlineStr">
        <is>
          <t>Tequila</t>
        </is>
      </c>
      <c r="D92" s="5" t="inlineStr">
        <is>
          <t>Clase Azul</t>
        </is>
      </c>
      <c r="E92" s="5" t="inlineStr">
        <is>
          <t>Clase Azul</t>
        </is>
      </c>
      <c r="F92" s="5" t="inlineStr">
        <is>
          <t>750ml</t>
        </is>
      </c>
      <c r="G92" s="5" t="inlineStr">
        <is>
          <t>Bottle</t>
        </is>
      </c>
      <c r="H92" s="5" t="n">
        <v>1</v>
      </c>
      <c r="I92" s="5" t="n">
        <v>1</v>
      </c>
      <c r="J92" s="5">
        <f>IF(ISNUMBER(MATCH(B92,Inventory_Tracking!$B$2:$B$1000,0)),"No","Yes")
</f>
        <v/>
      </c>
      <c r="K92" s="5" t="n">
        <v>2</v>
      </c>
      <c r="M92" s="5" t="n"/>
    </row>
    <row r="93" ht="15.75" customHeight="1" s="14">
      <c r="A93" t="inlineStr">
        <is>
          <t>I-0092</t>
        </is>
      </c>
      <c r="B93" s="5" t="inlineStr">
        <is>
          <t>Liquor</t>
        </is>
      </c>
      <c r="C93" s="5" t="inlineStr">
        <is>
          <t>Tequila</t>
        </is>
      </c>
      <c r="D93" s="5" t="inlineStr">
        <is>
          <t>Casa Alta Gold</t>
        </is>
      </c>
      <c r="E93" s="5" t="inlineStr">
        <is>
          <t>Casa Alta</t>
        </is>
      </c>
      <c r="F93" s="5" t="inlineStr">
        <is>
          <t>1L</t>
        </is>
      </c>
      <c r="G93" s="5" t="inlineStr">
        <is>
          <t>Bottle</t>
        </is>
      </c>
      <c r="H93" s="5" t="n">
        <v>4</v>
      </c>
      <c r="I93" s="5" t="n">
        <v>2</v>
      </c>
      <c r="J93" s="5">
        <f>IF(ISNUMBER(MATCH(B93,Inventory_Tracking!$B$2:$B$1000,0)),"No","Yes")
</f>
        <v/>
      </c>
      <c r="K93" s="5" t="n">
        <v>2</v>
      </c>
      <c r="M93" s="5" t="n"/>
    </row>
    <row r="94" ht="15.75" customHeight="1" s="14">
      <c r="A94" t="inlineStr">
        <is>
          <t>I-0093</t>
        </is>
      </c>
      <c r="B94" s="5" t="inlineStr">
        <is>
          <t>Liquor</t>
        </is>
      </c>
      <c r="C94" s="5" t="inlineStr">
        <is>
          <t>Tequila</t>
        </is>
      </c>
      <c r="D94" s="5" t="inlineStr">
        <is>
          <t>Casa Alta Silver</t>
        </is>
      </c>
      <c r="E94" s="5" t="inlineStr">
        <is>
          <t>Casa Alta</t>
        </is>
      </c>
      <c r="F94" s="5" t="inlineStr">
        <is>
          <t>1L</t>
        </is>
      </c>
      <c r="G94" s="5" t="inlineStr">
        <is>
          <t>Bottle</t>
        </is>
      </c>
      <c r="H94" s="5" t="n">
        <v>4</v>
      </c>
      <c r="I94" s="5" t="n">
        <v>2</v>
      </c>
      <c r="J94" s="5">
        <f>IF(ISNUMBER(MATCH(B94,Inventory_Tracking!$B$2:$B$1000,0)),"No","Yes")
</f>
        <v/>
      </c>
      <c r="K94" s="5" t="n">
        <v>2</v>
      </c>
      <c r="M94" s="5" t="n"/>
    </row>
    <row r="95" ht="15.75" customHeight="1" s="14">
      <c r="A95" t="inlineStr">
        <is>
          <t>I-0094</t>
        </is>
      </c>
      <c r="B95" s="5" t="inlineStr">
        <is>
          <t>Liquor</t>
        </is>
      </c>
      <c r="C95" s="5" t="inlineStr">
        <is>
          <t>Tequila</t>
        </is>
      </c>
      <c r="D95" s="5" t="inlineStr">
        <is>
          <t>Corazón Tequila Blanco</t>
        </is>
      </c>
      <c r="E95" s="5" t="inlineStr">
        <is>
          <t>Corazón</t>
        </is>
      </c>
      <c r="F95" s="5" t="inlineStr">
        <is>
          <t>750ml</t>
        </is>
      </c>
      <c r="G95" s="5" t="inlineStr">
        <is>
          <t>Bottle</t>
        </is>
      </c>
      <c r="H95" s="5" t="n">
        <v>3</v>
      </c>
      <c r="I95" s="5" t="n">
        <v>1</v>
      </c>
      <c r="J95" s="5">
        <f>IF(ISNUMBER(MATCH(B95,Inventory_Tracking!$B$2:$B$1000,0)),"No","Yes")
</f>
        <v/>
      </c>
      <c r="K95" s="5" t="n">
        <v>2</v>
      </c>
      <c r="M95" s="5" t="n"/>
    </row>
    <row r="96" ht="15.75" customHeight="1" s="14">
      <c r="A96" t="inlineStr">
        <is>
          <t>I-0095</t>
        </is>
      </c>
      <c r="B96" s="5" t="inlineStr">
        <is>
          <t>Liquor</t>
        </is>
      </c>
      <c r="C96" s="5" t="inlineStr">
        <is>
          <t>Tequila</t>
        </is>
      </c>
      <c r="D96" s="5" t="inlineStr">
        <is>
          <t>El Tequileño Blanco</t>
        </is>
      </c>
      <c r="E96" s="5" t="inlineStr">
        <is>
          <t>El Tequileño</t>
        </is>
      </c>
      <c r="F96" s="5" t="inlineStr">
        <is>
          <t>1L</t>
        </is>
      </c>
      <c r="G96" s="5" t="inlineStr">
        <is>
          <t>Bottle</t>
        </is>
      </c>
      <c r="H96" s="5" t="n">
        <v>3</v>
      </c>
      <c r="I96" s="5" t="n">
        <v>1</v>
      </c>
      <c r="J96" s="5">
        <f>IF(ISNUMBER(MATCH(B96,Inventory_Tracking!$B$2:$B$1000,0)),"No","Yes")
</f>
        <v/>
      </c>
      <c r="K96" s="5" t="n">
        <v>2</v>
      </c>
      <c r="M96" s="5" t="n"/>
    </row>
    <row r="97" ht="15.75" customHeight="1" s="14">
      <c r="A97" t="inlineStr">
        <is>
          <t>I-0096</t>
        </is>
      </c>
      <c r="B97" s="5" t="inlineStr">
        <is>
          <t>Liquor</t>
        </is>
      </c>
      <c r="C97" s="5" t="inlineStr">
        <is>
          <t>Tequila</t>
        </is>
      </c>
      <c r="D97" s="5" t="inlineStr">
        <is>
          <t>El Tequileño Reposado</t>
        </is>
      </c>
      <c r="E97" s="5" t="inlineStr">
        <is>
          <t>El Tequileño</t>
        </is>
      </c>
      <c r="F97" s="5" t="inlineStr">
        <is>
          <t>750ml</t>
        </is>
      </c>
      <c r="G97" s="5" t="inlineStr">
        <is>
          <t>Bottle</t>
        </is>
      </c>
      <c r="H97" s="5" t="n">
        <v>3</v>
      </c>
      <c r="I97" s="5" t="n">
        <v>1</v>
      </c>
      <c r="J97" s="5">
        <f>IF(ISNUMBER(MATCH(B97,Inventory_Tracking!$B$2:$B$1000,0)),"No","Yes")
</f>
        <v/>
      </c>
      <c r="K97" s="5" t="n">
        <v>2</v>
      </c>
      <c r="M97" s="5" t="n"/>
    </row>
    <row r="98" ht="15.75" customHeight="1" s="14">
      <c r="A98" t="inlineStr">
        <is>
          <t>I-0097</t>
        </is>
      </c>
      <c r="B98" s="5" t="inlineStr">
        <is>
          <t>Liquor</t>
        </is>
      </c>
      <c r="C98" s="5" t="inlineStr">
        <is>
          <t>Mezcal</t>
        </is>
      </c>
      <c r="D98" s="5" t="inlineStr">
        <is>
          <t>Dos Hombres Mezcal</t>
        </is>
      </c>
      <c r="E98" s="5" t="inlineStr">
        <is>
          <t>Dos Hombres</t>
        </is>
      </c>
      <c r="F98" s="5" t="inlineStr">
        <is>
          <t>750ml</t>
        </is>
      </c>
      <c r="G98" s="5" t="inlineStr">
        <is>
          <t>Bottle</t>
        </is>
      </c>
      <c r="H98" s="5" t="n">
        <v>2</v>
      </c>
      <c r="I98" s="5" t="n">
        <v>1</v>
      </c>
      <c r="J98" s="5">
        <f>IF(ISNUMBER(MATCH(B98,Inventory_Tracking!$B$2:$B$1000,0)),"No","Yes")
</f>
        <v/>
      </c>
      <c r="K98" s="5" t="n">
        <v>2</v>
      </c>
      <c r="M98" s="5" t="n"/>
    </row>
    <row r="99" ht="15.75" customHeight="1" s="14">
      <c r="A99" t="inlineStr">
        <is>
          <t>I-0098</t>
        </is>
      </c>
      <c r="B99" s="5" t="inlineStr">
        <is>
          <t>Liquor</t>
        </is>
      </c>
      <c r="C99" s="5" t="inlineStr">
        <is>
          <t>Tequila</t>
        </is>
      </c>
      <c r="D99" s="5" t="inlineStr">
        <is>
          <t>Jose Cuervo Traditional Blanco</t>
        </is>
      </c>
      <c r="E99" s="5" t="inlineStr">
        <is>
          <t>Jose Cuervo</t>
        </is>
      </c>
      <c r="F99" s="5" t="inlineStr">
        <is>
          <t>750ml</t>
        </is>
      </c>
      <c r="G99" s="5" t="inlineStr">
        <is>
          <t>Bottle</t>
        </is>
      </c>
      <c r="H99" s="5" t="n">
        <v>4</v>
      </c>
      <c r="I99" s="5" t="n">
        <v>2</v>
      </c>
      <c r="J99" s="5">
        <f>IF(ISNUMBER(MATCH(B99,Inventory_Tracking!$B$2:$B$1000,0)),"No","Yes")
</f>
        <v/>
      </c>
      <c r="K99" s="5" t="n">
        <v>2</v>
      </c>
      <c r="M99" s="5" t="n"/>
    </row>
    <row r="100" ht="15.75" customHeight="1" s="14">
      <c r="A100" t="inlineStr">
        <is>
          <t>I-0099</t>
        </is>
      </c>
      <c r="B100" s="5" t="inlineStr">
        <is>
          <t>Liquor</t>
        </is>
      </c>
      <c r="C100" s="5" t="inlineStr">
        <is>
          <t>Tequila</t>
        </is>
      </c>
      <c r="D100" s="5" t="inlineStr">
        <is>
          <t>Jose Cuervo Devil’s Reserve</t>
        </is>
      </c>
      <c r="E100" s="5" t="inlineStr">
        <is>
          <t>Jose Cuervo</t>
        </is>
      </c>
      <c r="F100" s="5" t="inlineStr">
        <is>
          <t>750ml</t>
        </is>
      </c>
      <c r="G100" s="5" t="inlineStr">
        <is>
          <t>Bottle</t>
        </is>
      </c>
      <c r="H100" s="5" t="n">
        <v>3</v>
      </c>
      <c r="I100" s="5" t="n">
        <v>1</v>
      </c>
      <c r="J100" s="5">
        <f>IF(ISNUMBER(MATCH(B100,Inventory_Tracking!$B$2:$B$1000,0)),"No","Yes")
</f>
        <v/>
      </c>
      <c r="K100" s="5" t="n">
        <v>2</v>
      </c>
      <c r="M100" s="5" t="n"/>
    </row>
    <row r="101" ht="15.75" customHeight="1" s="14">
      <c r="A101" t="inlineStr">
        <is>
          <t>I-0100</t>
        </is>
      </c>
      <c r="B101" s="5" t="inlineStr">
        <is>
          <t>Beer</t>
        </is>
      </c>
      <c r="C101" s="5" t="inlineStr">
        <is>
          <t>Draft Beer</t>
        </is>
      </c>
      <c r="D101" s="5" t="inlineStr">
        <is>
          <t>Bud Light</t>
        </is>
      </c>
      <c r="E101" s="5" t="inlineStr">
        <is>
          <t>Bud Light</t>
        </is>
      </c>
      <c r="F101" s="5" t="inlineStr">
        <is>
          <t>Keg</t>
        </is>
      </c>
      <c r="G101" s="5" t="inlineStr">
        <is>
          <t>Keg</t>
        </is>
      </c>
      <c r="H101" s="5" t="n">
        <v>2</v>
      </c>
      <c r="I101" s="5" t="n">
        <v>1</v>
      </c>
      <c r="J101" s="5">
        <f>IF(ISNUMBER(MATCH(B101,Inventory_Tracking!$B$2:$B$1000,0)),"No","Yes")
</f>
        <v/>
      </c>
      <c r="M101" s="5" t="n"/>
    </row>
    <row r="102" ht="15.75" customHeight="1" s="14">
      <c r="A102" t="inlineStr">
        <is>
          <t>I-0101</t>
        </is>
      </c>
      <c r="B102" s="5" t="inlineStr">
        <is>
          <t>Beer</t>
        </is>
      </c>
      <c r="C102" s="5" t="inlineStr">
        <is>
          <t>Draft Beer</t>
        </is>
      </c>
      <c r="D102" s="5" t="inlineStr">
        <is>
          <t>Michelob Ultra</t>
        </is>
      </c>
      <c r="E102" s="5" t="inlineStr">
        <is>
          <t>Michelob Ultra</t>
        </is>
      </c>
      <c r="F102" s="5" t="inlineStr">
        <is>
          <t>Keg</t>
        </is>
      </c>
      <c r="G102" s="5" t="inlineStr">
        <is>
          <t>Keg</t>
        </is>
      </c>
      <c r="H102" s="5" t="n">
        <v>2</v>
      </c>
      <c r="I102" s="5" t="n">
        <v>1</v>
      </c>
      <c r="J102" s="5">
        <f>IF(ISNUMBER(MATCH(B102,Inventory_Tracking!$B$2:$B$1000,0)),"No","Yes")
</f>
        <v/>
      </c>
      <c r="M102" s="5" t="n"/>
    </row>
    <row r="103" ht="15.75" customHeight="1" s="14">
      <c r="A103" t="inlineStr">
        <is>
          <t>I-0102</t>
        </is>
      </c>
      <c r="B103" s="5" t="inlineStr">
        <is>
          <t>Beer</t>
        </is>
      </c>
      <c r="C103" s="5" t="inlineStr">
        <is>
          <t>Draft Beer</t>
        </is>
      </c>
      <c r="D103" s="5" t="inlineStr">
        <is>
          <t>ZiegenBock</t>
        </is>
      </c>
      <c r="E103" s="5" t="inlineStr">
        <is>
          <t>ZiegenBock</t>
        </is>
      </c>
      <c r="F103" s="5" t="inlineStr">
        <is>
          <t>Keg</t>
        </is>
      </c>
      <c r="G103" s="5" t="inlineStr">
        <is>
          <t>Keg</t>
        </is>
      </c>
      <c r="H103" s="5" t="n">
        <v>2</v>
      </c>
      <c r="I103" s="5" t="n">
        <v>1</v>
      </c>
      <c r="J103" s="5">
        <f>IF(ISNUMBER(MATCH(B103,Inventory_Tracking!$B$2:$B$1000,0)),"No","Yes")
</f>
        <v/>
      </c>
      <c r="M103" s="5" t="n"/>
    </row>
    <row r="104" ht="15.75" customHeight="1" s="14">
      <c r="A104" t="inlineStr">
        <is>
          <t>I-0103</t>
        </is>
      </c>
      <c r="B104" s="5" t="inlineStr">
        <is>
          <t>Beer</t>
        </is>
      </c>
      <c r="C104" s="5" t="inlineStr">
        <is>
          <t>Draft Beer</t>
        </is>
      </c>
      <c r="D104" s="5" t="inlineStr">
        <is>
          <t>Corona Premier</t>
        </is>
      </c>
      <c r="E104" s="5" t="inlineStr">
        <is>
          <t>Corona</t>
        </is>
      </c>
      <c r="F104" s="5" t="inlineStr">
        <is>
          <t>Keg</t>
        </is>
      </c>
      <c r="G104" s="5" t="inlineStr">
        <is>
          <t>Keg</t>
        </is>
      </c>
      <c r="H104" s="5" t="n">
        <v>2</v>
      </c>
      <c r="I104" s="5" t="n">
        <v>1</v>
      </c>
      <c r="J104" s="5">
        <f>IF(ISNUMBER(MATCH(B104,Inventory_Tracking!$B$2:$B$1000,0)),"No","Yes")
</f>
        <v/>
      </c>
      <c r="M104" s="5" t="n"/>
    </row>
    <row r="105" ht="15.75" customHeight="1" s="14">
      <c r="A105" t="inlineStr">
        <is>
          <t>I-0104</t>
        </is>
      </c>
      <c r="B105" s="5" t="inlineStr">
        <is>
          <t>Beer</t>
        </is>
      </c>
      <c r="C105" s="5" t="inlineStr">
        <is>
          <t>Draft Beer</t>
        </is>
      </c>
      <c r="D105" s="5" t="inlineStr">
        <is>
          <t>Modelo</t>
        </is>
      </c>
      <c r="E105" s="5" t="inlineStr">
        <is>
          <t>Modelo</t>
        </is>
      </c>
      <c r="F105" s="5" t="inlineStr">
        <is>
          <t>Keg</t>
        </is>
      </c>
      <c r="G105" s="5" t="inlineStr">
        <is>
          <t>Keg</t>
        </is>
      </c>
      <c r="H105" s="5" t="n">
        <v>2</v>
      </c>
      <c r="I105" s="5" t="n">
        <v>1</v>
      </c>
      <c r="J105" s="5">
        <f>IF(ISNUMBER(MATCH(B105,Inventory_Tracking!$B$2:$B$1000,0)),"No","Yes")
</f>
        <v/>
      </c>
      <c r="M105" s="5" t="n"/>
    </row>
    <row r="106" ht="15.75" customHeight="1" s="14">
      <c r="A106" t="inlineStr">
        <is>
          <t>I-0105</t>
        </is>
      </c>
      <c r="B106" s="5" t="inlineStr">
        <is>
          <t>Beer</t>
        </is>
      </c>
      <c r="C106" s="5" t="inlineStr">
        <is>
          <t>Draft Beer</t>
        </is>
      </c>
      <c r="D106" s="5" t="inlineStr">
        <is>
          <t>Karbach Hopadillo IPA</t>
        </is>
      </c>
      <c r="E106" s="5" t="inlineStr">
        <is>
          <t>Karbach</t>
        </is>
      </c>
      <c r="F106" s="5" t="inlineStr">
        <is>
          <t>Keg</t>
        </is>
      </c>
      <c r="G106" s="5" t="inlineStr">
        <is>
          <t>Keg</t>
        </is>
      </c>
      <c r="H106" s="5" t="n">
        <v>1</v>
      </c>
      <c r="I106" s="5" t="n">
        <v>1</v>
      </c>
      <c r="J106" s="5">
        <f>IF(ISNUMBER(MATCH(B106,Inventory_Tracking!$B$2:$B$1000,0)),"No","Yes")
</f>
        <v/>
      </c>
      <c r="M106" s="5" t="n"/>
    </row>
    <row r="107" ht="15.75" customHeight="1" s="14">
      <c r="A107" t="inlineStr">
        <is>
          <t>I-0106</t>
        </is>
      </c>
      <c r="B107" s="5" t="inlineStr">
        <is>
          <t>Beer</t>
        </is>
      </c>
      <c r="C107" s="5" t="inlineStr">
        <is>
          <t>Draft Beer</t>
        </is>
      </c>
      <c r="D107" s="5" t="inlineStr">
        <is>
          <t>Karbach Love Street</t>
        </is>
      </c>
      <c r="E107" s="5" t="inlineStr">
        <is>
          <t>Karbach</t>
        </is>
      </c>
      <c r="F107" s="5" t="inlineStr">
        <is>
          <t>Keg</t>
        </is>
      </c>
      <c r="G107" s="5" t="inlineStr">
        <is>
          <t>Keg</t>
        </is>
      </c>
      <c r="H107" s="5" t="n">
        <v>1</v>
      </c>
      <c r="I107" s="5" t="n">
        <v>1</v>
      </c>
      <c r="J107" s="5">
        <f>IF(ISNUMBER(MATCH(B107,Inventory_Tracking!$B$2:$B$1000,0)),"No","Yes")
</f>
        <v/>
      </c>
      <c r="M107" s="5" t="n"/>
    </row>
    <row r="108" ht="15.75" customHeight="1" s="14">
      <c r="A108" t="inlineStr">
        <is>
          <t>I-0107</t>
        </is>
      </c>
      <c r="B108" s="5" t="inlineStr">
        <is>
          <t>Beer</t>
        </is>
      </c>
      <c r="C108" s="5" t="inlineStr">
        <is>
          <t>Draft Beer</t>
        </is>
      </c>
      <c r="D108" s="5" t="inlineStr">
        <is>
          <t>Stella Artois</t>
        </is>
      </c>
      <c r="E108" s="5" t="inlineStr">
        <is>
          <t>Stella Artois</t>
        </is>
      </c>
      <c r="F108" s="5" t="inlineStr">
        <is>
          <t>Keg</t>
        </is>
      </c>
      <c r="G108" s="5" t="inlineStr">
        <is>
          <t>Keg</t>
        </is>
      </c>
      <c r="H108" s="5" t="n">
        <v>1</v>
      </c>
      <c r="I108" s="5" t="n">
        <v>1</v>
      </c>
      <c r="J108" s="5">
        <f>IF(ISNUMBER(MATCH(B108,Inventory_Tracking!$B$2:$B$1000,0)),"No","Yes")
</f>
        <v/>
      </c>
      <c r="M108" s="5" t="n"/>
    </row>
    <row r="109" ht="15.75" customHeight="1" s="14">
      <c r="A109" t="inlineStr">
        <is>
          <t>I-0108</t>
        </is>
      </c>
      <c r="B109" s="5" t="inlineStr">
        <is>
          <t>Beer</t>
        </is>
      </c>
      <c r="C109" s="5" t="inlineStr">
        <is>
          <t>Can Beer</t>
        </is>
      </c>
      <c r="D109" s="5" t="inlineStr">
        <is>
          <t>White Claw Mango</t>
        </is>
      </c>
      <c r="E109" s="5" t="inlineStr">
        <is>
          <t>White Claw</t>
        </is>
      </c>
      <c r="F109" s="5" t="inlineStr">
        <is>
          <t>Can</t>
        </is>
      </c>
      <c r="G109" s="5" t="inlineStr">
        <is>
          <t>Each</t>
        </is>
      </c>
      <c r="H109" s="5" t="n">
        <v>24</v>
      </c>
      <c r="I109" s="5" t="n">
        <v>12</v>
      </c>
      <c r="J109" s="5">
        <f>IF(ISNUMBER(MATCH(B109,Inventory_Tracking!$B$2:$B$1000,0)),"No","Yes")
</f>
        <v/>
      </c>
      <c r="M109" s="5" t="n"/>
    </row>
    <row r="110" ht="15.75" customHeight="1" s="14">
      <c r="A110" t="inlineStr">
        <is>
          <t>I-0109</t>
        </is>
      </c>
      <c r="B110" s="5" t="inlineStr">
        <is>
          <t>Beer</t>
        </is>
      </c>
      <c r="C110" s="5" t="inlineStr">
        <is>
          <t>Can Beer</t>
        </is>
      </c>
      <c r="D110" s="5" t="inlineStr">
        <is>
          <t>White Claw Blackberry</t>
        </is>
      </c>
      <c r="E110" s="5" t="inlineStr">
        <is>
          <t>White Claw</t>
        </is>
      </c>
      <c r="F110" s="5" t="inlineStr">
        <is>
          <t>Can</t>
        </is>
      </c>
      <c r="G110" s="5" t="inlineStr">
        <is>
          <t>Each</t>
        </is>
      </c>
      <c r="H110" s="5" t="n">
        <v>24</v>
      </c>
      <c r="I110" s="5" t="n">
        <v>12</v>
      </c>
      <c r="J110" s="5">
        <f>IF(ISNUMBER(MATCH(B110,Inventory_Tracking!$B$2:$B$1000,0)),"No","Yes")
</f>
        <v/>
      </c>
      <c r="M110" s="5" t="n"/>
    </row>
    <row r="111" ht="15.75" customHeight="1" s="14">
      <c r="A111" t="inlineStr">
        <is>
          <t>I-0110</t>
        </is>
      </c>
      <c r="B111" s="5" t="inlineStr">
        <is>
          <t>Beer</t>
        </is>
      </c>
      <c r="C111" s="5" t="inlineStr">
        <is>
          <t>Can Beer</t>
        </is>
      </c>
      <c r="D111" s="5" t="inlineStr">
        <is>
          <t>White Claw Lime</t>
        </is>
      </c>
      <c r="E111" s="5" t="inlineStr">
        <is>
          <t>White Claw</t>
        </is>
      </c>
      <c r="F111" s="5" t="inlineStr">
        <is>
          <t>Can</t>
        </is>
      </c>
      <c r="G111" s="5" t="inlineStr">
        <is>
          <t>Each</t>
        </is>
      </c>
      <c r="H111" s="5" t="n">
        <v>24</v>
      </c>
      <c r="I111" s="5" t="n">
        <v>12</v>
      </c>
      <c r="J111" s="5">
        <f>IF(ISNUMBER(MATCH(B111,Inventory_Tracking!$B$2:$B$1000,0)),"No","Yes")
</f>
        <v/>
      </c>
      <c r="M111" s="5" t="n"/>
    </row>
    <row r="112" ht="15.75" customHeight="1" s="14">
      <c r="A112" t="inlineStr">
        <is>
          <t>I-0111</t>
        </is>
      </c>
      <c r="B112" s="5" t="inlineStr">
        <is>
          <t>Beer</t>
        </is>
      </c>
      <c r="C112" s="5" t="inlineStr">
        <is>
          <t>Can Beer</t>
        </is>
      </c>
      <c r="D112" s="5" t="inlineStr">
        <is>
          <t>White Claw Green Apple</t>
        </is>
      </c>
      <c r="E112" s="5" t="inlineStr">
        <is>
          <t>White Claw</t>
        </is>
      </c>
      <c r="F112" s="5" t="inlineStr">
        <is>
          <t>Can</t>
        </is>
      </c>
      <c r="G112" s="5" t="inlineStr">
        <is>
          <t>Each</t>
        </is>
      </c>
      <c r="H112" s="5" t="n">
        <v>24</v>
      </c>
      <c r="I112" s="5" t="n">
        <v>12</v>
      </c>
      <c r="J112" s="5">
        <f>IF(ISNUMBER(MATCH(B112,Inventory_Tracking!$B$2:$B$1000,0)),"No","Yes")
</f>
        <v/>
      </c>
      <c r="M112" s="5" t="n"/>
    </row>
    <row r="113" ht="15.75" customHeight="1" s="14">
      <c r="A113" t="inlineStr">
        <is>
          <t>I-0112</t>
        </is>
      </c>
      <c r="B113" s="5" t="inlineStr">
        <is>
          <t>Beer</t>
        </is>
      </c>
      <c r="C113" s="5" t="inlineStr">
        <is>
          <t>Can Beer</t>
        </is>
      </c>
      <c r="D113" s="5" t="inlineStr">
        <is>
          <t>White Claw Strawberry</t>
        </is>
      </c>
      <c r="E113" s="5" t="inlineStr">
        <is>
          <t>White Claw</t>
        </is>
      </c>
      <c r="F113" s="5" t="inlineStr">
        <is>
          <t>Can</t>
        </is>
      </c>
      <c r="G113" s="5" t="inlineStr">
        <is>
          <t>Each</t>
        </is>
      </c>
      <c r="H113" s="5" t="n">
        <v>24</v>
      </c>
      <c r="I113" s="5" t="n">
        <v>12</v>
      </c>
      <c r="J113" s="5">
        <f>IF(ISNUMBER(MATCH(B113,Inventory_Tracking!$B$2:$B$1000,0)),"No","Yes")
</f>
        <v/>
      </c>
      <c r="M113" s="5" t="n"/>
    </row>
    <row r="114" ht="15.75" customHeight="1" s="14">
      <c r="A114" t="inlineStr">
        <is>
          <t>I-0113</t>
        </is>
      </c>
      <c r="B114" s="5" t="inlineStr">
        <is>
          <t>Beer</t>
        </is>
      </c>
      <c r="C114" s="5" t="inlineStr">
        <is>
          <t>Can Beer</t>
        </is>
      </c>
      <c r="D114" s="5" t="inlineStr">
        <is>
          <t>2 Hoots Hard Iced Tea</t>
        </is>
      </c>
      <c r="E114" s="5" t="inlineStr">
        <is>
          <t>2 Hoots</t>
        </is>
      </c>
      <c r="F114" s="5" t="inlineStr">
        <is>
          <t>Can</t>
        </is>
      </c>
      <c r="G114" s="5" t="inlineStr">
        <is>
          <t>Each</t>
        </is>
      </c>
      <c r="H114" s="5" t="n">
        <v>24</v>
      </c>
      <c r="I114" s="5" t="n">
        <v>12</v>
      </c>
      <c r="J114" s="5">
        <f>IF(ISNUMBER(MATCH(B114,Inventory_Tracking!$B$2:$B$1000,0)),"No","Yes")
</f>
        <v/>
      </c>
      <c r="M114" s="5" t="n"/>
    </row>
    <row r="115" ht="15.75" customHeight="1" s="14">
      <c r="A115" t="inlineStr">
        <is>
          <t>I-0114</t>
        </is>
      </c>
      <c r="B115" s="5" t="inlineStr">
        <is>
          <t>Beer</t>
        </is>
      </c>
      <c r="C115" s="5" t="inlineStr">
        <is>
          <t>Can Beer</t>
        </is>
      </c>
      <c r="D115" s="5" t="inlineStr">
        <is>
          <t>Budweiser</t>
        </is>
      </c>
      <c r="E115" s="5" t="inlineStr">
        <is>
          <t>Budweiser</t>
        </is>
      </c>
      <c r="F115" s="5" t="inlineStr">
        <is>
          <t>Can</t>
        </is>
      </c>
      <c r="G115" s="5" t="inlineStr">
        <is>
          <t>Each</t>
        </is>
      </c>
      <c r="H115" s="5" t="n">
        <v>24</v>
      </c>
      <c r="I115" s="5" t="n">
        <v>12</v>
      </c>
      <c r="J115" s="5">
        <f>IF(ISNUMBER(MATCH(B115,Inventory_Tracking!$B$2:$B$1000,0)),"No","Yes")
</f>
        <v/>
      </c>
      <c r="M115" s="5" t="n"/>
    </row>
    <row r="116" ht="15.75" customHeight="1" s="14">
      <c r="A116" t="inlineStr">
        <is>
          <t>I-0115</t>
        </is>
      </c>
      <c r="B116" s="5" t="inlineStr">
        <is>
          <t>Beer</t>
        </is>
      </c>
      <c r="C116" s="5" t="inlineStr">
        <is>
          <t>Can Beer</t>
        </is>
      </c>
      <c r="D116" s="5" t="inlineStr">
        <is>
          <t>Pinhouse Electric Jellyfish IPA</t>
        </is>
      </c>
      <c r="E116" s="5" t="inlineStr">
        <is>
          <t>Pinhouse</t>
        </is>
      </c>
      <c r="F116" s="5" t="inlineStr">
        <is>
          <t>Can</t>
        </is>
      </c>
      <c r="G116" s="5" t="inlineStr">
        <is>
          <t>Each</t>
        </is>
      </c>
      <c r="H116" s="5" t="n">
        <v>24</v>
      </c>
      <c r="I116" s="5" t="n">
        <v>12</v>
      </c>
      <c r="J116" s="5">
        <f>IF(ISNUMBER(MATCH(B116,Inventory_Tracking!$B$2:$B$1000,0)),"No","Yes")
</f>
        <v/>
      </c>
      <c r="M116" s="5" t="n"/>
    </row>
    <row r="117" ht="15.75" customHeight="1" s="14">
      <c r="A117" t="inlineStr">
        <is>
          <t>I-0116</t>
        </is>
      </c>
      <c r="B117" s="5" t="inlineStr">
        <is>
          <t>Beer</t>
        </is>
      </c>
      <c r="C117" s="5" t="inlineStr">
        <is>
          <t>Can Beer</t>
        </is>
      </c>
      <c r="D117" s="5" t="inlineStr">
        <is>
          <t>Sierra Nevada Big Little Thing</t>
        </is>
      </c>
      <c r="E117" s="5" t="inlineStr">
        <is>
          <t>Sierra Nevada</t>
        </is>
      </c>
      <c r="F117" s="5" t="inlineStr">
        <is>
          <t>Can</t>
        </is>
      </c>
      <c r="G117" s="5" t="inlineStr">
        <is>
          <t>Each</t>
        </is>
      </c>
      <c r="H117" s="5" t="n">
        <v>24</v>
      </c>
      <c r="I117" s="5" t="n">
        <v>12</v>
      </c>
      <c r="J117" s="5">
        <f>IF(ISNUMBER(MATCH(B117,Inventory_Tracking!$B$2:$B$1000,0)),"No","Yes")
</f>
        <v/>
      </c>
      <c r="M117" s="5" t="n"/>
    </row>
    <row r="118" ht="15.75" customHeight="1" s="14">
      <c r="A118" t="inlineStr">
        <is>
          <t>I-0117</t>
        </is>
      </c>
      <c r="B118" s="5" t="inlineStr">
        <is>
          <t>Beer</t>
        </is>
      </c>
      <c r="C118" s="5" t="inlineStr">
        <is>
          <t>Can Beer</t>
        </is>
      </c>
      <c r="D118" s="5" t="inlineStr">
        <is>
          <t>Voodoo Ranger IPA</t>
        </is>
      </c>
      <c r="E118" s="5" t="inlineStr">
        <is>
          <t>Voodoo Ranger</t>
        </is>
      </c>
      <c r="F118" s="5" t="inlineStr">
        <is>
          <t>Can</t>
        </is>
      </c>
      <c r="G118" s="5" t="inlineStr">
        <is>
          <t>Each</t>
        </is>
      </c>
      <c r="H118" s="5" t="n">
        <v>24</v>
      </c>
      <c r="I118" s="5" t="n">
        <v>12</v>
      </c>
      <c r="J118" s="5">
        <f>IF(ISNUMBER(MATCH(B118,Inventory_Tracking!$B$2:$B$1000,0)),"No","Yes")
</f>
        <v/>
      </c>
      <c r="M118" s="5" t="n"/>
    </row>
    <row r="119" ht="15.75" customHeight="1" s="14">
      <c r="A119" t="inlineStr">
        <is>
          <t>I-0118</t>
        </is>
      </c>
      <c r="B119" s="5" t="inlineStr">
        <is>
          <t>Beer</t>
        </is>
      </c>
      <c r="C119" s="5" t="inlineStr">
        <is>
          <t>Can Beer</t>
        </is>
      </c>
      <c r="D119" s="5" t="inlineStr">
        <is>
          <t>Voodoo Ranger Juicy Haze</t>
        </is>
      </c>
      <c r="E119" s="5" t="inlineStr">
        <is>
          <t>Voodoo Ranger</t>
        </is>
      </c>
      <c r="F119" s="5" t="inlineStr">
        <is>
          <t>Can</t>
        </is>
      </c>
      <c r="G119" s="5" t="inlineStr">
        <is>
          <t>Each</t>
        </is>
      </c>
      <c r="H119" s="5" t="n">
        <v>24</v>
      </c>
      <c r="I119" s="5" t="n">
        <v>12</v>
      </c>
      <c r="J119" s="5">
        <f>IF(ISNUMBER(MATCH(B119,Inventory_Tracking!$B$2:$B$1000,0)),"No","Yes")
</f>
        <v/>
      </c>
      <c r="M119" s="5" t="n"/>
    </row>
    <row r="120" ht="15.75" customHeight="1" s="14">
      <c r="A120" t="inlineStr">
        <is>
          <t>I-0119</t>
        </is>
      </c>
      <c r="B120" s="5" t="inlineStr">
        <is>
          <t>Beer</t>
        </is>
      </c>
      <c r="C120" s="5" t="inlineStr">
        <is>
          <t>Can Beer</t>
        </is>
      </c>
      <c r="D120" s="5" t="inlineStr">
        <is>
          <t>Kona Big Wave Golden Ale</t>
        </is>
      </c>
      <c r="E120" s="5" t="inlineStr">
        <is>
          <t>Kona</t>
        </is>
      </c>
      <c r="F120" s="5" t="inlineStr">
        <is>
          <t>Can</t>
        </is>
      </c>
      <c r="G120" s="5" t="inlineStr">
        <is>
          <t>Each</t>
        </is>
      </c>
      <c r="H120" s="5" t="n">
        <v>24</v>
      </c>
      <c r="I120" s="5" t="n">
        <v>12</v>
      </c>
      <c r="J120" s="5">
        <f>IF(ISNUMBER(MATCH(B120,Inventory_Tracking!$B$2:$B$1000,0)),"No","Yes")
</f>
        <v/>
      </c>
      <c r="M120" s="5" t="n"/>
    </row>
    <row r="121" ht="15.75" customHeight="1" s="14">
      <c r="A121" t="inlineStr">
        <is>
          <t>I-0120</t>
        </is>
      </c>
      <c r="B121" s="5" t="inlineStr">
        <is>
          <t>Beer</t>
        </is>
      </c>
      <c r="C121" s="5" t="inlineStr">
        <is>
          <t>Can Beer</t>
        </is>
      </c>
      <c r="D121" s="5" t="inlineStr">
        <is>
          <t>Cayman Jack Margarita</t>
        </is>
      </c>
      <c r="E121" s="5" t="inlineStr">
        <is>
          <t>Cayman Jack</t>
        </is>
      </c>
      <c r="F121" s="5" t="inlineStr">
        <is>
          <t>Can</t>
        </is>
      </c>
      <c r="G121" s="5" t="inlineStr">
        <is>
          <t>Each</t>
        </is>
      </c>
      <c r="H121" s="5" t="n">
        <v>24</v>
      </c>
      <c r="I121" s="5" t="n">
        <v>12</v>
      </c>
      <c r="J121" s="5">
        <f>IF(ISNUMBER(MATCH(B121,Inventory_Tracking!$B$2:$B$1000,0)),"No","Yes")
</f>
        <v/>
      </c>
      <c r="M121" s="5" t="n"/>
    </row>
    <row r="122" ht="15.75" customHeight="1" s="14">
      <c r="A122" t="inlineStr">
        <is>
          <t>I-0121</t>
        </is>
      </c>
      <c r="B122" s="5" t="inlineStr">
        <is>
          <t>Beer</t>
        </is>
      </c>
      <c r="C122" s="5" t="inlineStr">
        <is>
          <t>Can Beer</t>
        </is>
      </c>
      <c r="D122" s="5" t="inlineStr">
        <is>
          <t>Firestone Walker 805</t>
        </is>
      </c>
      <c r="E122" s="5" t="inlineStr">
        <is>
          <t>Firestone</t>
        </is>
      </c>
      <c r="F122" s="5" t="inlineStr">
        <is>
          <t>Can</t>
        </is>
      </c>
      <c r="G122" s="5" t="inlineStr">
        <is>
          <t>Each</t>
        </is>
      </c>
      <c r="H122" s="5" t="n">
        <v>24</v>
      </c>
      <c r="I122" s="5" t="n">
        <v>12</v>
      </c>
      <c r="J122" s="5">
        <f>IF(ISNUMBER(MATCH(B122,Inventory_Tracking!$B$2:$B$1000,0)),"No","Yes")
</f>
        <v/>
      </c>
      <c r="M122" s="5" t="n"/>
    </row>
    <row r="123" ht="15.75" customHeight="1" s="14">
      <c r="A123" t="inlineStr">
        <is>
          <t>I-0122</t>
        </is>
      </c>
      <c r="B123" s="5" t="inlineStr">
        <is>
          <t>Beer</t>
        </is>
      </c>
      <c r="C123" s="5" t="inlineStr">
        <is>
          <t>Can Beer</t>
        </is>
      </c>
      <c r="D123" s="5" t="inlineStr">
        <is>
          <t>High Brew Double Espresso</t>
        </is>
      </c>
      <c r="E123" s="5" t="inlineStr">
        <is>
          <t>High Brew</t>
        </is>
      </c>
      <c r="F123" s="5" t="inlineStr">
        <is>
          <t>Can</t>
        </is>
      </c>
      <c r="G123" s="5" t="inlineStr">
        <is>
          <t>Each</t>
        </is>
      </c>
      <c r="H123" s="5" t="n">
        <v>24</v>
      </c>
      <c r="I123" s="5" t="n">
        <v>12</v>
      </c>
      <c r="J123" s="5">
        <f>IF(ISNUMBER(MATCH(B123,Inventory_Tracking!$B$2:$B$1000,0)),"No","Yes")
</f>
        <v/>
      </c>
      <c r="M123" s="5" t="n"/>
    </row>
    <row r="124" ht="15.75" customHeight="1" s="14">
      <c r="A124" t="inlineStr">
        <is>
          <t>I-0123</t>
        </is>
      </c>
      <c r="B124" s="5" t="inlineStr">
        <is>
          <t>Beer</t>
        </is>
      </c>
      <c r="C124" s="5" t="inlineStr">
        <is>
          <t>Can Beer</t>
        </is>
      </c>
      <c r="D124" s="5" t="inlineStr">
        <is>
          <t>High Brew Mexican Vanilla</t>
        </is>
      </c>
      <c r="E124" s="5" t="inlineStr">
        <is>
          <t>High Brew</t>
        </is>
      </c>
      <c r="F124" s="5" t="inlineStr">
        <is>
          <t>Can</t>
        </is>
      </c>
      <c r="G124" s="5" t="inlineStr">
        <is>
          <t>Each</t>
        </is>
      </c>
      <c r="H124" s="5" t="n">
        <v>24</v>
      </c>
      <c r="I124" s="5" t="n">
        <v>12</v>
      </c>
      <c r="J124" s="5">
        <f>IF(ISNUMBER(MATCH(B124,Inventory_Tracking!$B$2:$B$1000,0)),"No","Yes")
</f>
        <v/>
      </c>
      <c r="M124" s="5" t="n"/>
    </row>
    <row r="125" ht="15.75" customHeight="1" s="14">
      <c r="A125" t="inlineStr">
        <is>
          <t>I-0124</t>
        </is>
      </c>
      <c r="B125" s="5" t="inlineStr">
        <is>
          <t>Beer</t>
        </is>
      </c>
      <c r="C125" s="5" t="inlineStr">
        <is>
          <t>Can Beer</t>
        </is>
      </c>
      <c r="D125" s="5" t="inlineStr">
        <is>
          <t>Topo Chico Hard Seltzer</t>
        </is>
      </c>
      <c r="E125" s="5" t="inlineStr">
        <is>
          <t>Topo Chico</t>
        </is>
      </c>
      <c r="F125" s="5" t="inlineStr">
        <is>
          <t>Can</t>
        </is>
      </c>
      <c r="G125" s="5" t="inlineStr">
        <is>
          <t>Each</t>
        </is>
      </c>
      <c r="H125" s="5" t="n">
        <v>24</v>
      </c>
      <c r="I125" s="5" t="n">
        <v>12</v>
      </c>
      <c r="J125" s="5">
        <f>IF(ISNUMBER(MATCH(B125,Inventory_Tracking!$B$2:$B$1000,0)),"No","Yes")
</f>
        <v/>
      </c>
      <c r="M125" s="5" t="n"/>
    </row>
    <row r="126" ht="15.75" customHeight="1" s="14">
      <c r="A126" t="inlineStr">
        <is>
          <t>I-0125</t>
        </is>
      </c>
      <c r="B126" s="5" t="inlineStr">
        <is>
          <t>Beer</t>
        </is>
      </c>
      <c r="C126" s="5" t="inlineStr">
        <is>
          <t>Can Beer</t>
        </is>
      </c>
      <c r="D126" s="5" t="inlineStr">
        <is>
          <t>Austin Eastciders Pineapple</t>
        </is>
      </c>
      <c r="E126" s="5" t="inlineStr">
        <is>
          <t>Austin Eastciders</t>
        </is>
      </c>
      <c r="F126" s="5" t="inlineStr">
        <is>
          <t>Can</t>
        </is>
      </c>
      <c r="G126" s="5" t="inlineStr">
        <is>
          <t>Each</t>
        </is>
      </c>
      <c r="H126" s="5" t="n">
        <v>24</v>
      </c>
      <c r="I126" s="5" t="n">
        <v>12</v>
      </c>
      <c r="J126" s="5">
        <f>IF(ISNUMBER(MATCH(B126,Inventory_Tracking!$B$2:$B$1000,0)),"No","Yes")
</f>
        <v/>
      </c>
      <c r="M126" s="5" t="n"/>
    </row>
    <row r="127" ht="15.75" customHeight="1" s="14">
      <c r="A127" t="inlineStr">
        <is>
          <t>I-0126</t>
        </is>
      </c>
      <c r="B127" s="5" t="inlineStr">
        <is>
          <t>Beer</t>
        </is>
      </c>
      <c r="C127" s="5" t="inlineStr">
        <is>
          <t>Can Beer</t>
        </is>
      </c>
      <c r="D127" s="5" t="inlineStr">
        <is>
          <t>Nutrl</t>
        </is>
      </c>
      <c r="E127" s="5" t="inlineStr">
        <is>
          <t>Nutrl</t>
        </is>
      </c>
      <c r="F127" s="5" t="inlineStr">
        <is>
          <t>Can</t>
        </is>
      </c>
      <c r="G127" s="5" t="inlineStr">
        <is>
          <t>Each</t>
        </is>
      </c>
      <c r="H127" s="5" t="n">
        <v>24</v>
      </c>
      <c r="I127" s="5" t="n">
        <v>12</v>
      </c>
      <c r="J127" s="5">
        <f>IF(ISNUMBER(MATCH(B127,Inventory_Tracking!$B$2:$B$1000,0)),"No","Yes")
</f>
        <v/>
      </c>
      <c r="M127" s="5" t="n"/>
    </row>
    <row r="128" ht="15.75" customHeight="1" s="14">
      <c r="A128" t="inlineStr">
        <is>
          <t>I-0127</t>
        </is>
      </c>
      <c r="B128" s="7" t="inlineStr">
        <is>
          <t>Beer</t>
        </is>
      </c>
      <c r="C128" s="7" t="inlineStr">
        <is>
          <t>Bottle Beer</t>
        </is>
      </c>
      <c r="D128" s="7" t="inlineStr">
        <is>
          <t>Blue Moon</t>
        </is>
      </c>
      <c r="E128" s="7" t="inlineStr">
        <is>
          <t>Blue Moon</t>
        </is>
      </c>
      <c r="F128" s="7" t="inlineStr">
        <is>
          <t>12oz</t>
        </is>
      </c>
      <c r="G128" s="7" t="inlineStr">
        <is>
          <t>Bottle</t>
        </is>
      </c>
      <c r="H128" s="4" t="n">
        <v>24</v>
      </c>
      <c r="I128" s="4" t="n">
        <v>12</v>
      </c>
      <c r="J128" s="5">
        <f>IF(ISNUMBER(MATCH(B128,Inventory_Tracking!$B$2:$B$1000,0)),"No","Yes")
</f>
        <v/>
      </c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</row>
    <row r="129" ht="15.75" customHeight="1" s="14">
      <c r="A129" t="inlineStr">
        <is>
          <t>I-0128</t>
        </is>
      </c>
      <c r="B129" s="7" t="inlineStr">
        <is>
          <t>Beer</t>
        </is>
      </c>
      <c r="C129" s="7" t="inlineStr">
        <is>
          <t>Bottle Beer</t>
        </is>
      </c>
      <c r="D129" s="7" t="inlineStr">
        <is>
          <t>Guinness</t>
        </is>
      </c>
      <c r="E129" s="7" t="inlineStr">
        <is>
          <t>Guinness</t>
        </is>
      </c>
      <c r="F129" s="7" t="inlineStr">
        <is>
          <t>12oz</t>
        </is>
      </c>
      <c r="G129" s="7" t="inlineStr">
        <is>
          <t>Bottle</t>
        </is>
      </c>
      <c r="H129" s="4" t="n">
        <v>24</v>
      </c>
      <c r="I129" s="4" t="n">
        <v>12</v>
      </c>
      <c r="J129" s="5">
        <f>IF(ISNUMBER(MATCH(B129,Inventory_Tracking!$B$2:$B$1000,0)),"No","Yes")
</f>
        <v/>
      </c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</row>
    <row r="130" ht="15.75" customHeight="1" s="14">
      <c r="A130" t="inlineStr">
        <is>
          <t>I-0129</t>
        </is>
      </c>
      <c r="B130" s="7" t="inlineStr">
        <is>
          <t>Beer</t>
        </is>
      </c>
      <c r="C130" s="7" t="inlineStr">
        <is>
          <t>Bottle Beer</t>
        </is>
      </c>
      <c r="D130" s="7" t="inlineStr">
        <is>
          <t>Miller Light</t>
        </is>
      </c>
      <c r="E130" s="7" t="inlineStr">
        <is>
          <t>Miller</t>
        </is>
      </c>
      <c r="F130" s="7" t="inlineStr">
        <is>
          <t>12oz</t>
        </is>
      </c>
      <c r="G130" s="7" t="inlineStr">
        <is>
          <t>Bottle</t>
        </is>
      </c>
      <c r="H130" s="4" t="n">
        <v>24</v>
      </c>
      <c r="I130" s="4" t="n">
        <v>12</v>
      </c>
      <c r="J130" s="5">
        <f>IF(ISNUMBER(MATCH(B130,Inventory_Tracking!$B$2:$B$1000,0)),"No","Yes")
</f>
        <v/>
      </c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</row>
    <row r="131" ht="15.75" customHeight="1" s="14">
      <c r="A131" t="inlineStr">
        <is>
          <t>I-0130</t>
        </is>
      </c>
      <c r="B131" s="7" t="inlineStr">
        <is>
          <t>Beer</t>
        </is>
      </c>
      <c r="C131" s="7" t="inlineStr">
        <is>
          <t>Bottle Beer</t>
        </is>
      </c>
      <c r="D131" s="7" t="inlineStr">
        <is>
          <t>Yuengling</t>
        </is>
      </c>
      <c r="E131" s="7" t="inlineStr">
        <is>
          <t>Yuengling</t>
        </is>
      </c>
      <c r="F131" s="7" t="inlineStr">
        <is>
          <t>12oz</t>
        </is>
      </c>
      <c r="G131" s="7" t="inlineStr">
        <is>
          <t>Bottle</t>
        </is>
      </c>
      <c r="H131" s="4" t="n">
        <v>24</v>
      </c>
      <c r="I131" s="4" t="n">
        <v>12</v>
      </c>
      <c r="J131" s="5">
        <f>IF(ISNUMBER(MATCH(B131,Inventory_Tracking!$B$2:$B$1000,0)),"No","Yes")
</f>
        <v/>
      </c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</row>
    <row r="132" ht="15.75" customHeight="1" s="14">
      <c r="A132" t="inlineStr">
        <is>
          <t>I-0131</t>
        </is>
      </c>
      <c r="B132" s="5" t="inlineStr">
        <is>
          <t>Beer</t>
        </is>
      </c>
      <c r="C132" s="5" t="inlineStr">
        <is>
          <t>Bottle Beer</t>
        </is>
      </c>
      <c r="D132" s="5" t="inlineStr">
        <is>
          <t>Shiner Bock</t>
        </is>
      </c>
      <c r="E132" s="5" t="inlineStr">
        <is>
          <t>Shiner</t>
        </is>
      </c>
      <c r="F132" s="5" t="inlineStr">
        <is>
          <t>12oz</t>
        </is>
      </c>
      <c r="G132" s="5" t="inlineStr">
        <is>
          <t>Bottle</t>
        </is>
      </c>
      <c r="H132" s="5" t="n">
        <v>24</v>
      </c>
      <c r="I132" s="5" t="n">
        <v>12</v>
      </c>
      <c r="J132" s="5">
        <f>IF(ISNUMBER(MATCH(B132,Inventory_Tracking!$B$2:$B$1000,0)),"No","Yes")
</f>
        <v/>
      </c>
      <c r="M132" s="5" t="n"/>
    </row>
    <row r="133" ht="15.75" customHeight="1" s="14">
      <c r="A133" t="inlineStr">
        <is>
          <t>I-0132</t>
        </is>
      </c>
      <c r="B133" s="5" t="inlineStr">
        <is>
          <t>Beer</t>
        </is>
      </c>
      <c r="C133" s="5" t="inlineStr">
        <is>
          <t>Bottle Beer</t>
        </is>
      </c>
      <c r="D133" s="5" t="inlineStr">
        <is>
          <t>Budweiser</t>
        </is>
      </c>
      <c r="E133" s="5" t="inlineStr">
        <is>
          <t>Budweiser</t>
        </is>
      </c>
      <c r="F133" s="5" t="inlineStr">
        <is>
          <t>12oz</t>
        </is>
      </c>
      <c r="G133" s="5" t="inlineStr">
        <is>
          <t>Bottle</t>
        </is>
      </c>
      <c r="H133" s="5" t="n">
        <v>24</v>
      </c>
      <c r="I133" s="5" t="n">
        <v>12</v>
      </c>
      <c r="J133" s="5">
        <f>IF(ISNUMBER(MATCH(B133,Inventory_Tracking!$B$2:$B$1000,0)),"No","Yes")
</f>
        <v/>
      </c>
      <c r="M133" s="5" t="n"/>
    </row>
    <row r="134" ht="15.75" customHeight="1" s="14">
      <c r="A134" t="inlineStr">
        <is>
          <t>I-0133</t>
        </is>
      </c>
      <c r="B134" s="5" t="inlineStr">
        <is>
          <t>Beer</t>
        </is>
      </c>
      <c r="C134" s="5" t="inlineStr">
        <is>
          <t>Bottle Beer</t>
        </is>
      </c>
      <c r="D134" s="5" t="inlineStr">
        <is>
          <t>Dos Equis</t>
        </is>
      </c>
      <c r="E134" s="5" t="inlineStr">
        <is>
          <t>Dos Equis</t>
        </is>
      </c>
      <c r="F134" s="5" t="inlineStr">
        <is>
          <t>12oz</t>
        </is>
      </c>
      <c r="G134" s="5" t="inlineStr">
        <is>
          <t>Bottle</t>
        </is>
      </c>
      <c r="H134" s="5" t="n">
        <v>24</v>
      </c>
      <c r="I134" s="5" t="n">
        <v>12</v>
      </c>
      <c r="J134" s="5">
        <f>IF(ISNUMBER(MATCH(B134,Inventory_Tracking!$B$2:$B$1000,0)),"No","Yes")
</f>
        <v/>
      </c>
      <c r="M134" s="5" t="n"/>
    </row>
    <row r="135" ht="15.75" customHeight="1" s="14">
      <c r="A135" t="inlineStr">
        <is>
          <t>I-0134</t>
        </is>
      </c>
      <c r="B135" s="5" t="inlineStr">
        <is>
          <t>Beer</t>
        </is>
      </c>
      <c r="C135" s="5" t="inlineStr">
        <is>
          <t>Bottle Beer</t>
        </is>
      </c>
      <c r="D135" s="5" t="inlineStr">
        <is>
          <t>Kona Big Wave</t>
        </is>
      </c>
      <c r="E135" s="5" t="inlineStr">
        <is>
          <t>Kona</t>
        </is>
      </c>
      <c r="F135" s="5" t="inlineStr">
        <is>
          <t>12oz</t>
        </is>
      </c>
      <c r="G135" s="5" t="inlineStr">
        <is>
          <t>Bottle</t>
        </is>
      </c>
      <c r="H135" s="5" t="n">
        <v>24</v>
      </c>
      <c r="I135" s="5" t="n">
        <v>12</v>
      </c>
      <c r="J135" s="5">
        <f>IF(ISNUMBER(MATCH(B135,Inventory_Tracking!$B$2:$B$1000,0)),"No","Yes")
</f>
        <v/>
      </c>
      <c r="M135" s="5" t="n"/>
    </row>
    <row r="136" ht="15.75" customHeight="1" s="14">
      <c r="A136" t="inlineStr">
        <is>
          <t>I-0135</t>
        </is>
      </c>
      <c r="B136" s="5" t="inlineStr">
        <is>
          <t>Beer</t>
        </is>
      </c>
      <c r="C136" s="5" t="inlineStr">
        <is>
          <t>Bottle Beer</t>
        </is>
      </c>
      <c r="D136" s="5" t="inlineStr">
        <is>
          <t>Heineken</t>
        </is>
      </c>
      <c r="E136" s="5" t="inlineStr">
        <is>
          <t>Heineken</t>
        </is>
      </c>
      <c r="F136" s="5" t="inlineStr">
        <is>
          <t>12oz</t>
        </is>
      </c>
      <c r="G136" s="5" t="inlineStr">
        <is>
          <t>Bottle</t>
        </is>
      </c>
      <c r="H136" s="5" t="n">
        <v>24</v>
      </c>
      <c r="I136" s="5" t="n">
        <v>12</v>
      </c>
      <c r="J136" s="5">
        <f>IF(ISNUMBER(MATCH(B136,Inventory_Tracking!$B$2:$B$1000,0)),"No","Yes")
</f>
        <v/>
      </c>
      <c r="M136" s="5" t="n"/>
    </row>
    <row r="137" ht="15.75" customHeight="1" s="14">
      <c r="A137" t="inlineStr">
        <is>
          <t>I-0136</t>
        </is>
      </c>
      <c r="B137" s="7" t="inlineStr">
        <is>
          <t>Beer</t>
        </is>
      </c>
      <c r="C137" s="7" t="inlineStr">
        <is>
          <t>Bottle Beer</t>
        </is>
      </c>
      <c r="D137" s="7" t="inlineStr">
        <is>
          <t>Coors</t>
        </is>
      </c>
      <c r="E137" s="7" t="inlineStr">
        <is>
          <t>Coors</t>
        </is>
      </c>
      <c r="F137" s="7" t="inlineStr">
        <is>
          <t>12oz</t>
        </is>
      </c>
      <c r="G137" s="7" t="inlineStr">
        <is>
          <t>Bottle</t>
        </is>
      </c>
      <c r="H137" s="4" t="n">
        <v>24</v>
      </c>
      <c r="I137" s="4" t="n">
        <v>12</v>
      </c>
      <c r="J137" s="5">
        <f>IF(ISNUMBER(MATCH(B137,Inventory_Tracking!$B$2:$B$1000,0)),"No","Yes")
</f>
        <v/>
      </c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</row>
    <row r="138" ht="15.75" customHeight="1" s="14">
      <c r="A138" t="inlineStr">
        <is>
          <t>I-0137</t>
        </is>
      </c>
      <c r="B138" s="5" t="inlineStr">
        <is>
          <t>Beer</t>
        </is>
      </c>
      <c r="C138" s="5" t="inlineStr">
        <is>
          <t>Bottle Beer</t>
        </is>
      </c>
      <c r="D138" s="5" t="inlineStr">
        <is>
          <t>Corona Extra</t>
        </is>
      </c>
      <c r="E138" s="5" t="inlineStr">
        <is>
          <t>Corona</t>
        </is>
      </c>
      <c r="F138" s="5" t="inlineStr">
        <is>
          <t>12oz</t>
        </is>
      </c>
      <c r="G138" s="5" t="inlineStr">
        <is>
          <t>Bottle</t>
        </is>
      </c>
      <c r="H138" s="5" t="n">
        <v>24</v>
      </c>
      <c r="I138" s="5" t="n">
        <v>12</v>
      </c>
      <c r="J138" s="5">
        <f>IF(ISNUMBER(MATCH(B138,Inventory_Tracking!$B$2:$B$1000,0)),"No","Yes")
</f>
        <v/>
      </c>
      <c r="M138" s="5" t="n"/>
    </row>
    <row r="139" ht="15.75" customHeight="1" s="14">
      <c r="A139" t="inlineStr">
        <is>
          <t>I-0138</t>
        </is>
      </c>
      <c r="B139" s="5" t="inlineStr">
        <is>
          <t>Liquor</t>
        </is>
      </c>
      <c r="C139" s="5" t="inlineStr">
        <is>
          <t>Mezcal</t>
        </is>
      </c>
      <c r="D139" s="5" t="inlineStr">
        <is>
          <t>Disaronno</t>
        </is>
      </c>
      <c r="E139" s="5" t="inlineStr">
        <is>
          <t>ILLVA</t>
        </is>
      </c>
      <c r="F139" s="5" t="inlineStr">
        <is>
          <t>1L</t>
        </is>
      </c>
      <c r="G139" s="5" t="inlineStr">
        <is>
          <t>Bottle</t>
        </is>
      </c>
      <c r="J139" s="5">
        <f>IF(ISNUMBER(MATCH(B139,Inventory_Tracking!$B$2:$B$1000,0)),"No","Yes")
</f>
        <v/>
      </c>
      <c r="M139" s="5" t="n"/>
    </row>
    <row r="140" ht="15.75" customHeight="1" s="14">
      <c r="A140" t="inlineStr">
        <is>
          <t>I-0139</t>
        </is>
      </c>
      <c r="B140" s="5" t="inlineStr">
        <is>
          <t>Liquor</t>
        </is>
      </c>
      <c r="C140" s="5" t="inlineStr">
        <is>
          <t>Mezcal</t>
        </is>
      </c>
      <c r="D140" s="5" t="inlineStr">
        <is>
          <t>Lost Explorer</t>
        </is>
      </c>
      <c r="E140" s="5" t="inlineStr">
        <is>
          <t>Esoadin</t>
        </is>
      </c>
      <c r="F140" s="5" t="inlineStr">
        <is>
          <t>750ml</t>
        </is>
      </c>
      <c r="G140" s="5" t="inlineStr">
        <is>
          <t>Bottle</t>
        </is>
      </c>
      <c r="J140" s="5">
        <f>IF(ISNUMBER(MATCH(B140,Inventory_Tracking!$B$2:$B$1000,0)),"No","Yes")
</f>
        <v/>
      </c>
      <c r="M140" s="5" t="n"/>
    </row>
    <row r="141" ht="15.75" customHeight="1" s="14">
      <c r="A141" t="inlineStr">
        <is>
          <t>I-0140</t>
        </is>
      </c>
      <c r="B141" s="5" t="inlineStr">
        <is>
          <t>Liquor</t>
        </is>
      </c>
      <c r="C141" s="5" t="inlineStr">
        <is>
          <t>Mezcal</t>
        </is>
      </c>
      <c r="D141" s="5" t="inlineStr">
        <is>
          <t>Naranja</t>
        </is>
      </c>
      <c r="E141" s="5" t="inlineStr">
        <is>
          <t>Orange Liqueur</t>
        </is>
      </c>
      <c r="F141" s="5" t="inlineStr">
        <is>
          <t>1L</t>
        </is>
      </c>
      <c r="G141" s="5" t="inlineStr">
        <is>
          <t>Bottle</t>
        </is>
      </c>
      <c r="J141" s="5">
        <f>IF(ISNUMBER(MATCH(B141,Inventory_Tracking!$B$2:$B$1000,0)),"No","Yes")
</f>
        <v/>
      </c>
      <c r="M141" s="5" t="n"/>
    </row>
    <row r="142" ht="15" customHeight="1" s="14">
      <c r="A142" t="inlineStr">
        <is>
          <t>I-0141</t>
        </is>
      </c>
      <c r="B142" s="5" t="inlineStr">
        <is>
          <t>Liquor</t>
        </is>
      </c>
      <c r="C142" s="5" t="inlineStr">
        <is>
          <t>Mezcal</t>
        </is>
      </c>
      <c r="D142" s="5" t="inlineStr">
        <is>
          <t>Jagermeister</t>
        </is>
      </c>
      <c r="E142" s="5" t="inlineStr">
        <is>
          <t>Jagermeister</t>
        </is>
      </c>
      <c r="F142" s="5" t="inlineStr">
        <is>
          <t>1L</t>
        </is>
      </c>
      <c r="G142" s="5" t="inlineStr">
        <is>
          <t>Bottle</t>
        </is>
      </c>
      <c r="J142" s="5">
        <f>IF(ISNUMBER(MATCH(B142,Inventory_Tracking!$B$2:$B$1000,0)),"No","Yes")
</f>
        <v/>
      </c>
      <c r="M142" s="5" t="n"/>
    </row>
    <row r="143" ht="15" customHeight="1" s="14">
      <c r="A143" t="inlineStr">
        <is>
          <t>I-0142</t>
        </is>
      </c>
      <c r="B143" s="5" t="inlineStr">
        <is>
          <t>Liquor</t>
        </is>
      </c>
      <c r="C143" s="5" t="inlineStr">
        <is>
          <t>Mezcal</t>
        </is>
      </c>
      <c r="D143" s="5" t="inlineStr">
        <is>
          <t>Baileys</t>
        </is>
      </c>
      <c r="E143" s="5" t="inlineStr">
        <is>
          <t>Baileys</t>
        </is>
      </c>
      <c r="F143" s="5" t="inlineStr">
        <is>
          <t>1L</t>
        </is>
      </c>
      <c r="G143" s="5" t="inlineStr">
        <is>
          <t>Bottle</t>
        </is>
      </c>
      <c r="J143" s="5">
        <f>IF(ISNUMBER(MATCH(B143,Inventory_Tracking!$B$2:$B$1000,0)),"No","Yes")
</f>
        <v/>
      </c>
      <c r="M143" s="5" t="n"/>
    </row>
    <row r="144" ht="15.75" customHeight="1" s="14">
      <c r="A144" t="inlineStr">
        <is>
          <t>I-0143</t>
        </is>
      </c>
      <c r="B144" s="7" t="inlineStr">
        <is>
          <t>Beer</t>
        </is>
      </c>
      <c r="C144" s="7" t="inlineStr">
        <is>
          <t>Bottle Beer</t>
        </is>
      </c>
      <c r="D144" s="7" t="inlineStr">
        <is>
          <t>Pineapple Cider</t>
        </is>
      </c>
      <c r="E144" s="7" t="inlineStr">
        <is>
          <t>Pineapple Cider</t>
        </is>
      </c>
      <c r="F144" s="7" t="inlineStr">
        <is>
          <t>12oz</t>
        </is>
      </c>
      <c r="G144" s="7" t="inlineStr">
        <is>
          <t>Bottle</t>
        </is>
      </c>
      <c r="H144" s="4" t="n">
        <v>24</v>
      </c>
      <c r="I144" s="4" t="n">
        <v>12</v>
      </c>
      <c r="J144" s="5">
        <f>IF(ISNUMBER(MATCH(B144,Inventory_Tracking!$B$2:$B$1000,0)),"No","Yes")
</f>
        <v/>
      </c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</row>
    <row r="145" ht="15.75" customHeight="1" s="14">
      <c r="A145" t="inlineStr">
        <is>
          <t>I-0144</t>
        </is>
      </c>
      <c r="B145" s="7" t="inlineStr">
        <is>
          <t>Beer</t>
        </is>
      </c>
      <c r="C145" s="7" t="inlineStr">
        <is>
          <t>Bottle Beer</t>
        </is>
      </c>
      <c r="D145" s="7" t="inlineStr">
        <is>
          <t>Sun Cruiser</t>
        </is>
      </c>
      <c r="E145" s="7" t="inlineStr">
        <is>
          <t>Sun Cruiser</t>
        </is>
      </c>
      <c r="F145" s="7" t="inlineStr">
        <is>
          <t>12oz</t>
        </is>
      </c>
      <c r="G145" s="7" t="inlineStr">
        <is>
          <t>Bottle</t>
        </is>
      </c>
      <c r="H145" s="4" t="n">
        <v>24</v>
      </c>
      <c r="I145" s="4" t="n">
        <v>12</v>
      </c>
      <c r="J145" s="5">
        <f>IF(ISNUMBER(MATCH(B145,Inventory_Tracking!$B$2:$B$1000,0)),"No","Yes")
</f>
        <v/>
      </c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</row>
    <row r="146" ht="15.75" customHeight="1" s="14">
      <c r="A146" t="inlineStr">
        <is>
          <t>I-0145</t>
        </is>
      </c>
      <c r="B146" s="5" t="inlineStr">
        <is>
          <t>Beer</t>
        </is>
      </c>
      <c r="C146" s="5" t="inlineStr">
        <is>
          <t>Bottle Beer</t>
        </is>
      </c>
      <c r="D146" s="5" t="inlineStr">
        <is>
          <t>White Claw</t>
        </is>
      </c>
      <c r="E146" s="5" t="inlineStr">
        <is>
          <t>White Claw</t>
        </is>
      </c>
      <c r="F146" s="5" t="inlineStr">
        <is>
          <t>12oz</t>
        </is>
      </c>
      <c r="G146" s="5" t="inlineStr">
        <is>
          <t>Bottle</t>
        </is>
      </c>
      <c r="H146" s="5" t="n">
        <v>24</v>
      </c>
      <c r="I146" s="5" t="n">
        <v>12</v>
      </c>
      <c r="J146" s="5">
        <f>IF(ISNUMBER(MATCH(B146,Inventory_Tracking!$B$2:$B$1000,0)),"No","Yes")
</f>
        <v/>
      </c>
      <c r="M146" s="5" t="n"/>
    </row>
    <row r="147" ht="15.75" customHeight="1" s="14">
      <c r="A147" t="inlineStr">
        <is>
          <t>I-0146</t>
        </is>
      </c>
      <c r="B147" s="5" t="inlineStr">
        <is>
          <t>Beer</t>
        </is>
      </c>
      <c r="C147" s="5" t="inlineStr">
        <is>
          <t>Bottle Beer</t>
        </is>
      </c>
      <c r="D147" s="5" t="inlineStr">
        <is>
          <t>Big IPA</t>
        </is>
      </c>
      <c r="E147" s="5" t="inlineStr">
        <is>
          <t>Big IPA</t>
        </is>
      </c>
      <c r="F147" s="5" t="inlineStr">
        <is>
          <t>12oz</t>
        </is>
      </c>
      <c r="G147" s="5" t="inlineStr">
        <is>
          <t>Bottle</t>
        </is>
      </c>
      <c r="H147" s="5" t="n">
        <v>24</v>
      </c>
      <c r="I147" s="5" t="n">
        <v>12</v>
      </c>
      <c r="J147" s="5">
        <f>IF(ISNUMBER(MATCH(B147,Inventory_Tracking!$B$2:$B$1000,0)),"No","Yes")
</f>
        <v/>
      </c>
      <c r="M147" s="5" t="n"/>
    </row>
    <row r="148" ht="15.75" customHeight="1" s="14">
      <c r="A148" t="inlineStr">
        <is>
          <t>I-0147</t>
        </is>
      </c>
      <c r="B148" s="5" t="inlineStr">
        <is>
          <t>Beer</t>
        </is>
      </c>
      <c r="C148" s="5" t="inlineStr">
        <is>
          <t>Bottle Beer</t>
        </is>
      </c>
      <c r="D148" s="5" t="inlineStr">
        <is>
          <t>Cayman Jack</t>
        </is>
      </c>
      <c r="E148" s="5" t="inlineStr">
        <is>
          <t>Cayman Jack</t>
        </is>
      </c>
      <c r="F148" s="5" t="inlineStr">
        <is>
          <t>12oz</t>
        </is>
      </c>
      <c r="G148" s="5" t="inlineStr">
        <is>
          <t>Bottle</t>
        </is>
      </c>
      <c r="H148" s="5" t="n">
        <v>24</v>
      </c>
      <c r="I148" s="5" t="n">
        <v>12</v>
      </c>
      <c r="J148" s="5">
        <f>IF(ISNUMBER(MATCH(B148,Inventory_Tracking!$B$2:$B$1000,0)),"No","Yes")
</f>
        <v/>
      </c>
      <c r="M148" s="5" t="n"/>
    </row>
    <row r="149" ht="15.75" customHeight="1" s="14">
      <c r="A149" t="inlineStr">
        <is>
          <t>I-0148</t>
        </is>
      </c>
      <c r="B149" s="5" t="inlineStr">
        <is>
          <t>Beer</t>
        </is>
      </c>
      <c r="C149" s="5" t="inlineStr">
        <is>
          <t>Bottle Beer</t>
        </is>
      </c>
      <c r="D149" s="5" t="inlineStr">
        <is>
          <t>Seagram’s</t>
        </is>
      </c>
      <c r="E149" s="5" t="inlineStr">
        <is>
          <t>Seagram’s</t>
        </is>
      </c>
      <c r="F149" s="5" t="inlineStr">
        <is>
          <t>12oz</t>
        </is>
      </c>
      <c r="G149" s="5" t="inlineStr">
        <is>
          <t>Bottle</t>
        </is>
      </c>
      <c r="H149" s="5" t="n">
        <v>24</v>
      </c>
      <c r="I149" s="5" t="n">
        <v>12</v>
      </c>
      <c r="J149" s="5">
        <f>IF(ISNUMBER(MATCH(B149,Inventory_Tracking!$B$2:$B$1000,0)),"No","Yes")
</f>
        <v/>
      </c>
      <c r="M149" s="5" t="n"/>
    </row>
    <row r="150" ht="15.75" customHeight="1" s="14">
      <c r="A150" t="inlineStr">
        <is>
          <t>I-0149</t>
        </is>
      </c>
      <c r="B150" s="7" t="inlineStr">
        <is>
          <t>Beer</t>
        </is>
      </c>
      <c r="C150" s="7" t="inlineStr">
        <is>
          <t>Bottle Beer</t>
        </is>
      </c>
      <c r="D150" s="7" t="inlineStr">
        <is>
          <t>Prosecco</t>
        </is>
      </c>
      <c r="E150" s="7" t="inlineStr">
        <is>
          <t>Prosecco</t>
        </is>
      </c>
      <c r="F150" s="7" t="inlineStr">
        <is>
          <t>12oz</t>
        </is>
      </c>
      <c r="G150" s="7" t="inlineStr">
        <is>
          <t>Bottle</t>
        </is>
      </c>
      <c r="H150" s="4" t="n">
        <v>24</v>
      </c>
      <c r="I150" s="4" t="n">
        <v>12</v>
      </c>
      <c r="J150" s="5">
        <f>IF(ISNUMBER(MATCH(B150,Inventory_Tracking!$B$2:$B$1000,0)),"No","Yes")
</f>
        <v/>
      </c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</row>
    <row r="151" ht="15.75" customHeight="1" s="14">
      <c r="A151" t="inlineStr">
        <is>
          <t>I-0150</t>
        </is>
      </c>
      <c r="B151" s="5" t="inlineStr">
        <is>
          <t>Extras</t>
        </is>
      </c>
      <c r="C151" s="9" t="inlineStr">
        <is>
          <t>Syrups / Garnish</t>
        </is>
      </c>
      <c r="D151" s="5" t="inlineStr">
        <is>
          <t>Rose’s Grenadine</t>
        </is>
      </c>
      <c r="E151" s="5" t="n"/>
      <c r="F151" s="5" t="inlineStr">
        <is>
          <t>1L</t>
        </is>
      </c>
      <c r="G151" s="7" t="inlineStr">
        <is>
          <t>Bottle</t>
        </is>
      </c>
      <c r="H151" s="5" t="n"/>
      <c r="I151" s="5" t="n"/>
      <c r="J151" s="5">
        <f>IF(ISNUMBER(MATCH(B151,Inventory_Tracking!$B$2:$B$1000,0)),"No","Yes")
</f>
        <v/>
      </c>
      <c r="M151" s="5" t="n"/>
    </row>
    <row r="152" ht="15.75" customHeight="1" s="14">
      <c r="A152" t="inlineStr">
        <is>
          <t>I-0151</t>
        </is>
      </c>
      <c r="B152" s="5" t="inlineStr">
        <is>
          <t>Extras</t>
        </is>
      </c>
      <c r="C152" s="5" t="inlineStr">
        <is>
          <t>Syrups / Garnish</t>
        </is>
      </c>
      <c r="D152" s="9" t="inlineStr">
        <is>
          <t>Rose’s Lime Juice</t>
        </is>
      </c>
      <c r="F152" s="9" t="inlineStr">
        <is>
          <t>1L</t>
        </is>
      </c>
      <c r="G152" s="7" t="inlineStr">
        <is>
          <t>Bottle</t>
        </is>
      </c>
      <c r="J152" s="5">
        <f>IF(ISNUMBER(MATCH(B152,Inventory_Tracking!$B$2:$B$1000,0)),"No","Yes")
</f>
        <v/>
      </c>
      <c r="M152" s="5" t="n"/>
    </row>
    <row r="153" ht="15.75" customHeight="1" s="14">
      <c r="A153" t="inlineStr">
        <is>
          <t>I-0152</t>
        </is>
      </c>
      <c r="B153" s="5" t="inlineStr">
        <is>
          <t>Extras</t>
        </is>
      </c>
      <c r="C153" s="5" t="inlineStr">
        <is>
          <t>Syrups / Garnish</t>
        </is>
      </c>
      <c r="D153" s="9" t="inlineStr">
        <is>
          <t>Monin Cucumber</t>
        </is>
      </c>
      <c r="F153" s="9" t="inlineStr">
        <is>
          <t>1L</t>
        </is>
      </c>
      <c r="G153" s="7" t="inlineStr">
        <is>
          <t>Bottle</t>
        </is>
      </c>
      <c r="J153" s="5">
        <f>IF(ISNUMBER(MATCH(B153,Inventory_Tracking!$B$2:$B$1000,0)),"No","Yes")
</f>
        <v/>
      </c>
      <c r="M153" s="5" t="n"/>
    </row>
    <row r="154" ht="15.75" customHeight="1" s="14">
      <c r="A154" t="inlineStr">
        <is>
          <t>I-0153</t>
        </is>
      </c>
      <c r="B154" s="5" t="inlineStr">
        <is>
          <t>Extras</t>
        </is>
      </c>
      <c r="C154" s="5" t="inlineStr">
        <is>
          <t>Finest Call / Mixers</t>
        </is>
      </c>
      <c r="D154" s="9" t="inlineStr">
        <is>
          <t>Pineapple Juice</t>
        </is>
      </c>
      <c r="F154" s="9" t="inlineStr">
        <is>
          <t>1L</t>
        </is>
      </c>
      <c r="G154" s="7" t="inlineStr">
        <is>
          <t>Bottle</t>
        </is>
      </c>
      <c r="J154" s="5">
        <f>IF(ISNUMBER(MATCH(B154,Inventory_Tracking!$B$2:$B$1000,0)),"No","Yes")
</f>
        <v/>
      </c>
      <c r="M154" s="5" t="n"/>
    </row>
    <row r="155" ht="15.75" customHeight="1" s="14">
      <c r="A155" t="inlineStr">
        <is>
          <t>I-0154</t>
        </is>
      </c>
      <c r="B155" s="5" t="inlineStr">
        <is>
          <t>Extras</t>
        </is>
      </c>
      <c r="C155" s="5" t="inlineStr">
        <is>
          <t>Finest Call / Mixers</t>
        </is>
      </c>
      <c r="D155" s="9" t="inlineStr">
        <is>
          <t>Bar Syrup</t>
        </is>
      </c>
      <c r="F155" s="9" t="inlineStr">
        <is>
          <t>1L</t>
        </is>
      </c>
      <c r="G155" s="7" t="inlineStr">
        <is>
          <t>Bottle</t>
        </is>
      </c>
      <c r="J155" s="5">
        <f>IF(ISNUMBER(MATCH(B155,Inventory_Tracking!$B$2:$B$1000,0)),"No","Yes")
</f>
        <v/>
      </c>
      <c r="M155" s="5" t="n"/>
    </row>
    <row r="156" ht="15.75" customHeight="1" s="14">
      <c r="A156" t="inlineStr">
        <is>
          <t>I-0155</t>
        </is>
      </c>
      <c r="B156" s="5" t="inlineStr">
        <is>
          <t>Extras</t>
        </is>
      </c>
      <c r="C156" s="5" t="inlineStr">
        <is>
          <t>Finest Call / Mixers</t>
        </is>
      </c>
      <c r="D156" s="9" t="inlineStr">
        <is>
          <t>Pina Colada Mix</t>
        </is>
      </c>
      <c r="F156" s="9" t="inlineStr">
        <is>
          <t>1L</t>
        </is>
      </c>
      <c r="G156" s="7" t="inlineStr">
        <is>
          <t>Bottle</t>
        </is>
      </c>
      <c r="J156" s="5">
        <f>IF(ISNUMBER(MATCH(B156,Inventory_Tracking!$B$2:$B$1000,0)),"No","Yes")
</f>
        <v/>
      </c>
      <c r="M156" s="5" t="n"/>
    </row>
    <row r="157" ht="15.75" customHeight="1" s="14">
      <c r="A157" t="inlineStr">
        <is>
          <t>I-0156</t>
        </is>
      </c>
      <c r="B157" s="5" t="inlineStr">
        <is>
          <t>Extras</t>
        </is>
      </c>
      <c r="C157" s="5" t="inlineStr">
        <is>
          <t>Finest Call / Mixers</t>
        </is>
      </c>
      <c r="D157" s="9" t="inlineStr">
        <is>
          <t>Strawberry Puree</t>
        </is>
      </c>
      <c r="F157" s="9" t="inlineStr">
        <is>
          <t>1L</t>
        </is>
      </c>
      <c r="G157" s="7" t="inlineStr">
        <is>
          <t>Bottle</t>
        </is>
      </c>
      <c r="J157" s="5">
        <f>IF(ISNUMBER(MATCH(B157,Inventory_Tracking!$B$2:$B$1000,0)),"No","Yes")
</f>
        <v/>
      </c>
      <c r="M157" s="5" t="n"/>
    </row>
    <row r="158" ht="15.75" customHeight="1" s="14">
      <c r="A158" t="inlineStr">
        <is>
          <t>I-0157</t>
        </is>
      </c>
      <c r="B158" s="5" t="inlineStr">
        <is>
          <t>Extras</t>
        </is>
      </c>
      <c r="C158" s="5" t="inlineStr">
        <is>
          <t>Finest Call / Mixers</t>
        </is>
      </c>
      <c r="D158" s="9" t="inlineStr">
        <is>
          <t>Passion Fruit Puree</t>
        </is>
      </c>
      <c r="F158" s="9" t="inlineStr">
        <is>
          <t>1L</t>
        </is>
      </c>
      <c r="G158" s="7" t="inlineStr">
        <is>
          <t>Bottle</t>
        </is>
      </c>
      <c r="J158" s="5">
        <f>IF(ISNUMBER(MATCH(B158,Inventory_Tracking!$B$2:$B$1000,0)),"No","Yes")
</f>
        <v/>
      </c>
      <c r="M158" s="5" t="n"/>
    </row>
    <row r="159" ht="15.75" customHeight="1" s="14">
      <c r="A159" t="inlineStr">
        <is>
          <t>I-0158</t>
        </is>
      </c>
      <c r="B159" s="5" t="inlineStr">
        <is>
          <t>Extras</t>
        </is>
      </c>
      <c r="C159" s="5" t="inlineStr">
        <is>
          <t>Finest Call / Mixers</t>
        </is>
      </c>
      <c r="D159" s="9" t="inlineStr">
        <is>
          <t>Agave Syrup</t>
        </is>
      </c>
      <c r="F159" s="9" t="inlineStr">
        <is>
          <t>1L</t>
        </is>
      </c>
      <c r="G159" s="7" t="inlineStr">
        <is>
          <t>Bottle</t>
        </is>
      </c>
      <c r="J159" s="5">
        <f>IF(ISNUMBER(MATCH(B159,Inventory_Tracking!$B$2:$B$1000,0)),"No","Yes")
</f>
        <v/>
      </c>
      <c r="M159" s="5" t="n"/>
    </row>
    <row r="160" ht="15.75" customHeight="1" s="14">
      <c r="A160" t="inlineStr">
        <is>
          <t>I-0159</t>
        </is>
      </c>
      <c r="B160" s="5" t="inlineStr">
        <is>
          <t>Extras</t>
        </is>
      </c>
      <c r="C160" s="5" t="inlineStr">
        <is>
          <t>Finest Call / Mixers</t>
        </is>
      </c>
      <c r="D160" s="9" t="inlineStr">
        <is>
          <t>Lemon Juice</t>
        </is>
      </c>
      <c r="F160" s="9" t="inlineStr">
        <is>
          <t>1L</t>
        </is>
      </c>
      <c r="G160" s="7" t="inlineStr">
        <is>
          <t>Bottle</t>
        </is>
      </c>
      <c r="J160" s="5">
        <f>IF(ISNUMBER(MATCH(B160,Inventory_Tracking!$B$2:$B$1000,0)),"No","Yes")
</f>
        <v/>
      </c>
      <c r="M160" s="5" t="n"/>
    </row>
    <row r="161" ht="15.75" customHeight="1" s="14">
      <c r="A161" t="inlineStr">
        <is>
          <t>I-0160</t>
        </is>
      </c>
      <c r="B161" s="5" t="inlineStr">
        <is>
          <t>Extras</t>
        </is>
      </c>
      <c r="C161" s="5" t="inlineStr">
        <is>
          <t>Finest Call / Mixers</t>
        </is>
      </c>
      <c r="D161" s="9" t="inlineStr">
        <is>
          <t>Lime Juice</t>
        </is>
      </c>
      <c r="F161" s="9" t="inlineStr">
        <is>
          <t>1L</t>
        </is>
      </c>
      <c r="G161" s="7" t="inlineStr">
        <is>
          <t>Bottle</t>
        </is>
      </c>
      <c r="J161" s="5">
        <f>IF(ISNUMBER(MATCH(B161,Inventory_Tracking!$B$2:$B$1000,0)),"No","Yes")
</f>
        <v/>
      </c>
      <c r="M161" s="5" t="n"/>
    </row>
    <row r="162" ht="15.75" customHeight="1" s="14">
      <c r="A162" t="inlineStr">
        <is>
          <t>I-0161</t>
        </is>
      </c>
      <c r="B162" s="5" t="n"/>
      <c r="C162" s="5" t="n"/>
      <c r="J162" s="5">
        <f>IF(ISNUMBER(MATCH(B162,Inventory_Tracking!$B$2:$B$1000,0)),"No","Yes")
</f>
        <v/>
      </c>
      <c r="M162" s="5" t="n"/>
    </row>
    <row r="163" ht="15.75" customHeight="1" s="14">
      <c r="A163" t="inlineStr">
        <is>
          <t>I-0162</t>
        </is>
      </c>
      <c r="B163" s="5" t="n"/>
      <c r="C163" s="5" t="n"/>
      <c r="J163" s="5">
        <f>IF(ISNUMBER(MATCH(B163,Inventory_Tracking!$B$2:$B$1000,0)),"No","Yes")
</f>
        <v/>
      </c>
      <c r="M163" s="5" t="n"/>
    </row>
    <row r="164" ht="15.75" customHeight="1" s="14">
      <c r="A164" t="inlineStr">
        <is>
          <t>I-0163</t>
        </is>
      </c>
      <c r="B164" s="5" t="n"/>
      <c r="C164" s="5" t="n"/>
      <c r="J164" s="5">
        <f>IF(ISNUMBER(MATCH(B164,Inventory_Tracking!$B$2:$B$1000,0)),"No","Yes")
</f>
        <v/>
      </c>
      <c r="M164" s="5" t="n"/>
    </row>
    <row r="165" ht="15.75" customHeight="1" s="14">
      <c r="A165" t="inlineStr">
        <is>
          <t>I-0164</t>
        </is>
      </c>
      <c r="B165" s="5" t="n"/>
      <c r="C165" s="5" t="n"/>
      <c r="M165" s="5" t="n"/>
    </row>
    <row r="166" ht="15.75" customHeight="1" s="14">
      <c r="A166" t="inlineStr">
        <is>
          <t>I-0165</t>
        </is>
      </c>
      <c r="B166" s="5" t="n"/>
      <c r="C166" s="5" t="n"/>
      <c r="M166" s="5" t="n"/>
    </row>
    <row r="167" ht="15.75" customHeight="1" s="14">
      <c r="A167" t="inlineStr">
        <is>
          <t>I-0166</t>
        </is>
      </c>
      <c r="B167" s="5" t="n"/>
      <c r="C167" s="5" t="n"/>
      <c r="M167" s="5" t="n"/>
    </row>
    <row r="168" ht="15.75" customHeight="1" s="14">
      <c r="A168" t="inlineStr">
        <is>
          <t>I-0167</t>
        </is>
      </c>
      <c r="B168" s="5" t="n"/>
      <c r="C168" s="5" t="n"/>
      <c r="M168" s="5" t="n"/>
    </row>
    <row r="169" ht="15.75" customHeight="1" s="14">
      <c r="A169" t="inlineStr">
        <is>
          <t>I-0168</t>
        </is>
      </c>
      <c r="B169" s="5" t="n"/>
      <c r="C169" s="5" t="n"/>
      <c r="M169" s="5" t="n"/>
    </row>
    <row r="170" ht="15.75" customHeight="1" s="14">
      <c r="A170" t="inlineStr">
        <is>
          <t>I-0169</t>
        </is>
      </c>
      <c r="B170" s="5" t="n"/>
      <c r="C170" s="5" t="n"/>
      <c r="M170" s="5" t="n"/>
    </row>
    <row r="171" ht="15.75" customHeight="1" s="14">
      <c r="A171" t="inlineStr">
        <is>
          <t>I-0170</t>
        </is>
      </c>
      <c r="B171" s="5" t="n"/>
      <c r="C171" s="5" t="n"/>
      <c r="M171" s="5" t="n"/>
    </row>
    <row r="172" ht="15.75" customHeight="1" s="14">
      <c r="A172" t="inlineStr">
        <is>
          <t>I-0171</t>
        </is>
      </c>
      <c r="B172" s="5" t="n"/>
      <c r="C172" s="5" t="n"/>
      <c r="M172" s="5" t="n"/>
    </row>
    <row r="173" ht="15.75" customHeight="1" s="14">
      <c r="A173" t="inlineStr">
        <is>
          <t>I-0172</t>
        </is>
      </c>
      <c r="B173" s="5" t="n"/>
      <c r="C173" s="5" t="n"/>
      <c r="M173" s="5" t="n"/>
    </row>
    <row r="174" ht="15.75" customHeight="1" s="14">
      <c r="A174" t="inlineStr">
        <is>
          <t>I-0173</t>
        </is>
      </c>
      <c r="B174" s="5" t="n"/>
      <c r="C174" s="5" t="n"/>
      <c r="M174" s="5" t="n"/>
    </row>
    <row r="175" ht="15.75" customHeight="1" s="14">
      <c r="A175" t="inlineStr">
        <is>
          <t>I-0174</t>
        </is>
      </c>
      <c r="B175" s="5" t="n"/>
      <c r="C175" s="5" t="n"/>
      <c r="M175" s="5" t="n"/>
    </row>
    <row r="176" ht="15.75" customHeight="1" s="14">
      <c r="A176" t="inlineStr">
        <is>
          <t>I-0175</t>
        </is>
      </c>
      <c r="B176" s="5" t="n"/>
      <c r="C176" s="5" t="n"/>
      <c r="M176" s="5" t="n"/>
    </row>
    <row r="177" ht="15.75" customHeight="1" s="14">
      <c r="A177" t="inlineStr">
        <is>
          <t>I-0176</t>
        </is>
      </c>
      <c r="B177" s="5" t="n"/>
      <c r="C177" s="5" t="n"/>
      <c r="M177" s="5" t="n"/>
    </row>
    <row r="178" ht="15.75" customHeight="1" s="14">
      <c r="A178" t="inlineStr">
        <is>
          <t>I-0177</t>
        </is>
      </c>
      <c r="B178" s="5" t="n"/>
      <c r="C178" s="5" t="n"/>
      <c r="M178" s="5" t="n"/>
    </row>
    <row r="179" ht="15.75" customHeight="1" s="14">
      <c r="A179" t="inlineStr">
        <is>
          <t>I-0178</t>
        </is>
      </c>
      <c r="B179" s="5" t="n"/>
      <c r="C179" s="5" t="n"/>
      <c r="M179" s="5" t="n"/>
    </row>
    <row r="180" ht="15.75" customHeight="1" s="14">
      <c r="A180" t="inlineStr">
        <is>
          <t>I-0179</t>
        </is>
      </c>
      <c r="B180" s="5" t="n"/>
      <c r="C180" s="5" t="n"/>
      <c r="M180" s="5" t="n"/>
    </row>
    <row r="181" ht="15.75" customHeight="1" s="14">
      <c r="A181" t="inlineStr">
        <is>
          <t>I-0180</t>
        </is>
      </c>
      <c r="B181" s="5" t="n"/>
      <c r="C181" s="5" t="n"/>
      <c r="M181" s="5" t="n"/>
    </row>
    <row r="182" ht="15.75" customHeight="1" s="14">
      <c r="A182" t="inlineStr">
        <is>
          <t>I-0181</t>
        </is>
      </c>
      <c r="B182" s="5" t="n"/>
      <c r="C182" s="5" t="n"/>
      <c r="M182" s="5" t="n"/>
    </row>
    <row r="183" ht="15.75" customHeight="1" s="14">
      <c r="A183" t="inlineStr">
        <is>
          <t>I-0182</t>
        </is>
      </c>
      <c r="B183" s="5" t="n"/>
      <c r="C183" s="5" t="n"/>
      <c r="M183" s="5" t="n"/>
    </row>
    <row r="184" ht="15.75" customHeight="1" s="14">
      <c r="A184" t="inlineStr">
        <is>
          <t>I-0183</t>
        </is>
      </c>
      <c r="B184" s="5" t="n"/>
      <c r="C184" s="5" t="n"/>
      <c r="M184" s="5" t="n"/>
    </row>
    <row r="185" ht="15.75" customHeight="1" s="14">
      <c r="A185" t="inlineStr">
        <is>
          <t>I-0184</t>
        </is>
      </c>
      <c r="B185" s="5" t="n"/>
      <c r="C185" s="5" t="n"/>
      <c r="M185" s="5" t="n"/>
    </row>
    <row r="186" ht="15.75" customHeight="1" s="14">
      <c r="A186" t="inlineStr">
        <is>
          <t>I-0185</t>
        </is>
      </c>
      <c r="B186" s="5" t="n"/>
      <c r="C186" s="5" t="n"/>
      <c r="M186" s="5" t="n"/>
    </row>
    <row r="187" ht="15.75" customHeight="1" s="14">
      <c r="A187" t="inlineStr">
        <is>
          <t>I-0186</t>
        </is>
      </c>
      <c r="B187" s="5" t="n"/>
      <c r="C187" s="5" t="n"/>
      <c r="M187" s="5" t="n"/>
    </row>
    <row r="188" ht="15.75" customHeight="1" s="14">
      <c r="A188" t="inlineStr">
        <is>
          <t>I-0187</t>
        </is>
      </c>
      <c r="B188" s="5" t="n"/>
      <c r="C188" s="5" t="n"/>
      <c r="M188" s="5" t="n"/>
    </row>
    <row r="189" ht="15.75" customHeight="1" s="14">
      <c r="A189" t="inlineStr">
        <is>
          <t>I-0188</t>
        </is>
      </c>
      <c r="B189" s="5" t="n"/>
      <c r="C189" s="5" t="n"/>
      <c r="M189" s="5" t="n"/>
    </row>
    <row r="190" ht="15.75" customHeight="1" s="14">
      <c r="A190" t="inlineStr">
        <is>
          <t>I-0189</t>
        </is>
      </c>
      <c r="B190" s="5" t="n"/>
      <c r="C190" s="5" t="n"/>
      <c r="M190" s="5" t="n"/>
    </row>
    <row r="191" ht="15.75" customHeight="1" s="14">
      <c r="A191" t="inlineStr">
        <is>
          <t>I-0190</t>
        </is>
      </c>
      <c r="B191" s="5" t="n"/>
      <c r="C191" s="5" t="n"/>
      <c r="M191" s="5" t="n"/>
    </row>
    <row r="192" ht="15.75" customHeight="1" s="14">
      <c r="A192" t="inlineStr">
        <is>
          <t>I-0191</t>
        </is>
      </c>
      <c r="B192" s="5" t="n"/>
      <c r="C192" s="5" t="n"/>
      <c r="M192" s="5" t="n"/>
    </row>
    <row r="193" ht="15.75" customHeight="1" s="14">
      <c r="A193" t="inlineStr">
        <is>
          <t>I-0192</t>
        </is>
      </c>
      <c r="B193" s="5" t="n"/>
      <c r="C193" s="5" t="n"/>
      <c r="M193" s="5" t="n"/>
    </row>
    <row r="194" ht="15.75" customHeight="1" s="14">
      <c r="A194" t="inlineStr">
        <is>
          <t>I-0193</t>
        </is>
      </c>
      <c r="B194" s="5" t="n"/>
      <c r="C194" s="5" t="n"/>
      <c r="M194" s="5" t="n"/>
    </row>
    <row r="195" ht="15.75" customHeight="1" s="14">
      <c r="A195" t="inlineStr">
        <is>
          <t>I-0194</t>
        </is>
      </c>
      <c r="B195" s="5" t="n"/>
      <c r="C195" s="5" t="n"/>
      <c r="M195" s="5" t="n"/>
    </row>
    <row r="196" ht="15.75" customHeight="1" s="14">
      <c r="A196" t="inlineStr">
        <is>
          <t>I-0195</t>
        </is>
      </c>
      <c r="B196" s="5" t="n"/>
      <c r="C196" s="5" t="n"/>
      <c r="M196" s="5" t="n"/>
    </row>
    <row r="197" ht="15.75" customHeight="1" s="14">
      <c r="A197" t="inlineStr">
        <is>
          <t>I-0196</t>
        </is>
      </c>
      <c r="B197" s="5" t="n"/>
      <c r="C197" s="5" t="n"/>
      <c r="M197" s="5" t="n"/>
    </row>
    <row r="198" ht="15.75" customHeight="1" s="14">
      <c r="A198" t="inlineStr">
        <is>
          <t>I-0197</t>
        </is>
      </c>
      <c r="B198" s="5" t="n"/>
      <c r="C198" s="5" t="n"/>
      <c r="M198" s="5" t="n"/>
    </row>
    <row r="199" ht="15.75" customHeight="1" s="14">
      <c r="A199" t="inlineStr">
        <is>
          <t>I-0198</t>
        </is>
      </c>
      <c r="B199" s="5" t="n"/>
      <c r="C199" s="5" t="n"/>
      <c r="M199" s="5" t="n"/>
    </row>
    <row r="200" ht="15.75" customHeight="1" s="14">
      <c r="A200" t="inlineStr">
        <is>
          <t>I-0199</t>
        </is>
      </c>
      <c r="B200" s="5" t="n"/>
      <c r="C200" s="5" t="n"/>
      <c r="M200" s="5" t="n"/>
    </row>
    <row r="201" ht="15.75" customHeight="1" s="14">
      <c r="A201" t="inlineStr">
        <is>
          <t>I-0200</t>
        </is>
      </c>
      <c r="B201" s="5" t="n"/>
      <c r="C201" s="5" t="n"/>
      <c r="M201" s="5" t="n"/>
    </row>
    <row r="202" ht="15.75" customHeight="1" s="14">
      <c r="A202" t="inlineStr">
        <is>
          <t>I-0201</t>
        </is>
      </c>
      <c r="B202" s="5" t="n"/>
      <c r="C202" s="5" t="n"/>
      <c r="M202" s="5" t="n"/>
    </row>
    <row r="203" ht="15.75" customHeight="1" s="14">
      <c r="A203" t="inlineStr">
        <is>
          <t>I-0202</t>
        </is>
      </c>
      <c r="B203" s="5" t="n"/>
      <c r="C203" s="5" t="n"/>
      <c r="M203" s="5" t="n"/>
    </row>
    <row r="204" ht="15.75" customHeight="1" s="14">
      <c r="A204" t="inlineStr">
        <is>
          <t>I-0203</t>
        </is>
      </c>
      <c r="B204" s="5" t="n"/>
      <c r="C204" s="5" t="n"/>
      <c r="M204" s="5" t="n"/>
    </row>
    <row r="205" ht="15.75" customHeight="1" s="14">
      <c r="A205" t="inlineStr">
        <is>
          <t>I-0204</t>
        </is>
      </c>
      <c r="B205" s="5" t="n"/>
      <c r="C205" s="5" t="n"/>
      <c r="M205" s="5" t="n"/>
    </row>
    <row r="206" ht="15.75" customHeight="1" s="14">
      <c r="A206" t="inlineStr">
        <is>
          <t>I-0205</t>
        </is>
      </c>
      <c r="B206" s="5" t="n"/>
      <c r="C206" s="5" t="n"/>
      <c r="M206" s="5" t="n"/>
    </row>
    <row r="207" ht="15.75" customHeight="1" s="14">
      <c r="A207" t="inlineStr">
        <is>
          <t>I-0206</t>
        </is>
      </c>
      <c r="B207" s="5" t="n"/>
      <c r="C207" s="5" t="n"/>
      <c r="M207" s="5" t="n"/>
    </row>
    <row r="208" ht="15.75" customHeight="1" s="14">
      <c r="A208" t="inlineStr">
        <is>
          <t>I-0207</t>
        </is>
      </c>
      <c r="B208" s="5" t="n"/>
      <c r="C208" s="5" t="n"/>
      <c r="M208" s="5" t="n"/>
    </row>
    <row r="209" ht="15.75" customHeight="1" s="14">
      <c r="A209" t="inlineStr">
        <is>
          <t>I-0208</t>
        </is>
      </c>
      <c r="B209" s="5" t="n"/>
      <c r="C209" s="5" t="n"/>
      <c r="M209" s="5" t="n"/>
    </row>
    <row r="210" ht="15.75" customHeight="1" s="14">
      <c r="A210" t="inlineStr">
        <is>
          <t>I-0209</t>
        </is>
      </c>
      <c r="B210" s="5" t="n"/>
      <c r="C210" s="5" t="n"/>
      <c r="M210" s="5" t="n"/>
    </row>
    <row r="211" ht="15.75" customHeight="1" s="14">
      <c r="A211" t="inlineStr">
        <is>
          <t>I-0210</t>
        </is>
      </c>
      <c r="B211" s="5" t="n"/>
      <c r="C211" s="5" t="n"/>
      <c r="M211" s="5" t="n"/>
    </row>
    <row r="212" ht="15.75" customHeight="1" s="14">
      <c r="A212" t="inlineStr">
        <is>
          <t>I-0211</t>
        </is>
      </c>
      <c r="B212" s="5" t="n"/>
      <c r="C212" s="5" t="n"/>
      <c r="M212" s="5" t="n"/>
    </row>
    <row r="213" ht="15.75" customHeight="1" s="14">
      <c r="A213" t="inlineStr">
        <is>
          <t>I-0212</t>
        </is>
      </c>
      <c r="B213" s="5" t="n"/>
      <c r="C213" s="5" t="n"/>
      <c r="M213" s="5" t="n"/>
    </row>
    <row r="214" ht="15.75" customHeight="1" s="14">
      <c r="A214" t="inlineStr">
        <is>
          <t>I-0213</t>
        </is>
      </c>
      <c r="B214" s="5" t="n"/>
      <c r="C214" s="5" t="n"/>
      <c r="M214" s="5" t="n"/>
    </row>
    <row r="215" ht="15.75" customHeight="1" s="14">
      <c r="A215" t="inlineStr">
        <is>
          <t>I-0214</t>
        </is>
      </c>
      <c r="B215" s="5" t="n"/>
      <c r="C215" s="5" t="n"/>
      <c r="M215" s="5" t="n"/>
    </row>
    <row r="216" ht="15.75" customHeight="1" s="14">
      <c r="A216" t="inlineStr">
        <is>
          <t>I-0215</t>
        </is>
      </c>
      <c r="B216" s="5" t="n"/>
      <c r="C216" s="5" t="n"/>
      <c r="M216" s="5" t="n"/>
    </row>
    <row r="217" ht="15.75" customHeight="1" s="14">
      <c r="A217" t="inlineStr">
        <is>
          <t>I-0216</t>
        </is>
      </c>
      <c r="B217" s="5" t="n"/>
      <c r="C217" s="5" t="n"/>
      <c r="M217" s="5" t="n"/>
    </row>
    <row r="218" ht="15.75" customHeight="1" s="14">
      <c r="A218" t="inlineStr">
        <is>
          <t>I-0217</t>
        </is>
      </c>
      <c r="B218" s="5" t="n"/>
      <c r="C218" s="5" t="n"/>
      <c r="M218" s="5" t="n"/>
    </row>
    <row r="219" ht="15.75" customHeight="1" s="14">
      <c r="A219" t="inlineStr">
        <is>
          <t>I-0218</t>
        </is>
      </c>
      <c r="B219" s="5" t="n"/>
      <c r="C219" s="5" t="n"/>
      <c r="M219" s="5" t="n"/>
    </row>
    <row r="220" ht="15.75" customHeight="1" s="14">
      <c r="A220" t="inlineStr">
        <is>
          <t>I-0219</t>
        </is>
      </c>
      <c r="B220" s="5" t="n"/>
      <c r="C220" s="5" t="n"/>
      <c r="M220" s="5" t="n"/>
    </row>
    <row r="221" ht="15.75" customHeight="1" s="14">
      <c r="A221" t="inlineStr">
        <is>
          <t>I-0220</t>
        </is>
      </c>
      <c r="B221" s="5" t="n"/>
      <c r="C221" s="5" t="n"/>
      <c r="M221" s="5" t="n"/>
    </row>
    <row r="222" ht="15.75" customHeight="1" s="14">
      <c r="A222" t="inlineStr">
        <is>
          <t>I-0221</t>
        </is>
      </c>
      <c r="B222" s="5" t="n"/>
      <c r="C222" s="5" t="n"/>
      <c r="M222" s="5" t="n"/>
    </row>
    <row r="223" ht="15.75" customHeight="1" s="14">
      <c r="A223" t="inlineStr">
        <is>
          <t>I-0222</t>
        </is>
      </c>
      <c r="B223" s="5" t="n"/>
      <c r="C223" s="5" t="n"/>
      <c r="M223" s="5" t="n"/>
    </row>
    <row r="224" ht="15.75" customHeight="1" s="14">
      <c r="A224" t="inlineStr">
        <is>
          <t>I-0223</t>
        </is>
      </c>
      <c r="B224" s="5" t="n"/>
      <c r="C224" s="5" t="n"/>
      <c r="M224" s="5" t="n"/>
    </row>
    <row r="225" ht="15.75" customHeight="1" s="14">
      <c r="A225" t="inlineStr">
        <is>
          <t>I-0224</t>
        </is>
      </c>
      <c r="B225" s="5" t="n"/>
      <c r="C225" s="5" t="n"/>
      <c r="M225" s="5" t="n"/>
    </row>
    <row r="226" ht="15.75" customHeight="1" s="14">
      <c r="A226" t="inlineStr">
        <is>
          <t>I-0225</t>
        </is>
      </c>
      <c r="B226" s="5" t="n"/>
      <c r="C226" s="5" t="n"/>
      <c r="M226" s="5" t="n"/>
    </row>
    <row r="227" ht="15.75" customHeight="1" s="14">
      <c r="A227" t="inlineStr">
        <is>
          <t>I-0226</t>
        </is>
      </c>
      <c r="B227" s="5" t="n"/>
      <c r="C227" s="5" t="n"/>
      <c r="M227" s="5" t="n"/>
    </row>
    <row r="228" ht="15.75" customHeight="1" s="14">
      <c r="A228" t="inlineStr">
        <is>
          <t>I-0227</t>
        </is>
      </c>
      <c r="B228" s="5" t="n"/>
      <c r="C228" s="5" t="n"/>
      <c r="M228" s="5" t="n"/>
    </row>
    <row r="229" ht="15.75" customHeight="1" s="14">
      <c r="A229" t="inlineStr">
        <is>
          <t>I-0228</t>
        </is>
      </c>
      <c r="B229" s="5" t="n"/>
      <c r="C229" s="5" t="n"/>
      <c r="M229" s="5" t="n"/>
    </row>
    <row r="230" ht="15.75" customHeight="1" s="14">
      <c r="A230" t="inlineStr">
        <is>
          <t>I-0229</t>
        </is>
      </c>
      <c r="B230" s="5" t="n"/>
      <c r="C230" s="5" t="n"/>
      <c r="M230" s="5" t="n"/>
    </row>
    <row r="231" ht="15.75" customHeight="1" s="14">
      <c r="A231" t="inlineStr">
        <is>
          <t>I-0230</t>
        </is>
      </c>
      <c r="B231" s="5" t="n"/>
      <c r="C231" s="5" t="n"/>
      <c r="M231" s="5" t="n"/>
    </row>
    <row r="232" ht="15.75" customHeight="1" s="14">
      <c r="A232" t="inlineStr">
        <is>
          <t>I-0231</t>
        </is>
      </c>
      <c r="B232" s="5" t="n"/>
      <c r="C232" s="5" t="n"/>
      <c r="M232" s="5" t="n"/>
    </row>
    <row r="233" ht="15.75" customHeight="1" s="14">
      <c r="A233" t="inlineStr">
        <is>
          <t>I-0232</t>
        </is>
      </c>
      <c r="B233" s="5" t="n"/>
      <c r="C233" s="5" t="n"/>
      <c r="M233" s="5" t="n"/>
    </row>
    <row r="234" ht="15.75" customHeight="1" s="14">
      <c r="A234" t="inlineStr">
        <is>
          <t>I-0233</t>
        </is>
      </c>
      <c r="B234" s="5" t="n"/>
      <c r="C234" s="5" t="n"/>
      <c r="M234" s="5" t="n"/>
    </row>
    <row r="235" ht="15.75" customHeight="1" s="14">
      <c r="A235" t="inlineStr">
        <is>
          <t>I-0234</t>
        </is>
      </c>
      <c r="B235" s="5" t="n"/>
      <c r="C235" s="5" t="n"/>
      <c r="M235" s="5" t="n"/>
    </row>
    <row r="236" ht="15.75" customHeight="1" s="14">
      <c r="A236" t="inlineStr">
        <is>
          <t>I-0235</t>
        </is>
      </c>
      <c r="B236" s="5" t="n"/>
      <c r="C236" s="5" t="n"/>
      <c r="M236" s="5" t="n"/>
    </row>
    <row r="237" ht="15.75" customHeight="1" s="14">
      <c r="A237" t="inlineStr">
        <is>
          <t>I-0236</t>
        </is>
      </c>
      <c r="B237" s="5" t="n"/>
      <c r="C237" s="5" t="n"/>
      <c r="M237" s="5" t="n"/>
    </row>
    <row r="238" ht="15.75" customHeight="1" s="14">
      <c r="A238" t="inlineStr">
        <is>
          <t>I-0237</t>
        </is>
      </c>
      <c r="B238" s="5" t="n"/>
      <c r="C238" s="5" t="n"/>
      <c r="M238" s="5" t="n"/>
    </row>
    <row r="239" ht="15.75" customHeight="1" s="14">
      <c r="A239" t="inlineStr">
        <is>
          <t>I-0238</t>
        </is>
      </c>
      <c r="B239" s="5" t="n"/>
      <c r="C239" s="5" t="n"/>
      <c r="M239" s="5" t="n"/>
    </row>
    <row r="240" ht="15.75" customHeight="1" s="14">
      <c r="A240" t="inlineStr">
        <is>
          <t>I-0239</t>
        </is>
      </c>
      <c r="B240" s="5" t="n"/>
      <c r="C240" s="5" t="n"/>
      <c r="M240" s="5" t="n"/>
    </row>
    <row r="241" ht="15.75" customHeight="1" s="14">
      <c r="A241" t="inlineStr">
        <is>
          <t>I-0240</t>
        </is>
      </c>
      <c r="B241" s="5" t="n"/>
      <c r="C241" s="5" t="n"/>
      <c r="M241" s="5" t="n"/>
    </row>
    <row r="242" ht="15.75" customHeight="1" s="14">
      <c r="A242" t="inlineStr">
        <is>
          <t>I-0241</t>
        </is>
      </c>
      <c r="B242" s="5" t="n"/>
      <c r="C242" s="5" t="n"/>
      <c r="M242" s="5" t="n"/>
    </row>
    <row r="243" ht="15.75" customHeight="1" s="14">
      <c r="A243" t="inlineStr">
        <is>
          <t>I-0242</t>
        </is>
      </c>
      <c r="B243" s="5" t="n"/>
      <c r="C243" s="5" t="n"/>
      <c r="M243" s="5" t="n"/>
    </row>
    <row r="244" ht="15.75" customHeight="1" s="14">
      <c r="A244" t="inlineStr">
        <is>
          <t>I-0243</t>
        </is>
      </c>
      <c r="B244" s="5" t="n"/>
      <c r="C244" s="5" t="n"/>
      <c r="M244" s="5" t="n"/>
    </row>
    <row r="245" ht="15.75" customHeight="1" s="14">
      <c r="A245" t="inlineStr">
        <is>
          <t>I-0244</t>
        </is>
      </c>
      <c r="B245" s="5" t="n"/>
      <c r="C245" s="5" t="n"/>
      <c r="M245" s="5" t="n"/>
    </row>
    <row r="246" ht="15.75" customHeight="1" s="14">
      <c r="A246" t="inlineStr">
        <is>
          <t>I-0245</t>
        </is>
      </c>
      <c r="B246" s="5" t="n"/>
      <c r="C246" s="5" t="n"/>
      <c r="M246" s="5" t="n"/>
    </row>
    <row r="247" ht="15.75" customHeight="1" s="14">
      <c r="A247" t="inlineStr">
        <is>
          <t>I-0246</t>
        </is>
      </c>
      <c r="B247" s="5" t="n"/>
      <c r="C247" s="5" t="n"/>
      <c r="M247" s="5" t="n"/>
    </row>
    <row r="248" ht="15.75" customHeight="1" s="14">
      <c r="A248" t="inlineStr">
        <is>
          <t>I-0247</t>
        </is>
      </c>
      <c r="B248" s="5" t="n"/>
      <c r="C248" s="5" t="n"/>
      <c r="M248" s="5" t="n"/>
    </row>
    <row r="249" ht="15.75" customHeight="1" s="14">
      <c r="A249" t="inlineStr">
        <is>
          <t>I-0248</t>
        </is>
      </c>
      <c r="B249" s="5" t="n"/>
      <c r="C249" s="5" t="n"/>
      <c r="M249" s="5" t="n"/>
    </row>
    <row r="250" ht="15.75" customHeight="1" s="14">
      <c r="A250" t="inlineStr">
        <is>
          <t>I-0249</t>
        </is>
      </c>
      <c r="B250" s="5" t="n"/>
      <c r="C250" s="5" t="n"/>
      <c r="M250" s="5" t="n"/>
    </row>
    <row r="251" ht="15.75" customHeight="1" s="14">
      <c r="A251" t="inlineStr">
        <is>
          <t>I-0250</t>
        </is>
      </c>
      <c r="B251" s="5" t="n"/>
      <c r="C251" s="5" t="n"/>
      <c r="M251" s="5" t="n"/>
    </row>
    <row r="252" ht="15.75" customHeight="1" s="14">
      <c r="A252" t="inlineStr">
        <is>
          <t>I-0251</t>
        </is>
      </c>
      <c r="B252" s="5" t="n"/>
      <c r="C252" s="5" t="n"/>
      <c r="M252" s="5" t="n"/>
    </row>
    <row r="253" ht="15.75" customHeight="1" s="14">
      <c r="A253" t="inlineStr">
        <is>
          <t>I-0252</t>
        </is>
      </c>
      <c r="B253" s="5" t="n"/>
      <c r="C253" s="5" t="n"/>
      <c r="M253" s="5" t="n"/>
    </row>
    <row r="254" ht="15.75" customHeight="1" s="14">
      <c r="A254" t="inlineStr">
        <is>
          <t>I-0253</t>
        </is>
      </c>
      <c r="B254" s="5" t="n"/>
      <c r="C254" s="5" t="n"/>
      <c r="M254" s="5" t="n"/>
    </row>
    <row r="255" ht="15.75" customHeight="1" s="14">
      <c r="A255" t="inlineStr">
        <is>
          <t>I-0254</t>
        </is>
      </c>
      <c r="B255" s="5" t="n"/>
      <c r="C255" s="5" t="n"/>
      <c r="M255" s="5" t="n"/>
    </row>
    <row r="256" ht="15.75" customHeight="1" s="14">
      <c r="A256" t="inlineStr">
        <is>
          <t>I-0255</t>
        </is>
      </c>
      <c r="B256" s="5" t="n"/>
      <c r="C256" s="5" t="n"/>
      <c r="M256" s="5" t="n"/>
    </row>
    <row r="257" ht="15.75" customHeight="1" s="14">
      <c r="A257" t="inlineStr">
        <is>
          <t>I-0256</t>
        </is>
      </c>
      <c r="B257" s="5" t="n"/>
      <c r="C257" s="5" t="n"/>
      <c r="M257" s="5" t="n"/>
    </row>
    <row r="258" ht="15.75" customHeight="1" s="14">
      <c r="A258" t="inlineStr">
        <is>
          <t>I-0257</t>
        </is>
      </c>
      <c r="B258" s="5" t="n"/>
      <c r="C258" s="5" t="n"/>
      <c r="M258" s="5" t="n"/>
    </row>
    <row r="259" ht="15.75" customHeight="1" s="14">
      <c r="A259" t="inlineStr">
        <is>
          <t>I-0258</t>
        </is>
      </c>
      <c r="B259" s="5" t="n"/>
      <c r="C259" s="5" t="n"/>
      <c r="M259" s="5" t="n"/>
    </row>
    <row r="260" ht="15.75" customHeight="1" s="14">
      <c r="A260" t="inlineStr">
        <is>
          <t>I-0259</t>
        </is>
      </c>
      <c r="B260" s="5" t="n"/>
      <c r="C260" s="5" t="n"/>
      <c r="M260" s="5" t="n"/>
    </row>
    <row r="261" ht="15.75" customHeight="1" s="14">
      <c r="A261" t="inlineStr">
        <is>
          <t>I-0260</t>
        </is>
      </c>
      <c r="B261" s="5" t="n"/>
      <c r="C261" s="5" t="n"/>
      <c r="M261" s="5" t="n"/>
    </row>
    <row r="262" ht="15.75" customHeight="1" s="14">
      <c r="A262" t="inlineStr">
        <is>
          <t>I-0261</t>
        </is>
      </c>
      <c r="B262" s="5" t="n"/>
      <c r="C262" s="5" t="n"/>
      <c r="M262" s="5" t="n"/>
    </row>
    <row r="263" ht="15.75" customHeight="1" s="14">
      <c r="A263" t="inlineStr">
        <is>
          <t>I-0262</t>
        </is>
      </c>
      <c r="B263" s="5" t="n"/>
      <c r="C263" s="5" t="n"/>
      <c r="M263" s="5" t="n"/>
    </row>
    <row r="264" ht="15.75" customHeight="1" s="14">
      <c r="A264" t="inlineStr">
        <is>
          <t>I-0263</t>
        </is>
      </c>
      <c r="B264" s="5" t="n"/>
      <c r="C264" s="5" t="n"/>
      <c r="M264" s="5" t="n"/>
    </row>
    <row r="265" ht="15.75" customHeight="1" s="14">
      <c r="A265" t="inlineStr">
        <is>
          <t>I-0264</t>
        </is>
      </c>
      <c r="B265" s="5" t="n"/>
      <c r="C265" s="5" t="n"/>
      <c r="M265" s="5" t="n"/>
    </row>
    <row r="266" ht="15.75" customHeight="1" s="14">
      <c r="A266" t="inlineStr">
        <is>
          <t>I-0265</t>
        </is>
      </c>
      <c r="B266" s="5" t="n"/>
      <c r="C266" s="5" t="n"/>
      <c r="M266" s="5" t="n"/>
    </row>
    <row r="267" ht="15.75" customHeight="1" s="14">
      <c r="A267" t="inlineStr">
        <is>
          <t>I-0266</t>
        </is>
      </c>
      <c r="B267" s="5" t="n"/>
      <c r="C267" s="5" t="n"/>
      <c r="M267" s="5" t="n"/>
    </row>
    <row r="268" ht="15.75" customHeight="1" s="14">
      <c r="A268" t="inlineStr">
        <is>
          <t>I-0267</t>
        </is>
      </c>
      <c r="B268" s="5" t="n"/>
      <c r="C268" s="5" t="n"/>
      <c r="M268" s="5" t="n"/>
    </row>
    <row r="269" ht="15.75" customHeight="1" s="14">
      <c r="A269" t="inlineStr">
        <is>
          <t>I-0268</t>
        </is>
      </c>
      <c r="B269" s="5" t="n"/>
      <c r="C269" s="5" t="n"/>
      <c r="M269" s="5" t="n"/>
    </row>
    <row r="270" ht="15.75" customHeight="1" s="14">
      <c r="A270" t="inlineStr">
        <is>
          <t>I-0269</t>
        </is>
      </c>
      <c r="B270" s="5" t="n"/>
      <c r="C270" s="5" t="n"/>
      <c r="M270" s="5" t="n"/>
    </row>
    <row r="271" ht="15.75" customHeight="1" s="14">
      <c r="A271" t="inlineStr">
        <is>
          <t>I-0270</t>
        </is>
      </c>
      <c r="B271" s="5" t="n"/>
      <c r="C271" s="5" t="n"/>
      <c r="M271" s="5" t="n"/>
    </row>
    <row r="272" ht="15.75" customHeight="1" s="14">
      <c r="A272" t="inlineStr">
        <is>
          <t>I-0271</t>
        </is>
      </c>
      <c r="B272" s="5" t="n"/>
      <c r="C272" s="5" t="n"/>
      <c r="M272" s="5" t="n"/>
    </row>
    <row r="273" ht="15.75" customHeight="1" s="14">
      <c r="A273" t="inlineStr">
        <is>
          <t>I-0272</t>
        </is>
      </c>
      <c r="B273" s="5" t="n"/>
      <c r="C273" s="5" t="n"/>
      <c r="M273" s="5" t="n"/>
    </row>
    <row r="274" ht="15.75" customHeight="1" s="14">
      <c r="A274" t="inlineStr">
        <is>
          <t>I-0273</t>
        </is>
      </c>
      <c r="B274" s="5" t="n"/>
      <c r="C274" s="5" t="n"/>
      <c r="M274" s="5" t="n"/>
    </row>
    <row r="275" ht="15.75" customHeight="1" s="14">
      <c r="A275" t="inlineStr">
        <is>
          <t>I-0274</t>
        </is>
      </c>
      <c r="B275" s="5" t="n"/>
      <c r="C275" s="5" t="n"/>
      <c r="M275" s="5" t="n"/>
    </row>
    <row r="276" ht="15.75" customHeight="1" s="14">
      <c r="A276" t="inlineStr">
        <is>
          <t>I-0275</t>
        </is>
      </c>
      <c r="B276" s="5" t="n"/>
      <c r="C276" s="5" t="n"/>
      <c r="M276" s="5" t="n"/>
    </row>
    <row r="277" ht="15.75" customHeight="1" s="14">
      <c r="A277" t="inlineStr">
        <is>
          <t>I-0276</t>
        </is>
      </c>
      <c r="B277" s="5" t="n"/>
      <c r="C277" s="5" t="n"/>
      <c r="M277" s="5" t="n"/>
    </row>
    <row r="278" ht="15.75" customHeight="1" s="14">
      <c r="A278" t="inlineStr">
        <is>
          <t>I-0277</t>
        </is>
      </c>
      <c r="B278" s="5" t="n"/>
      <c r="C278" s="5" t="n"/>
      <c r="M278" s="5" t="n"/>
    </row>
    <row r="279" ht="15.75" customHeight="1" s="14">
      <c r="A279" t="inlineStr">
        <is>
          <t>I-0278</t>
        </is>
      </c>
      <c r="B279" s="5" t="n"/>
      <c r="C279" s="5" t="n"/>
      <c r="M279" s="5" t="n"/>
    </row>
    <row r="280" ht="15.75" customHeight="1" s="14">
      <c r="A280" t="inlineStr">
        <is>
          <t>I-0279</t>
        </is>
      </c>
      <c r="B280" s="5" t="n"/>
      <c r="C280" s="5" t="n"/>
      <c r="M280" s="5" t="n"/>
    </row>
    <row r="281" ht="15.75" customHeight="1" s="14">
      <c r="A281" t="inlineStr">
        <is>
          <t>I-0280</t>
        </is>
      </c>
      <c r="B281" s="5" t="n"/>
      <c r="C281" s="5" t="n"/>
      <c r="M281" s="5" t="n"/>
    </row>
    <row r="282" ht="15.75" customHeight="1" s="14">
      <c r="A282" t="inlineStr">
        <is>
          <t>I-0281</t>
        </is>
      </c>
      <c r="B282" s="5" t="n"/>
      <c r="C282" s="5" t="n"/>
      <c r="M282" s="5" t="n"/>
    </row>
    <row r="283" ht="15.75" customHeight="1" s="14">
      <c r="A283" t="inlineStr">
        <is>
          <t>I-0282</t>
        </is>
      </c>
      <c r="B283" s="5" t="n"/>
      <c r="C283" s="5" t="n"/>
      <c r="M283" s="5" t="n"/>
    </row>
    <row r="284" ht="15.75" customHeight="1" s="14">
      <c r="A284" t="inlineStr">
        <is>
          <t>I-0283</t>
        </is>
      </c>
      <c r="B284" s="5" t="n"/>
      <c r="C284" s="5" t="n"/>
      <c r="M284" s="5" t="n"/>
    </row>
    <row r="285" ht="15.75" customHeight="1" s="14">
      <c r="A285" t="inlineStr">
        <is>
          <t>I-0284</t>
        </is>
      </c>
      <c r="B285" s="5" t="n"/>
      <c r="C285" s="5" t="n"/>
      <c r="M285" s="5" t="n"/>
    </row>
    <row r="286" ht="15.75" customHeight="1" s="14">
      <c r="A286" t="inlineStr">
        <is>
          <t>I-0285</t>
        </is>
      </c>
      <c r="B286" s="5" t="n"/>
      <c r="C286" s="5" t="n"/>
      <c r="M286" s="5" t="n"/>
    </row>
    <row r="287" ht="15.75" customHeight="1" s="14">
      <c r="A287" t="inlineStr">
        <is>
          <t>I-0286</t>
        </is>
      </c>
      <c r="B287" s="5" t="n"/>
      <c r="C287" s="5" t="n"/>
      <c r="M287" s="5" t="n"/>
    </row>
    <row r="288" ht="15.75" customHeight="1" s="14">
      <c r="A288" t="inlineStr">
        <is>
          <t>I-0287</t>
        </is>
      </c>
      <c r="B288" s="5" t="n"/>
      <c r="C288" s="5" t="n"/>
      <c r="M288" s="5" t="n"/>
    </row>
    <row r="289" ht="15.75" customHeight="1" s="14">
      <c r="A289" t="inlineStr">
        <is>
          <t>I-0288</t>
        </is>
      </c>
      <c r="B289" s="5" t="n"/>
      <c r="C289" s="5" t="n"/>
      <c r="M289" s="5" t="n"/>
    </row>
    <row r="290" ht="15.75" customHeight="1" s="14">
      <c r="A290" t="inlineStr">
        <is>
          <t>I-0289</t>
        </is>
      </c>
      <c r="B290" s="5" t="n"/>
      <c r="C290" s="5" t="n"/>
      <c r="M290" s="5" t="n"/>
    </row>
    <row r="291" ht="15.75" customHeight="1" s="14">
      <c r="A291" t="inlineStr">
        <is>
          <t>I-0290</t>
        </is>
      </c>
      <c r="B291" s="5" t="n"/>
      <c r="C291" s="5" t="n"/>
      <c r="M291" s="5" t="n"/>
    </row>
    <row r="292" ht="15.75" customHeight="1" s="14">
      <c r="A292" t="inlineStr">
        <is>
          <t>I-0291</t>
        </is>
      </c>
      <c r="B292" s="5" t="n"/>
      <c r="C292" s="5" t="n"/>
      <c r="M292" s="5" t="n"/>
    </row>
    <row r="293" ht="15.75" customHeight="1" s="14">
      <c r="A293" t="inlineStr">
        <is>
          <t>I-0292</t>
        </is>
      </c>
      <c r="B293" s="5" t="n"/>
      <c r="C293" s="5" t="n"/>
      <c r="M293" s="5" t="n"/>
    </row>
    <row r="294" ht="15.75" customHeight="1" s="14">
      <c r="A294" t="inlineStr">
        <is>
          <t>I-0293</t>
        </is>
      </c>
      <c r="B294" s="5" t="n"/>
      <c r="C294" s="5" t="n"/>
      <c r="M294" s="5" t="n"/>
    </row>
    <row r="295" ht="15.75" customHeight="1" s="14">
      <c r="A295" t="inlineStr">
        <is>
          <t>I-0294</t>
        </is>
      </c>
      <c r="B295" s="5" t="n"/>
      <c r="C295" s="5" t="n"/>
      <c r="M295" s="5" t="n"/>
    </row>
    <row r="296" ht="15.75" customHeight="1" s="14">
      <c r="A296" t="inlineStr">
        <is>
          <t>I-0295</t>
        </is>
      </c>
      <c r="B296" s="5" t="n"/>
      <c r="C296" s="5" t="n"/>
      <c r="M296" s="5" t="n"/>
    </row>
    <row r="297" ht="15.75" customHeight="1" s="14">
      <c r="A297" t="inlineStr">
        <is>
          <t>I-0296</t>
        </is>
      </c>
      <c r="B297" s="5" t="n"/>
      <c r="C297" s="5" t="n"/>
      <c r="M297" s="5" t="n"/>
    </row>
    <row r="298" ht="15.75" customHeight="1" s="14">
      <c r="A298" t="inlineStr">
        <is>
          <t>I-0297</t>
        </is>
      </c>
      <c r="B298" s="5" t="n"/>
      <c r="C298" s="5" t="n"/>
      <c r="M298" s="5" t="n"/>
    </row>
    <row r="299" ht="15.75" customHeight="1" s="14">
      <c r="A299" t="inlineStr">
        <is>
          <t>I-0298</t>
        </is>
      </c>
      <c r="B299" s="5" t="n"/>
      <c r="C299" s="5" t="n"/>
      <c r="M299" s="5" t="n"/>
    </row>
    <row r="300" ht="15.75" customHeight="1" s="14">
      <c r="A300" t="inlineStr">
        <is>
          <t>I-0299</t>
        </is>
      </c>
      <c r="B300" s="5" t="n"/>
      <c r="C300" s="5" t="n"/>
      <c r="M300" s="5" t="n"/>
    </row>
    <row r="301" ht="15.75" customHeight="1" s="14">
      <c r="A301" t="inlineStr">
        <is>
          <t>I-0300</t>
        </is>
      </c>
      <c r="B301" s="5" t="n"/>
      <c r="C301" s="5" t="n"/>
      <c r="M301" s="5" t="n"/>
    </row>
    <row r="302" ht="15.75" customHeight="1" s="14">
      <c r="A302" t="inlineStr">
        <is>
          <t>I-0301</t>
        </is>
      </c>
      <c r="B302" s="5" t="n"/>
      <c r="C302" s="5" t="n"/>
      <c r="M302" s="5" t="n"/>
    </row>
    <row r="303" ht="15.75" customHeight="1" s="14">
      <c r="A303" t="inlineStr">
        <is>
          <t>I-0302</t>
        </is>
      </c>
      <c r="B303" s="5" t="n"/>
      <c r="C303" s="5" t="n"/>
      <c r="M303" s="5" t="n"/>
    </row>
    <row r="304" ht="15.75" customHeight="1" s="14">
      <c r="A304" t="inlineStr">
        <is>
          <t>I-0303</t>
        </is>
      </c>
      <c r="B304" s="5" t="n"/>
      <c r="C304" s="5" t="n"/>
      <c r="M304" s="5" t="n"/>
    </row>
    <row r="305" ht="15.75" customHeight="1" s="14">
      <c r="A305" t="inlineStr">
        <is>
          <t>I-0304</t>
        </is>
      </c>
      <c r="B305" s="5" t="n"/>
      <c r="C305" s="5" t="n"/>
      <c r="M305" s="5" t="n"/>
    </row>
    <row r="306" ht="15.75" customHeight="1" s="14">
      <c r="A306" t="inlineStr">
        <is>
          <t>I-0305</t>
        </is>
      </c>
      <c r="B306" s="5" t="n"/>
      <c r="C306" s="5" t="n"/>
      <c r="M306" s="5" t="n"/>
    </row>
    <row r="307" ht="15.75" customHeight="1" s="14">
      <c r="A307" t="inlineStr">
        <is>
          <t>I-0306</t>
        </is>
      </c>
      <c r="B307" s="5" t="n"/>
      <c r="C307" s="5" t="n"/>
      <c r="M307" s="5" t="n"/>
    </row>
    <row r="308" ht="15.75" customHeight="1" s="14">
      <c r="A308" t="inlineStr">
        <is>
          <t>I-0307</t>
        </is>
      </c>
      <c r="B308" s="5" t="n"/>
      <c r="C308" s="5" t="n"/>
      <c r="M308" s="5" t="n"/>
    </row>
    <row r="309" ht="15.75" customHeight="1" s="14">
      <c r="A309" t="inlineStr">
        <is>
          <t>I-0308</t>
        </is>
      </c>
      <c r="B309" s="5" t="n"/>
      <c r="C309" s="5" t="n"/>
      <c r="M309" s="5" t="n"/>
    </row>
    <row r="310" ht="15.75" customHeight="1" s="14">
      <c r="A310" t="inlineStr">
        <is>
          <t>I-0309</t>
        </is>
      </c>
      <c r="B310" s="5" t="n"/>
      <c r="C310" s="5" t="n"/>
      <c r="M310" s="5" t="n"/>
    </row>
    <row r="311" ht="15.75" customHeight="1" s="14">
      <c r="A311" t="inlineStr">
        <is>
          <t>I-0310</t>
        </is>
      </c>
      <c r="B311" s="5" t="n"/>
      <c r="C311" s="5" t="n"/>
      <c r="M311" s="5" t="n"/>
    </row>
    <row r="312" ht="15.75" customHeight="1" s="14">
      <c r="A312" t="inlineStr">
        <is>
          <t>I-0311</t>
        </is>
      </c>
      <c r="B312" s="5" t="n"/>
      <c r="C312" s="5" t="n"/>
      <c r="M312" s="5" t="n"/>
    </row>
    <row r="313" ht="15.75" customHeight="1" s="14">
      <c r="A313" t="inlineStr">
        <is>
          <t>I-0312</t>
        </is>
      </c>
      <c r="B313" s="5" t="n"/>
      <c r="C313" s="5" t="n"/>
      <c r="M313" s="5" t="n"/>
    </row>
    <row r="314" ht="15.75" customHeight="1" s="14">
      <c r="A314" t="inlineStr">
        <is>
          <t>I-0313</t>
        </is>
      </c>
      <c r="B314" s="5" t="n"/>
      <c r="C314" s="5" t="n"/>
      <c r="M314" s="5" t="n"/>
    </row>
    <row r="315" ht="15.75" customHeight="1" s="14">
      <c r="A315" t="inlineStr">
        <is>
          <t>I-0314</t>
        </is>
      </c>
      <c r="B315" s="5" t="n"/>
      <c r="C315" s="5" t="n"/>
      <c r="M315" s="5" t="n"/>
    </row>
    <row r="316" ht="15.75" customHeight="1" s="14">
      <c r="A316" t="inlineStr">
        <is>
          <t>I-0315</t>
        </is>
      </c>
      <c r="B316" s="5" t="n"/>
      <c r="C316" s="5" t="n"/>
      <c r="M316" s="5" t="n"/>
    </row>
    <row r="317" ht="15.75" customHeight="1" s="14">
      <c r="A317" t="inlineStr">
        <is>
          <t>I-0316</t>
        </is>
      </c>
      <c r="B317" s="5" t="n"/>
      <c r="C317" s="5" t="n"/>
      <c r="M317" s="5" t="n"/>
    </row>
    <row r="318" ht="15.75" customHeight="1" s="14">
      <c r="A318" t="inlineStr">
        <is>
          <t>I-0317</t>
        </is>
      </c>
      <c r="B318" s="5" t="n"/>
      <c r="C318" s="5" t="n"/>
      <c r="M318" s="5" t="n"/>
    </row>
    <row r="319" ht="15.75" customHeight="1" s="14">
      <c r="A319" t="inlineStr">
        <is>
          <t>I-0318</t>
        </is>
      </c>
      <c r="B319" s="5" t="n"/>
      <c r="C319" s="5" t="n"/>
      <c r="M319" s="5" t="n"/>
    </row>
    <row r="320" ht="15.75" customHeight="1" s="14">
      <c r="A320" t="inlineStr">
        <is>
          <t>I-0319</t>
        </is>
      </c>
      <c r="B320" s="5" t="n"/>
      <c r="C320" s="5" t="n"/>
      <c r="M320" s="5" t="n"/>
    </row>
    <row r="321" ht="15.75" customHeight="1" s="14">
      <c r="A321" t="inlineStr">
        <is>
          <t>I-0320</t>
        </is>
      </c>
      <c r="B321" s="5" t="n"/>
      <c r="C321" s="5" t="n"/>
      <c r="M321" s="5" t="n"/>
    </row>
    <row r="322" ht="15.75" customHeight="1" s="14">
      <c r="A322" t="inlineStr">
        <is>
          <t>I-0321</t>
        </is>
      </c>
      <c r="B322" s="5" t="n"/>
      <c r="C322" s="5" t="n"/>
      <c r="M322" s="5" t="n"/>
    </row>
    <row r="323" ht="15.75" customHeight="1" s="14">
      <c r="A323" t="inlineStr">
        <is>
          <t>I-0322</t>
        </is>
      </c>
      <c r="B323" s="5" t="n"/>
      <c r="C323" s="5" t="n"/>
      <c r="M323" s="5" t="n"/>
    </row>
    <row r="324" ht="15.75" customHeight="1" s="14">
      <c r="A324" t="inlineStr">
        <is>
          <t>I-0323</t>
        </is>
      </c>
      <c r="B324" s="5" t="n"/>
      <c r="C324" s="5" t="n"/>
      <c r="M324" s="5" t="n"/>
    </row>
    <row r="325" ht="15.75" customHeight="1" s="14">
      <c r="A325" t="inlineStr">
        <is>
          <t>I-0324</t>
        </is>
      </c>
      <c r="B325" s="5" t="n"/>
      <c r="C325" s="5" t="n"/>
      <c r="M325" s="5" t="n"/>
    </row>
    <row r="326" ht="15.75" customHeight="1" s="14">
      <c r="A326" t="inlineStr">
        <is>
          <t>I-0325</t>
        </is>
      </c>
      <c r="B326" s="5" t="n"/>
      <c r="C326" s="5" t="n"/>
      <c r="M326" s="5" t="n"/>
    </row>
    <row r="327" ht="15.75" customHeight="1" s="14">
      <c r="A327" t="inlineStr">
        <is>
          <t>I-0326</t>
        </is>
      </c>
      <c r="B327" s="5" t="n"/>
      <c r="C327" s="5" t="n"/>
      <c r="M327" s="5" t="n"/>
    </row>
    <row r="328" ht="15.75" customHeight="1" s="14">
      <c r="A328" t="inlineStr">
        <is>
          <t>I-0327</t>
        </is>
      </c>
      <c r="B328" s="5" t="n"/>
      <c r="C328" s="5" t="n"/>
      <c r="M328" s="5" t="n"/>
    </row>
    <row r="329" ht="15.75" customHeight="1" s="14">
      <c r="A329" t="inlineStr">
        <is>
          <t>I-0328</t>
        </is>
      </c>
      <c r="B329" s="5" t="n"/>
      <c r="C329" s="5" t="n"/>
      <c r="M329" s="5" t="n"/>
    </row>
    <row r="330" ht="15.75" customHeight="1" s="14">
      <c r="A330" t="inlineStr">
        <is>
          <t>I-0329</t>
        </is>
      </c>
      <c r="B330" s="5" t="n"/>
      <c r="C330" s="5" t="n"/>
      <c r="M330" s="5" t="n"/>
    </row>
    <row r="331" ht="15.75" customHeight="1" s="14">
      <c r="A331" t="inlineStr">
        <is>
          <t>I-0330</t>
        </is>
      </c>
      <c r="B331" s="5" t="n"/>
      <c r="C331" s="5" t="n"/>
      <c r="M331" s="5" t="n"/>
    </row>
    <row r="332" ht="15.75" customHeight="1" s="14">
      <c r="A332" t="inlineStr">
        <is>
          <t>I-0331</t>
        </is>
      </c>
      <c r="B332" s="5" t="n"/>
      <c r="C332" s="5" t="n"/>
      <c r="M332" s="5" t="n"/>
    </row>
    <row r="333" ht="15.75" customHeight="1" s="14">
      <c r="A333" t="inlineStr">
        <is>
          <t>I-0332</t>
        </is>
      </c>
      <c r="B333" s="5" t="n"/>
      <c r="C333" s="5" t="n"/>
      <c r="M333" s="5" t="n"/>
    </row>
    <row r="334" ht="15.75" customHeight="1" s="14">
      <c r="A334" t="inlineStr">
        <is>
          <t>I-0333</t>
        </is>
      </c>
      <c r="B334" s="5" t="n"/>
      <c r="C334" s="5" t="n"/>
      <c r="M334" s="5" t="n"/>
    </row>
    <row r="335" ht="15.75" customHeight="1" s="14">
      <c r="A335" t="inlineStr">
        <is>
          <t>I-0334</t>
        </is>
      </c>
      <c r="B335" s="5" t="n"/>
      <c r="C335" s="5" t="n"/>
      <c r="M335" s="5" t="n"/>
    </row>
    <row r="336" ht="15.75" customHeight="1" s="14">
      <c r="A336" t="inlineStr">
        <is>
          <t>I-0335</t>
        </is>
      </c>
      <c r="B336" s="5" t="n"/>
      <c r="C336" s="5" t="n"/>
      <c r="M336" s="5" t="n"/>
    </row>
    <row r="337" ht="15.75" customHeight="1" s="14">
      <c r="A337" t="inlineStr">
        <is>
          <t>I-0336</t>
        </is>
      </c>
      <c r="B337" s="5" t="n"/>
      <c r="C337" s="5" t="n"/>
      <c r="M337" s="5" t="n"/>
    </row>
    <row r="338" ht="15.75" customHeight="1" s="14">
      <c r="A338" t="inlineStr">
        <is>
          <t>I-0337</t>
        </is>
      </c>
      <c r="B338" s="5" t="n"/>
      <c r="C338" s="5" t="n"/>
      <c r="M338" s="5" t="n"/>
    </row>
    <row r="339" ht="15.75" customHeight="1" s="14">
      <c r="A339" t="inlineStr">
        <is>
          <t>I-0338</t>
        </is>
      </c>
      <c r="B339" s="5" t="n"/>
      <c r="C339" s="5" t="n"/>
      <c r="M339" s="5" t="n"/>
    </row>
    <row r="340" ht="15.75" customHeight="1" s="14">
      <c r="A340" t="inlineStr">
        <is>
          <t>I-0339</t>
        </is>
      </c>
      <c r="B340" s="5" t="n"/>
      <c r="C340" s="5" t="n"/>
      <c r="M340" s="5" t="n"/>
    </row>
    <row r="341" ht="15.75" customHeight="1" s="14">
      <c r="A341" t="inlineStr">
        <is>
          <t>I-0340</t>
        </is>
      </c>
      <c r="B341" s="5" t="n"/>
      <c r="C341" s="5" t="n"/>
      <c r="M341" s="5" t="n"/>
    </row>
    <row r="342" ht="15.75" customHeight="1" s="14">
      <c r="A342" t="inlineStr">
        <is>
          <t>I-0341</t>
        </is>
      </c>
      <c r="B342" s="9" t="n"/>
      <c r="C342" s="9" t="n"/>
      <c r="M342" s="9" t="n"/>
    </row>
    <row r="343" ht="15.75" customHeight="1" s="14">
      <c r="A343" t="inlineStr">
        <is>
          <t>I-0342</t>
        </is>
      </c>
      <c r="B343" s="9" t="n"/>
      <c r="C343" s="9" t="n"/>
      <c r="M343" s="9" t="n"/>
    </row>
    <row r="344" ht="15.75" customHeight="1" s="14">
      <c r="A344" t="inlineStr">
        <is>
          <t>I-0343</t>
        </is>
      </c>
      <c r="B344" s="9" t="n"/>
      <c r="C344" s="9" t="n"/>
      <c r="M344" s="9" t="n"/>
    </row>
    <row r="345" ht="15.75" customHeight="1" s="14">
      <c r="A345" t="inlineStr">
        <is>
          <t>I-0344</t>
        </is>
      </c>
      <c r="B345" s="9" t="n"/>
      <c r="C345" s="9" t="n"/>
      <c r="M345" s="9" t="n"/>
    </row>
    <row r="346" ht="15.75" customHeight="1" s="14">
      <c r="A346" t="inlineStr">
        <is>
          <t>I-0345</t>
        </is>
      </c>
      <c r="B346" s="9" t="n"/>
      <c r="C346" s="9" t="n"/>
      <c r="M346" s="9" t="n"/>
    </row>
    <row r="347" ht="15.75" customHeight="1" s="14">
      <c r="A347" t="inlineStr">
        <is>
          <t>I-0346</t>
        </is>
      </c>
      <c r="B347" s="9" t="n"/>
      <c r="C347" s="9" t="n"/>
      <c r="M347" s="9" t="n"/>
    </row>
    <row r="348" ht="15.75" customHeight="1" s="14">
      <c r="A348" t="inlineStr">
        <is>
          <t>I-0347</t>
        </is>
      </c>
      <c r="B348" s="9" t="n"/>
      <c r="C348" s="9" t="n"/>
      <c r="M348" s="9" t="n"/>
    </row>
    <row r="349" ht="15.75" customHeight="1" s="14">
      <c r="A349" t="inlineStr">
        <is>
          <t>I-0348</t>
        </is>
      </c>
      <c r="B349" s="9" t="n"/>
      <c r="C349" s="9" t="n"/>
      <c r="M349" s="9" t="n"/>
    </row>
    <row r="350" ht="15.75" customHeight="1" s="14">
      <c r="A350" t="inlineStr">
        <is>
          <t>I-0349</t>
        </is>
      </c>
      <c r="B350" s="9" t="n"/>
      <c r="C350" s="9" t="n"/>
      <c r="M350" s="9" t="n"/>
    </row>
    <row r="351" ht="15.75" customHeight="1" s="14">
      <c r="A351" t="inlineStr">
        <is>
          <t>I-0350</t>
        </is>
      </c>
      <c r="B351" s="9" t="n"/>
      <c r="C351" s="9" t="n"/>
      <c r="M351" s="9" t="n"/>
    </row>
    <row r="352" ht="15.75" customHeight="1" s="14">
      <c r="A352" t="inlineStr">
        <is>
          <t>I-0351</t>
        </is>
      </c>
      <c r="B352" s="9" t="n"/>
      <c r="C352" s="9" t="n"/>
      <c r="M352" s="9" t="n"/>
    </row>
    <row r="353" ht="15.75" customHeight="1" s="14">
      <c r="A353" t="inlineStr">
        <is>
          <t>I-0352</t>
        </is>
      </c>
      <c r="B353" s="9" t="n"/>
      <c r="C353" s="9" t="n"/>
      <c r="M353" s="9" t="n"/>
    </row>
    <row r="354" ht="15.75" customHeight="1" s="14">
      <c r="A354" t="inlineStr">
        <is>
          <t>I-0353</t>
        </is>
      </c>
      <c r="B354" s="9" t="n"/>
      <c r="C354" s="9" t="n"/>
      <c r="M354" s="9" t="n"/>
    </row>
    <row r="355" ht="15.75" customHeight="1" s="14">
      <c r="A355" t="inlineStr">
        <is>
          <t>I-0354</t>
        </is>
      </c>
      <c r="B355" s="9" t="n"/>
      <c r="C355" s="9" t="n"/>
      <c r="M355" s="9" t="n"/>
    </row>
    <row r="356" ht="15.75" customHeight="1" s="14">
      <c r="A356" t="inlineStr">
        <is>
          <t>I-0355</t>
        </is>
      </c>
      <c r="B356" s="9" t="n"/>
      <c r="C356" s="9" t="n"/>
      <c r="M356" s="9" t="n"/>
    </row>
    <row r="357" ht="15.75" customHeight="1" s="14">
      <c r="A357" t="inlineStr">
        <is>
          <t>I-0356</t>
        </is>
      </c>
      <c r="B357" s="9" t="n"/>
      <c r="C357" s="9" t="n"/>
      <c r="M357" s="9" t="n"/>
    </row>
    <row r="358" ht="15.75" customHeight="1" s="14">
      <c r="A358" t="inlineStr">
        <is>
          <t>I-0357</t>
        </is>
      </c>
      <c r="B358" s="9" t="n"/>
      <c r="C358" s="9" t="n"/>
      <c r="M358" s="9" t="n"/>
    </row>
    <row r="359" ht="15.75" customHeight="1" s="14">
      <c r="A359" t="inlineStr">
        <is>
          <t>I-0358</t>
        </is>
      </c>
      <c r="B359" s="9" t="n"/>
      <c r="C359" s="9" t="n"/>
      <c r="M359" s="9" t="n"/>
    </row>
    <row r="360" ht="15.75" customHeight="1" s="14">
      <c r="A360" t="inlineStr">
        <is>
          <t>I-0359</t>
        </is>
      </c>
      <c r="B360" s="9" t="n"/>
      <c r="C360" s="9" t="n"/>
      <c r="M360" s="9" t="n"/>
    </row>
    <row r="361" ht="15.75" customHeight="1" s="14">
      <c r="A361" t="inlineStr">
        <is>
          <t>I-0360</t>
        </is>
      </c>
      <c r="B361" s="9" t="n"/>
      <c r="C361" s="9" t="n"/>
      <c r="M361" s="9" t="n"/>
    </row>
    <row r="362" ht="15.75" customHeight="1" s="14">
      <c r="A362" t="inlineStr">
        <is>
          <t>I-0361</t>
        </is>
      </c>
      <c r="B362" s="9" t="n"/>
      <c r="C362" s="9" t="n"/>
      <c r="M362" s="9" t="n"/>
    </row>
    <row r="363" ht="15.75" customHeight="1" s="14">
      <c r="A363" t="inlineStr">
        <is>
          <t>I-0362</t>
        </is>
      </c>
      <c r="B363" s="9" t="n"/>
      <c r="C363" s="9" t="n"/>
      <c r="M363" s="9" t="n"/>
    </row>
    <row r="364" ht="15.75" customHeight="1" s="14">
      <c r="A364" t="inlineStr">
        <is>
          <t>I-0363</t>
        </is>
      </c>
      <c r="B364" s="9" t="n"/>
      <c r="C364" s="9" t="n"/>
      <c r="M364" s="9" t="n"/>
    </row>
    <row r="365" ht="15.75" customHeight="1" s="14">
      <c r="A365" t="inlineStr">
        <is>
          <t>I-0364</t>
        </is>
      </c>
      <c r="B365" s="9" t="n"/>
      <c r="C365" s="9" t="n"/>
      <c r="M365" s="9" t="n"/>
    </row>
    <row r="366" ht="15.75" customHeight="1" s="14">
      <c r="A366" t="inlineStr">
        <is>
          <t>I-0365</t>
        </is>
      </c>
      <c r="B366" s="9" t="n"/>
      <c r="C366" s="9" t="n"/>
      <c r="M366" s="9" t="n"/>
    </row>
    <row r="367" ht="15.75" customHeight="1" s="14">
      <c r="A367" t="inlineStr">
        <is>
          <t>I-0366</t>
        </is>
      </c>
      <c r="B367" s="9" t="n"/>
      <c r="C367" s="9" t="n"/>
      <c r="M367" s="9" t="n"/>
    </row>
    <row r="368" ht="15.75" customHeight="1" s="14">
      <c r="A368" t="inlineStr">
        <is>
          <t>I-0367</t>
        </is>
      </c>
      <c r="B368" s="9" t="n"/>
      <c r="C368" s="9" t="n"/>
      <c r="M368" s="9" t="n"/>
    </row>
    <row r="369" ht="15.75" customHeight="1" s="14">
      <c r="A369" t="inlineStr">
        <is>
          <t>I-0368</t>
        </is>
      </c>
      <c r="B369" s="9" t="n"/>
      <c r="C369" s="9" t="n"/>
      <c r="M369" s="9" t="n"/>
    </row>
    <row r="370" ht="15.75" customHeight="1" s="14">
      <c r="A370" t="inlineStr">
        <is>
          <t>I-0369</t>
        </is>
      </c>
      <c r="B370" s="9" t="n"/>
      <c r="C370" s="9" t="n"/>
      <c r="M370" s="9" t="n"/>
    </row>
    <row r="371" ht="15.75" customHeight="1" s="14">
      <c r="A371" t="inlineStr">
        <is>
          <t>I-0370</t>
        </is>
      </c>
      <c r="B371" s="9" t="n"/>
      <c r="C371" s="9" t="n"/>
      <c r="M371" s="9" t="n"/>
    </row>
    <row r="372" ht="15.75" customHeight="1" s="14">
      <c r="A372" t="inlineStr">
        <is>
          <t>I-0371</t>
        </is>
      </c>
      <c r="B372" s="9" t="n"/>
      <c r="C372" s="9" t="n"/>
      <c r="M372" s="9" t="n"/>
    </row>
    <row r="373" ht="15.75" customHeight="1" s="14">
      <c r="A373" t="inlineStr">
        <is>
          <t>I-0372</t>
        </is>
      </c>
      <c r="B373" s="9" t="n"/>
      <c r="C373" s="9" t="n"/>
      <c r="M373" s="9" t="n"/>
    </row>
    <row r="374" ht="15.75" customHeight="1" s="14">
      <c r="A374" t="inlineStr">
        <is>
          <t>I-0373</t>
        </is>
      </c>
      <c r="B374" s="9" t="n"/>
      <c r="C374" s="9" t="n"/>
      <c r="M374" s="9" t="n"/>
    </row>
    <row r="375" ht="15.75" customHeight="1" s="14">
      <c r="A375" t="inlineStr">
        <is>
          <t>I-0374</t>
        </is>
      </c>
      <c r="B375" s="9" t="n"/>
      <c r="C375" s="9" t="n"/>
      <c r="M375" s="9" t="n"/>
    </row>
    <row r="376" ht="15.75" customHeight="1" s="14">
      <c r="A376" t="inlineStr">
        <is>
          <t>I-0375</t>
        </is>
      </c>
      <c r="B376" s="9" t="n"/>
      <c r="C376" s="9" t="n"/>
      <c r="M376" s="9" t="n"/>
    </row>
    <row r="377" ht="15.75" customHeight="1" s="14">
      <c r="A377" t="inlineStr">
        <is>
          <t>I-0376</t>
        </is>
      </c>
      <c r="B377" s="9" t="n"/>
      <c r="C377" s="9" t="n"/>
      <c r="M377" s="9" t="n"/>
    </row>
    <row r="378" ht="15.75" customHeight="1" s="14">
      <c r="A378" t="inlineStr">
        <is>
          <t>I-0377</t>
        </is>
      </c>
      <c r="B378" s="9" t="n"/>
      <c r="C378" s="9" t="n"/>
      <c r="M378" s="9" t="n"/>
    </row>
    <row r="379" ht="15.75" customHeight="1" s="14">
      <c r="A379" t="inlineStr">
        <is>
          <t>I-0378</t>
        </is>
      </c>
      <c r="B379" s="9" t="n"/>
      <c r="C379" s="9" t="n"/>
      <c r="M379" s="9" t="n"/>
    </row>
    <row r="380" ht="15.75" customHeight="1" s="14">
      <c r="A380" t="inlineStr">
        <is>
          <t>I-0379</t>
        </is>
      </c>
      <c r="B380" s="9" t="n"/>
      <c r="C380" s="9" t="n"/>
      <c r="M380" s="9" t="n"/>
    </row>
    <row r="381" ht="15.75" customHeight="1" s="14">
      <c r="A381" t="inlineStr">
        <is>
          <t>I-0380</t>
        </is>
      </c>
      <c r="B381" s="9" t="n"/>
      <c r="C381" s="9" t="n"/>
      <c r="M381" s="9" t="n"/>
    </row>
    <row r="382" ht="15.75" customHeight="1" s="14">
      <c r="A382" t="inlineStr">
        <is>
          <t>I-0381</t>
        </is>
      </c>
      <c r="B382" s="9" t="n"/>
      <c r="C382" s="9" t="n"/>
      <c r="M382" s="9" t="n"/>
    </row>
    <row r="383" ht="15.75" customHeight="1" s="14">
      <c r="A383" t="inlineStr">
        <is>
          <t>I-0382</t>
        </is>
      </c>
      <c r="B383" s="9" t="n"/>
      <c r="C383" s="9" t="n"/>
      <c r="M383" s="9" t="n"/>
    </row>
    <row r="384" ht="15.75" customHeight="1" s="14">
      <c r="A384" t="inlineStr">
        <is>
          <t>I-0383</t>
        </is>
      </c>
      <c r="B384" s="9" t="n"/>
      <c r="C384" s="9" t="n"/>
      <c r="M384" s="9" t="n"/>
    </row>
    <row r="385" ht="15.75" customHeight="1" s="14">
      <c r="A385" t="inlineStr">
        <is>
          <t>I-0384</t>
        </is>
      </c>
      <c r="B385" s="9" t="n"/>
      <c r="C385" s="9" t="n"/>
      <c r="M385" s="9" t="n"/>
    </row>
    <row r="386" ht="15.75" customHeight="1" s="14">
      <c r="A386" t="inlineStr">
        <is>
          <t>I-0385</t>
        </is>
      </c>
      <c r="B386" s="9" t="n"/>
      <c r="C386" s="9" t="n"/>
      <c r="M386" s="9" t="n"/>
    </row>
    <row r="387" ht="15.75" customHeight="1" s="14">
      <c r="A387" t="inlineStr">
        <is>
          <t>I-0386</t>
        </is>
      </c>
      <c r="B387" s="9" t="n"/>
      <c r="C387" s="9" t="n"/>
      <c r="M387" s="9" t="n"/>
    </row>
    <row r="388" ht="15.75" customHeight="1" s="14">
      <c r="A388" t="inlineStr">
        <is>
          <t>I-0387</t>
        </is>
      </c>
      <c r="B388" s="9" t="n"/>
      <c r="C388" s="9" t="n"/>
      <c r="M388" s="9" t="n"/>
    </row>
    <row r="389" ht="15.75" customHeight="1" s="14">
      <c r="A389" t="inlineStr">
        <is>
          <t>I-0388</t>
        </is>
      </c>
      <c r="B389" s="9" t="n"/>
      <c r="C389" s="9" t="n"/>
      <c r="M389" s="9" t="n"/>
    </row>
    <row r="390" ht="15.75" customHeight="1" s="14">
      <c r="A390" t="inlineStr">
        <is>
          <t>I-0389</t>
        </is>
      </c>
      <c r="B390" s="9" t="n"/>
      <c r="C390" s="9" t="n"/>
      <c r="M390" s="9" t="n"/>
    </row>
    <row r="391" ht="15.75" customHeight="1" s="14">
      <c r="A391" t="inlineStr">
        <is>
          <t>I-0390</t>
        </is>
      </c>
      <c r="B391" s="9" t="n"/>
      <c r="C391" s="9" t="n"/>
      <c r="M391" s="9" t="n"/>
    </row>
    <row r="392" ht="15.75" customHeight="1" s="14">
      <c r="A392" t="inlineStr">
        <is>
          <t>I-0391</t>
        </is>
      </c>
      <c r="B392" s="9" t="n"/>
      <c r="C392" s="9" t="n"/>
      <c r="M392" s="9" t="n"/>
    </row>
    <row r="393" ht="15.75" customHeight="1" s="14">
      <c r="A393" t="inlineStr">
        <is>
          <t>I-0392</t>
        </is>
      </c>
      <c r="B393" s="9" t="n"/>
      <c r="C393" s="9" t="n"/>
      <c r="M393" s="9" t="n"/>
    </row>
    <row r="394" ht="15.75" customHeight="1" s="14">
      <c r="A394" t="inlineStr">
        <is>
          <t>I-0393</t>
        </is>
      </c>
      <c r="B394" s="9" t="n"/>
      <c r="C394" s="9" t="n"/>
      <c r="M394" s="9" t="n"/>
    </row>
    <row r="395" ht="15.75" customHeight="1" s="14">
      <c r="A395" t="inlineStr">
        <is>
          <t>I-0394</t>
        </is>
      </c>
      <c r="B395" s="9" t="n"/>
      <c r="C395" s="9" t="n"/>
      <c r="M395" s="9" t="n"/>
    </row>
    <row r="396" ht="15.75" customHeight="1" s="14">
      <c r="A396" t="inlineStr">
        <is>
          <t>I-0395</t>
        </is>
      </c>
      <c r="B396" s="9" t="n"/>
      <c r="C396" s="9" t="n"/>
      <c r="M396" s="9" t="n"/>
    </row>
    <row r="397" ht="15.75" customHeight="1" s="14">
      <c r="A397" t="inlineStr">
        <is>
          <t>I-0396</t>
        </is>
      </c>
      <c r="B397" s="9" t="n"/>
      <c r="C397" s="9" t="n"/>
      <c r="M397" s="9" t="n"/>
    </row>
    <row r="398" ht="15.75" customHeight="1" s="14">
      <c r="A398" t="inlineStr">
        <is>
          <t>I-0397</t>
        </is>
      </c>
      <c r="B398" s="9" t="n"/>
      <c r="C398" s="9" t="n"/>
      <c r="M398" s="9" t="n"/>
    </row>
    <row r="399" ht="15.75" customHeight="1" s="14">
      <c r="A399" t="inlineStr">
        <is>
          <t>I-0398</t>
        </is>
      </c>
      <c r="B399" s="9" t="n"/>
      <c r="C399" s="9" t="n"/>
      <c r="M399" s="9" t="n"/>
    </row>
    <row r="400" ht="15.75" customHeight="1" s="14">
      <c r="A400" t="inlineStr">
        <is>
          <t>I-0399</t>
        </is>
      </c>
      <c r="B400" s="9" t="n"/>
      <c r="C400" s="9" t="n"/>
      <c r="M400" s="9" t="n"/>
    </row>
    <row r="401" ht="15.75" customHeight="1" s="14">
      <c r="A401" t="inlineStr">
        <is>
          <t>I-0400</t>
        </is>
      </c>
      <c r="B401" s="9" t="n"/>
      <c r="C401" s="9" t="n"/>
      <c r="M401" s="9" t="n"/>
    </row>
    <row r="402" ht="15.75" customHeight="1" s="14">
      <c r="A402" t="inlineStr">
        <is>
          <t>I-0401</t>
        </is>
      </c>
      <c r="B402" s="9" t="n"/>
      <c r="C402" s="9" t="n"/>
      <c r="M402" s="9" t="n"/>
    </row>
    <row r="403" ht="15.75" customHeight="1" s="14">
      <c r="A403" t="inlineStr">
        <is>
          <t>I-0402</t>
        </is>
      </c>
      <c r="B403" s="9" t="n"/>
      <c r="C403" s="9" t="n"/>
      <c r="M403" s="9" t="n"/>
    </row>
    <row r="404" ht="15.75" customHeight="1" s="14">
      <c r="A404" t="inlineStr">
        <is>
          <t>I-0403</t>
        </is>
      </c>
      <c r="B404" s="9" t="n"/>
      <c r="C404" s="9" t="n"/>
      <c r="M404" s="9" t="n"/>
    </row>
    <row r="405" ht="15.75" customHeight="1" s="14">
      <c r="A405" t="inlineStr">
        <is>
          <t>I-0404</t>
        </is>
      </c>
      <c r="B405" s="9" t="n"/>
      <c r="C405" s="9" t="n"/>
      <c r="M405" s="9" t="n"/>
    </row>
    <row r="406" ht="15.75" customHeight="1" s="14">
      <c r="A406" t="inlineStr">
        <is>
          <t>I-0405</t>
        </is>
      </c>
      <c r="B406" s="9" t="n"/>
      <c r="C406" s="9" t="n"/>
      <c r="M406" s="9" t="n"/>
    </row>
    <row r="407" ht="15.75" customHeight="1" s="14">
      <c r="A407" t="inlineStr">
        <is>
          <t>I-0406</t>
        </is>
      </c>
      <c r="B407" s="9" t="n"/>
      <c r="C407" s="9" t="n"/>
      <c r="M407" s="9" t="n"/>
    </row>
    <row r="408" ht="15.75" customHeight="1" s="14">
      <c r="A408" t="inlineStr">
        <is>
          <t>I-0407</t>
        </is>
      </c>
      <c r="B408" s="9" t="n"/>
      <c r="C408" s="9" t="n"/>
      <c r="M408" s="9" t="n"/>
    </row>
    <row r="409" ht="15.75" customHeight="1" s="14">
      <c r="A409" t="inlineStr">
        <is>
          <t>I-0408</t>
        </is>
      </c>
      <c r="B409" s="9" t="n"/>
      <c r="C409" s="9" t="n"/>
      <c r="M409" s="9" t="n"/>
    </row>
    <row r="410" ht="15.75" customHeight="1" s="14">
      <c r="A410" t="inlineStr">
        <is>
          <t>I-0409</t>
        </is>
      </c>
      <c r="B410" s="9" t="n"/>
      <c r="C410" s="9" t="n"/>
      <c r="M410" s="9" t="n"/>
    </row>
    <row r="411" ht="15.75" customHeight="1" s="14">
      <c r="A411" t="inlineStr">
        <is>
          <t>I-0410</t>
        </is>
      </c>
      <c r="B411" s="9" t="n"/>
      <c r="C411" s="9" t="n"/>
      <c r="M411" s="9" t="n"/>
    </row>
    <row r="412" ht="15.75" customHeight="1" s="14">
      <c r="A412" t="inlineStr">
        <is>
          <t>I-0411</t>
        </is>
      </c>
      <c r="B412" s="9" t="n"/>
      <c r="C412" s="9" t="n"/>
      <c r="M412" s="9" t="n"/>
    </row>
    <row r="413" ht="15.75" customHeight="1" s="14">
      <c r="A413" t="inlineStr">
        <is>
          <t>I-0412</t>
        </is>
      </c>
      <c r="B413" s="9" t="n"/>
      <c r="C413" s="9" t="n"/>
      <c r="M413" s="9" t="n"/>
    </row>
    <row r="414" ht="15.75" customHeight="1" s="14">
      <c r="A414" t="inlineStr">
        <is>
          <t>I-0413</t>
        </is>
      </c>
      <c r="B414" s="9" t="n"/>
      <c r="C414" s="9" t="n"/>
      <c r="M414" s="9" t="n"/>
    </row>
    <row r="415" ht="15.75" customHeight="1" s="14">
      <c r="A415" t="inlineStr">
        <is>
          <t>I-0414</t>
        </is>
      </c>
      <c r="B415" s="9" t="n"/>
      <c r="C415" s="9" t="n"/>
      <c r="M415" s="9" t="n"/>
    </row>
    <row r="416" ht="15.75" customHeight="1" s="14">
      <c r="A416" t="inlineStr">
        <is>
          <t>I-0415</t>
        </is>
      </c>
      <c r="B416" s="9" t="n"/>
      <c r="C416" s="9" t="n"/>
      <c r="M416" s="9" t="n"/>
    </row>
    <row r="417" ht="15.75" customHeight="1" s="14">
      <c r="A417" t="inlineStr">
        <is>
          <t>I-0416</t>
        </is>
      </c>
      <c r="B417" s="9" t="n"/>
      <c r="C417" s="9" t="n"/>
      <c r="M417" s="9" t="n"/>
    </row>
    <row r="418" ht="15.75" customHeight="1" s="14">
      <c r="A418" t="inlineStr">
        <is>
          <t>I-0417</t>
        </is>
      </c>
      <c r="B418" s="9" t="n"/>
      <c r="C418" s="9" t="n"/>
      <c r="M418" s="9" t="n"/>
    </row>
    <row r="419" ht="15.75" customHeight="1" s="14">
      <c r="A419" t="inlineStr">
        <is>
          <t>I-0418</t>
        </is>
      </c>
      <c r="B419" s="9" t="n"/>
      <c r="C419" s="9" t="n"/>
      <c r="M419" s="9" t="n"/>
    </row>
    <row r="420" ht="15.75" customHeight="1" s="14">
      <c r="A420" t="inlineStr">
        <is>
          <t>I-0419</t>
        </is>
      </c>
      <c r="B420" s="9" t="n"/>
      <c r="C420" s="9" t="n"/>
      <c r="M420" s="9" t="n"/>
    </row>
    <row r="421" ht="15.75" customHeight="1" s="14">
      <c r="A421" t="inlineStr">
        <is>
          <t>I-0420</t>
        </is>
      </c>
      <c r="B421" s="9" t="n"/>
      <c r="C421" s="9" t="n"/>
      <c r="M421" s="9" t="n"/>
    </row>
    <row r="422" ht="15.75" customHeight="1" s="14">
      <c r="A422" t="inlineStr">
        <is>
          <t>I-0421</t>
        </is>
      </c>
      <c r="B422" s="9" t="n"/>
      <c r="C422" s="9" t="n"/>
      <c r="M422" s="9" t="n"/>
    </row>
    <row r="423" ht="15.75" customHeight="1" s="14">
      <c r="A423" t="inlineStr">
        <is>
          <t>I-0422</t>
        </is>
      </c>
      <c r="B423" s="9" t="n"/>
      <c r="C423" s="9" t="n"/>
      <c r="M423" s="9" t="n"/>
    </row>
    <row r="424" ht="15.75" customHeight="1" s="14">
      <c r="A424" t="inlineStr">
        <is>
          <t>I-0423</t>
        </is>
      </c>
      <c r="B424" s="9" t="n"/>
      <c r="C424" s="9" t="n"/>
      <c r="M424" s="9" t="n"/>
    </row>
    <row r="425" ht="15.75" customHeight="1" s="14">
      <c r="A425" t="inlineStr">
        <is>
          <t>I-0424</t>
        </is>
      </c>
      <c r="B425" s="9" t="n"/>
      <c r="C425" s="9" t="n"/>
      <c r="M425" s="9" t="n"/>
    </row>
    <row r="426" ht="15.75" customHeight="1" s="14">
      <c r="A426" t="inlineStr">
        <is>
          <t>I-0425</t>
        </is>
      </c>
      <c r="B426" s="9" t="n"/>
      <c r="C426" s="9" t="n"/>
      <c r="M426" s="9" t="n"/>
    </row>
    <row r="427" ht="15.75" customHeight="1" s="14">
      <c r="A427" t="inlineStr">
        <is>
          <t>I-0426</t>
        </is>
      </c>
      <c r="B427" s="9" t="n"/>
      <c r="C427" s="9" t="n"/>
      <c r="M427" s="9" t="n"/>
    </row>
    <row r="428" ht="15.75" customHeight="1" s="14">
      <c r="A428" t="inlineStr">
        <is>
          <t>I-0427</t>
        </is>
      </c>
      <c r="B428" s="9" t="n"/>
      <c r="C428" s="9" t="n"/>
      <c r="M428" s="9" t="n"/>
    </row>
    <row r="429" ht="15.75" customHeight="1" s="14">
      <c r="A429" t="inlineStr">
        <is>
          <t>I-0428</t>
        </is>
      </c>
      <c r="B429" s="9" t="n"/>
      <c r="C429" s="9" t="n"/>
      <c r="M429" s="9" t="n"/>
    </row>
    <row r="430" ht="15.75" customHeight="1" s="14">
      <c r="A430" t="inlineStr">
        <is>
          <t>I-0429</t>
        </is>
      </c>
      <c r="B430" s="9" t="n"/>
      <c r="C430" s="9" t="n"/>
      <c r="M430" s="9" t="n"/>
    </row>
    <row r="431" ht="15.75" customHeight="1" s="14">
      <c r="A431" t="inlineStr">
        <is>
          <t>I-0430</t>
        </is>
      </c>
      <c r="B431" s="9" t="n"/>
      <c r="C431" s="9" t="n"/>
      <c r="M431" s="9" t="n"/>
    </row>
    <row r="432" ht="15.75" customHeight="1" s="14">
      <c r="A432" t="inlineStr">
        <is>
          <t>I-0431</t>
        </is>
      </c>
      <c r="B432" s="9" t="n"/>
      <c r="C432" s="9" t="n"/>
      <c r="M432" s="9" t="n"/>
    </row>
    <row r="433" ht="15.75" customHeight="1" s="14">
      <c r="A433" t="inlineStr">
        <is>
          <t>I-0432</t>
        </is>
      </c>
      <c r="B433" s="9" t="n"/>
      <c r="C433" s="9" t="n"/>
      <c r="M433" s="9" t="n"/>
    </row>
    <row r="434" ht="15.75" customHeight="1" s="14">
      <c r="A434" t="inlineStr">
        <is>
          <t>I-0433</t>
        </is>
      </c>
      <c r="B434" s="9" t="n"/>
      <c r="C434" s="9" t="n"/>
      <c r="M434" s="9" t="n"/>
    </row>
    <row r="435" ht="15.75" customHeight="1" s="14">
      <c r="A435" t="inlineStr">
        <is>
          <t>I-0434</t>
        </is>
      </c>
      <c r="B435" s="9" t="n"/>
      <c r="C435" s="9" t="n"/>
      <c r="M435" s="9" t="n"/>
    </row>
    <row r="436" ht="15.75" customHeight="1" s="14">
      <c r="A436" t="inlineStr">
        <is>
          <t>I-0435</t>
        </is>
      </c>
      <c r="B436" s="9" t="n"/>
      <c r="C436" s="9" t="n"/>
      <c r="M436" s="9" t="n"/>
    </row>
    <row r="437" ht="15.75" customHeight="1" s="14">
      <c r="A437" t="inlineStr">
        <is>
          <t>I-0436</t>
        </is>
      </c>
      <c r="B437" s="9" t="n"/>
      <c r="C437" s="9" t="n"/>
      <c r="M437" s="9" t="n"/>
    </row>
    <row r="438" ht="15.75" customHeight="1" s="14">
      <c r="A438" t="inlineStr">
        <is>
          <t>I-0437</t>
        </is>
      </c>
      <c r="B438" s="9" t="n"/>
      <c r="C438" s="9" t="n"/>
      <c r="M438" s="9" t="n"/>
    </row>
    <row r="439" ht="15.75" customHeight="1" s="14">
      <c r="A439" t="inlineStr">
        <is>
          <t>I-0438</t>
        </is>
      </c>
      <c r="B439" s="9" t="n"/>
      <c r="C439" s="9" t="n"/>
      <c r="M439" s="9" t="n"/>
    </row>
    <row r="440" ht="15.75" customHeight="1" s="14">
      <c r="A440" t="inlineStr">
        <is>
          <t>I-0439</t>
        </is>
      </c>
      <c r="B440" s="9" t="n"/>
      <c r="C440" s="9" t="n"/>
      <c r="M440" s="9" t="n"/>
    </row>
    <row r="441" ht="15.75" customHeight="1" s="14">
      <c r="A441" t="inlineStr">
        <is>
          <t>I-0440</t>
        </is>
      </c>
      <c r="B441" s="9" t="n"/>
      <c r="C441" s="9" t="n"/>
      <c r="M441" s="9" t="n"/>
    </row>
    <row r="442" ht="15.75" customHeight="1" s="14">
      <c r="A442" t="inlineStr">
        <is>
          <t>I-0441</t>
        </is>
      </c>
      <c r="B442" s="9" t="n"/>
      <c r="C442" s="9" t="n"/>
      <c r="M442" s="9" t="n"/>
    </row>
    <row r="443" ht="15.75" customHeight="1" s="14">
      <c r="A443" t="inlineStr">
        <is>
          <t>I-0442</t>
        </is>
      </c>
      <c r="B443" s="9" t="n"/>
      <c r="C443" s="9" t="n"/>
      <c r="M443" s="9" t="n"/>
    </row>
    <row r="444" ht="15.75" customHeight="1" s="14">
      <c r="A444" t="inlineStr">
        <is>
          <t>I-0443</t>
        </is>
      </c>
      <c r="B444" s="9" t="n"/>
      <c r="C444" s="9" t="n"/>
      <c r="M444" s="9" t="n"/>
    </row>
    <row r="445" ht="15.75" customHeight="1" s="14">
      <c r="A445" t="inlineStr">
        <is>
          <t>I-0444</t>
        </is>
      </c>
      <c r="B445" s="9" t="n"/>
      <c r="C445" s="9" t="n"/>
      <c r="M445" s="9" t="n"/>
    </row>
    <row r="446" ht="15.75" customHeight="1" s="14">
      <c r="A446" t="inlineStr">
        <is>
          <t>I-0445</t>
        </is>
      </c>
      <c r="B446" s="9" t="n"/>
      <c r="C446" s="9" t="n"/>
      <c r="M446" s="9" t="n"/>
    </row>
    <row r="447" ht="15.75" customHeight="1" s="14">
      <c r="A447" t="inlineStr">
        <is>
          <t>I-0446</t>
        </is>
      </c>
      <c r="B447" s="9" t="n"/>
      <c r="C447" s="9" t="n"/>
      <c r="M447" s="9" t="n"/>
    </row>
    <row r="448" ht="15.75" customHeight="1" s="14">
      <c r="A448" t="inlineStr">
        <is>
          <t>I-0447</t>
        </is>
      </c>
      <c r="B448" s="9" t="n"/>
      <c r="C448" s="9" t="n"/>
      <c r="M448" s="9" t="n"/>
    </row>
    <row r="449" ht="15.75" customHeight="1" s="14">
      <c r="A449" t="inlineStr">
        <is>
          <t>I-0448</t>
        </is>
      </c>
      <c r="B449" s="9" t="n"/>
      <c r="C449" s="9" t="n"/>
      <c r="M449" s="9" t="n"/>
    </row>
    <row r="450" ht="15.75" customHeight="1" s="14">
      <c r="A450" t="inlineStr">
        <is>
          <t>I-0449</t>
        </is>
      </c>
      <c r="B450" s="9" t="n"/>
      <c r="C450" s="9" t="n"/>
      <c r="M450" s="9" t="n"/>
    </row>
    <row r="451" ht="15.75" customHeight="1" s="14">
      <c r="A451" t="inlineStr">
        <is>
          <t>I-0450</t>
        </is>
      </c>
      <c r="B451" s="9" t="n"/>
      <c r="C451" s="9" t="n"/>
      <c r="M451" s="9" t="n"/>
    </row>
    <row r="452" ht="15.75" customHeight="1" s="14">
      <c r="A452" t="inlineStr">
        <is>
          <t>I-0451</t>
        </is>
      </c>
      <c r="B452" s="9" t="n"/>
      <c r="C452" s="9" t="n"/>
      <c r="M452" s="9" t="n"/>
    </row>
    <row r="453" ht="15.75" customHeight="1" s="14">
      <c r="A453" t="inlineStr">
        <is>
          <t>I-0452</t>
        </is>
      </c>
      <c r="B453" s="9" t="n"/>
      <c r="C453" s="9" t="n"/>
      <c r="M453" s="9" t="n"/>
    </row>
    <row r="454" ht="15.75" customHeight="1" s="14">
      <c r="A454" t="inlineStr">
        <is>
          <t>I-0453</t>
        </is>
      </c>
      <c r="B454" s="9" t="n"/>
      <c r="C454" s="9" t="n"/>
      <c r="M454" s="9" t="n"/>
    </row>
    <row r="455" ht="15.75" customHeight="1" s="14">
      <c r="A455" t="inlineStr">
        <is>
          <t>I-0454</t>
        </is>
      </c>
      <c r="B455" s="9" t="n"/>
      <c r="C455" s="9" t="n"/>
      <c r="M455" s="9" t="n"/>
    </row>
    <row r="456" ht="15.75" customHeight="1" s="14">
      <c r="A456" t="inlineStr">
        <is>
          <t>I-0455</t>
        </is>
      </c>
      <c r="B456" s="9" t="n"/>
      <c r="C456" s="9" t="n"/>
      <c r="M456" s="9" t="n"/>
    </row>
    <row r="457" ht="15.75" customHeight="1" s="14">
      <c r="A457" t="inlineStr">
        <is>
          <t>I-0456</t>
        </is>
      </c>
      <c r="B457" s="9" t="n"/>
      <c r="C457" s="9" t="n"/>
      <c r="M457" s="9" t="n"/>
    </row>
    <row r="458" ht="15.75" customHeight="1" s="14">
      <c r="A458" t="inlineStr">
        <is>
          <t>I-0457</t>
        </is>
      </c>
      <c r="B458" s="9" t="n"/>
      <c r="C458" s="9" t="n"/>
      <c r="M458" s="9" t="n"/>
    </row>
    <row r="459" ht="15.75" customHeight="1" s="14">
      <c r="A459" t="inlineStr">
        <is>
          <t>I-0458</t>
        </is>
      </c>
      <c r="B459" s="9" t="n"/>
      <c r="C459" s="9" t="n"/>
      <c r="M459" s="9" t="n"/>
    </row>
    <row r="460" ht="15.75" customHeight="1" s="14">
      <c r="A460" t="inlineStr">
        <is>
          <t>I-0459</t>
        </is>
      </c>
      <c r="B460" s="9" t="n"/>
      <c r="C460" s="9" t="n"/>
      <c r="M460" s="9" t="n"/>
    </row>
    <row r="461" ht="15.75" customHeight="1" s="14">
      <c r="A461" t="inlineStr">
        <is>
          <t>I-0460</t>
        </is>
      </c>
      <c r="B461" s="9" t="n"/>
      <c r="C461" s="9" t="n"/>
      <c r="M461" s="9" t="n"/>
    </row>
    <row r="462" ht="15.75" customHeight="1" s="14">
      <c r="A462" t="inlineStr">
        <is>
          <t>I-0461</t>
        </is>
      </c>
      <c r="B462" s="9" t="n"/>
      <c r="C462" s="9" t="n"/>
      <c r="M462" s="9" t="n"/>
    </row>
    <row r="463" ht="15.75" customHeight="1" s="14">
      <c r="A463" t="inlineStr">
        <is>
          <t>I-0462</t>
        </is>
      </c>
      <c r="B463" s="9" t="n"/>
      <c r="C463" s="9" t="n"/>
      <c r="M463" s="9" t="n"/>
    </row>
    <row r="464" ht="15.75" customHeight="1" s="14">
      <c r="A464" t="inlineStr">
        <is>
          <t>I-0463</t>
        </is>
      </c>
      <c r="B464" s="9" t="n"/>
      <c r="C464" s="9" t="n"/>
      <c r="M464" s="9" t="n"/>
    </row>
    <row r="465" ht="15.75" customHeight="1" s="14">
      <c r="A465" t="inlineStr">
        <is>
          <t>I-0464</t>
        </is>
      </c>
      <c r="B465" s="9" t="n"/>
      <c r="C465" s="9" t="n"/>
      <c r="M465" s="9" t="n"/>
    </row>
    <row r="466" ht="15.75" customHeight="1" s="14">
      <c r="A466" t="inlineStr">
        <is>
          <t>I-0465</t>
        </is>
      </c>
      <c r="B466" s="9" t="n"/>
      <c r="C466" s="9" t="n"/>
      <c r="M466" s="9" t="n"/>
    </row>
    <row r="467" ht="15.75" customHeight="1" s="14">
      <c r="A467" t="inlineStr">
        <is>
          <t>I-0466</t>
        </is>
      </c>
      <c r="B467" s="9" t="n"/>
      <c r="C467" s="9" t="n"/>
      <c r="M467" s="9" t="n"/>
    </row>
    <row r="468" ht="15.75" customHeight="1" s="14">
      <c r="A468" t="inlineStr">
        <is>
          <t>I-0467</t>
        </is>
      </c>
      <c r="B468" s="9" t="n"/>
      <c r="C468" s="9" t="n"/>
      <c r="M468" s="9" t="n"/>
    </row>
    <row r="469" ht="15.75" customHeight="1" s="14">
      <c r="A469" t="inlineStr">
        <is>
          <t>I-0468</t>
        </is>
      </c>
      <c r="B469" s="9" t="n"/>
      <c r="C469" s="9" t="n"/>
      <c r="M469" s="9" t="n"/>
    </row>
    <row r="470" ht="15.75" customHeight="1" s="14">
      <c r="A470" t="inlineStr">
        <is>
          <t>I-0469</t>
        </is>
      </c>
      <c r="B470" s="9" t="n"/>
      <c r="C470" s="9" t="n"/>
      <c r="M470" s="9" t="n"/>
    </row>
    <row r="471" ht="15.75" customHeight="1" s="14">
      <c r="A471" t="inlineStr">
        <is>
          <t>I-0470</t>
        </is>
      </c>
      <c r="B471" s="9" t="n"/>
      <c r="C471" s="9" t="n"/>
      <c r="M471" s="9" t="n"/>
    </row>
    <row r="472" ht="15.75" customHeight="1" s="14">
      <c r="A472" t="inlineStr">
        <is>
          <t>I-0471</t>
        </is>
      </c>
      <c r="B472" s="9" t="n"/>
      <c r="C472" s="9" t="n"/>
      <c r="M472" s="9" t="n"/>
    </row>
    <row r="473" ht="15.75" customHeight="1" s="14">
      <c r="A473" t="inlineStr">
        <is>
          <t>I-0472</t>
        </is>
      </c>
      <c r="B473" s="9" t="n"/>
      <c r="C473" s="9" t="n"/>
      <c r="M473" s="9" t="n"/>
    </row>
    <row r="474" ht="15.75" customHeight="1" s="14">
      <c r="A474" t="inlineStr">
        <is>
          <t>I-0473</t>
        </is>
      </c>
      <c r="B474" s="9" t="n"/>
      <c r="C474" s="9" t="n"/>
      <c r="M474" s="9" t="n"/>
    </row>
    <row r="475" ht="15.75" customHeight="1" s="14">
      <c r="A475" t="inlineStr">
        <is>
          <t>I-0474</t>
        </is>
      </c>
      <c r="B475" s="9" t="n"/>
      <c r="C475" s="9" t="n"/>
      <c r="M475" s="9" t="n"/>
    </row>
    <row r="476" ht="15.75" customHeight="1" s="14">
      <c r="A476" t="inlineStr">
        <is>
          <t>I-0475</t>
        </is>
      </c>
      <c r="B476" s="9" t="n"/>
      <c r="C476" s="9" t="n"/>
      <c r="M476" s="9" t="n"/>
    </row>
    <row r="477" ht="15.75" customHeight="1" s="14">
      <c r="A477" t="inlineStr">
        <is>
          <t>I-0476</t>
        </is>
      </c>
      <c r="B477" s="9" t="n"/>
      <c r="C477" s="9" t="n"/>
      <c r="M477" s="9" t="n"/>
    </row>
    <row r="478" ht="15.75" customHeight="1" s="14">
      <c r="A478" t="inlineStr">
        <is>
          <t>I-0477</t>
        </is>
      </c>
      <c r="B478" s="9" t="n"/>
      <c r="C478" s="9" t="n"/>
      <c r="M478" s="9" t="n"/>
    </row>
    <row r="479" ht="15.75" customHeight="1" s="14">
      <c r="A479" t="inlineStr">
        <is>
          <t>I-0478</t>
        </is>
      </c>
      <c r="B479" s="9" t="n"/>
      <c r="C479" s="9" t="n"/>
      <c r="M479" s="9" t="n"/>
    </row>
    <row r="480" ht="15.75" customHeight="1" s="14">
      <c r="A480" t="inlineStr">
        <is>
          <t>I-0479</t>
        </is>
      </c>
      <c r="B480" s="9" t="n"/>
      <c r="C480" s="9" t="n"/>
      <c r="M480" s="9" t="n"/>
    </row>
    <row r="481" ht="15.75" customHeight="1" s="14">
      <c r="A481" t="inlineStr">
        <is>
          <t>I-0480</t>
        </is>
      </c>
      <c r="B481" s="9" t="n"/>
      <c r="C481" s="9" t="n"/>
      <c r="M481" s="9" t="n"/>
    </row>
    <row r="482" ht="15.75" customHeight="1" s="14">
      <c r="A482" t="inlineStr">
        <is>
          <t>I-0481</t>
        </is>
      </c>
      <c r="B482" s="9" t="n"/>
      <c r="C482" s="9" t="n"/>
      <c r="M482" s="9" t="n"/>
    </row>
    <row r="483" ht="15.75" customHeight="1" s="14">
      <c r="A483" t="inlineStr">
        <is>
          <t>I-0482</t>
        </is>
      </c>
      <c r="B483" s="9" t="n"/>
      <c r="C483" s="9" t="n"/>
      <c r="M483" s="9" t="n"/>
    </row>
    <row r="484" ht="15.75" customHeight="1" s="14">
      <c r="A484" t="inlineStr">
        <is>
          <t>I-0483</t>
        </is>
      </c>
      <c r="B484" s="9" t="n"/>
      <c r="C484" s="9" t="n"/>
      <c r="M484" s="9" t="n"/>
    </row>
    <row r="485" ht="15.75" customHeight="1" s="14">
      <c r="A485" t="inlineStr">
        <is>
          <t>I-0484</t>
        </is>
      </c>
      <c r="B485" s="9" t="n"/>
      <c r="C485" s="9" t="n"/>
      <c r="M485" s="9" t="n"/>
    </row>
    <row r="486" ht="15.75" customHeight="1" s="14">
      <c r="A486" t="inlineStr">
        <is>
          <t>I-0485</t>
        </is>
      </c>
      <c r="B486" s="9" t="n"/>
      <c r="C486" s="9" t="n"/>
      <c r="M486" s="9" t="n"/>
    </row>
    <row r="487" ht="15.75" customHeight="1" s="14">
      <c r="A487" t="inlineStr">
        <is>
          <t>I-0486</t>
        </is>
      </c>
      <c r="B487" s="9" t="n"/>
      <c r="C487" s="9" t="n"/>
      <c r="M487" s="9" t="n"/>
    </row>
    <row r="488" ht="15.75" customHeight="1" s="14">
      <c r="A488" t="inlineStr">
        <is>
          <t>I-0487</t>
        </is>
      </c>
      <c r="B488" s="9" t="n"/>
      <c r="C488" s="9" t="n"/>
      <c r="M488" s="9" t="n"/>
    </row>
    <row r="489" ht="15.75" customHeight="1" s="14">
      <c r="A489" t="inlineStr">
        <is>
          <t>I-0488</t>
        </is>
      </c>
      <c r="B489" s="9" t="n"/>
      <c r="C489" s="9" t="n"/>
      <c r="M489" s="9" t="n"/>
    </row>
    <row r="490" ht="15.75" customHeight="1" s="14">
      <c r="A490" t="inlineStr">
        <is>
          <t>I-0489</t>
        </is>
      </c>
      <c r="B490" s="9" t="n"/>
      <c r="C490" s="9" t="n"/>
      <c r="M490" s="9" t="n"/>
    </row>
    <row r="491" ht="15.75" customHeight="1" s="14">
      <c r="A491" t="inlineStr">
        <is>
          <t>I-0490</t>
        </is>
      </c>
      <c r="B491" s="9" t="n"/>
      <c r="C491" s="9" t="n"/>
      <c r="M491" s="9" t="n"/>
    </row>
    <row r="492" ht="15.75" customHeight="1" s="14">
      <c r="A492" t="inlineStr">
        <is>
          <t>I-0491</t>
        </is>
      </c>
      <c r="B492" s="9" t="n"/>
      <c r="C492" s="9" t="n"/>
      <c r="M492" s="9" t="n"/>
    </row>
    <row r="493" ht="15.75" customHeight="1" s="14">
      <c r="A493" t="inlineStr">
        <is>
          <t>I-0492</t>
        </is>
      </c>
      <c r="B493" s="9" t="n"/>
      <c r="C493" s="9" t="n"/>
      <c r="M493" s="9" t="n"/>
    </row>
    <row r="494" ht="15.75" customHeight="1" s="14">
      <c r="A494" t="inlineStr">
        <is>
          <t>I-0493</t>
        </is>
      </c>
      <c r="B494" s="9" t="n"/>
      <c r="C494" s="9" t="n"/>
      <c r="M494" s="9" t="n"/>
    </row>
    <row r="495" ht="15.75" customHeight="1" s="14">
      <c r="A495" t="inlineStr">
        <is>
          <t>I-0494</t>
        </is>
      </c>
      <c r="B495" s="9" t="n"/>
      <c r="C495" s="9" t="n"/>
      <c r="M495" s="9" t="n"/>
    </row>
    <row r="496" ht="15.75" customHeight="1" s="14">
      <c r="A496" t="inlineStr">
        <is>
          <t>I-0495</t>
        </is>
      </c>
      <c r="B496" s="9" t="n"/>
      <c r="C496" s="9" t="n"/>
      <c r="M496" s="9" t="n"/>
    </row>
    <row r="497" ht="15.75" customHeight="1" s="14">
      <c r="A497" t="inlineStr">
        <is>
          <t>I-0496</t>
        </is>
      </c>
      <c r="B497" s="9" t="n"/>
      <c r="C497" s="9" t="n"/>
      <c r="M497" s="9" t="n"/>
    </row>
    <row r="498" ht="15.75" customHeight="1" s="14">
      <c r="A498" t="inlineStr">
        <is>
          <t>I-0497</t>
        </is>
      </c>
      <c r="B498" s="9" t="n"/>
      <c r="C498" s="9" t="n"/>
      <c r="M498" s="9" t="n"/>
    </row>
    <row r="499" ht="15.75" customHeight="1" s="14">
      <c r="A499" t="inlineStr">
        <is>
          <t>I-0498</t>
        </is>
      </c>
      <c r="B499" s="9" t="n"/>
      <c r="C499" s="9" t="n"/>
      <c r="M499" s="9" t="n"/>
    </row>
    <row r="500" ht="15.75" customHeight="1" s="14">
      <c r="A500" t="inlineStr">
        <is>
          <t>I-0499</t>
        </is>
      </c>
      <c r="B500" s="9" t="n"/>
      <c r="C500" s="9" t="n"/>
      <c r="M500" s="9" t="n"/>
    </row>
    <row r="501" ht="15.75" customHeight="1" s="14">
      <c r="A501" t="inlineStr">
        <is>
          <t>I-0500</t>
        </is>
      </c>
      <c r="B501" s="9" t="n"/>
      <c r="C501" s="9" t="n"/>
      <c r="M501" s="9" t="n"/>
    </row>
    <row r="502" ht="15.75" customHeight="1" s="14">
      <c r="A502" t="inlineStr">
        <is>
          <t>I-0501</t>
        </is>
      </c>
      <c r="B502" s="9" t="n"/>
      <c r="C502" s="9" t="n"/>
      <c r="M502" s="9" t="n"/>
    </row>
    <row r="503" ht="15.75" customHeight="1" s="14">
      <c r="A503" t="inlineStr">
        <is>
          <t>I-0502</t>
        </is>
      </c>
      <c r="B503" s="9" t="n"/>
      <c r="C503" s="9" t="n"/>
      <c r="M503" s="9" t="n"/>
    </row>
    <row r="504" ht="15.75" customHeight="1" s="14">
      <c r="A504" t="inlineStr">
        <is>
          <t>I-0503</t>
        </is>
      </c>
      <c r="B504" s="9" t="n"/>
      <c r="C504" s="9" t="n"/>
      <c r="M504" s="9" t="n"/>
    </row>
    <row r="505" ht="15.75" customHeight="1" s="14">
      <c r="A505" t="inlineStr">
        <is>
          <t>I-0504</t>
        </is>
      </c>
      <c r="B505" s="9" t="n"/>
      <c r="C505" s="9" t="n"/>
      <c r="M505" s="9" t="n"/>
    </row>
    <row r="506" ht="15.75" customHeight="1" s="14">
      <c r="A506" t="inlineStr">
        <is>
          <t>I-0505</t>
        </is>
      </c>
      <c r="B506" s="9" t="n"/>
      <c r="C506" s="9" t="n"/>
      <c r="M506" s="9" t="n"/>
    </row>
    <row r="507" ht="15.75" customHeight="1" s="14">
      <c r="A507" t="inlineStr">
        <is>
          <t>I-0506</t>
        </is>
      </c>
      <c r="B507" s="9" t="n"/>
      <c r="C507" s="9" t="n"/>
      <c r="M507" s="9" t="n"/>
    </row>
    <row r="508" ht="15.75" customHeight="1" s="14">
      <c r="A508" t="inlineStr">
        <is>
          <t>I-0507</t>
        </is>
      </c>
      <c r="B508" s="9" t="n"/>
      <c r="C508" s="9" t="n"/>
      <c r="M508" s="9" t="n"/>
    </row>
    <row r="509" ht="15.75" customHeight="1" s="14">
      <c r="A509" t="inlineStr">
        <is>
          <t>I-0508</t>
        </is>
      </c>
      <c r="B509" s="9" t="n"/>
      <c r="C509" s="9" t="n"/>
      <c r="M509" s="9" t="n"/>
    </row>
    <row r="510" ht="15.75" customHeight="1" s="14">
      <c r="A510" t="inlineStr">
        <is>
          <t>I-0509</t>
        </is>
      </c>
      <c r="B510" s="9" t="n"/>
      <c r="C510" s="9" t="n"/>
      <c r="M510" s="9" t="n"/>
    </row>
    <row r="511" ht="15.75" customHeight="1" s="14">
      <c r="A511" t="inlineStr">
        <is>
          <t>I-0510</t>
        </is>
      </c>
      <c r="B511" s="9" t="n"/>
      <c r="C511" s="9" t="n"/>
      <c r="M511" s="9" t="n"/>
    </row>
    <row r="512" ht="15.75" customHeight="1" s="14">
      <c r="A512" t="inlineStr">
        <is>
          <t>I-0511</t>
        </is>
      </c>
      <c r="B512" s="9" t="n"/>
      <c r="C512" s="9" t="n"/>
      <c r="M512" s="9" t="n"/>
    </row>
    <row r="513" ht="15.75" customHeight="1" s="14">
      <c r="A513" t="inlineStr">
        <is>
          <t>I-0512</t>
        </is>
      </c>
      <c r="B513" s="9" t="n"/>
      <c r="C513" s="9" t="n"/>
      <c r="M513" s="9" t="n"/>
    </row>
    <row r="514" ht="15.75" customHeight="1" s="14">
      <c r="A514" t="inlineStr">
        <is>
          <t>I-0513</t>
        </is>
      </c>
      <c r="B514" s="9" t="n"/>
      <c r="C514" s="9" t="n"/>
      <c r="M514" s="9" t="n"/>
    </row>
    <row r="515" ht="15.75" customHeight="1" s="14">
      <c r="A515" t="inlineStr">
        <is>
          <t>I-0514</t>
        </is>
      </c>
      <c r="B515" s="9" t="n"/>
      <c r="C515" s="9" t="n"/>
      <c r="M515" s="9" t="n"/>
    </row>
    <row r="516" ht="15.75" customHeight="1" s="14">
      <c r="A516" t="inlineStr">
        <is>
          <t>I-0515</t>
        </is>
      </c>
      <c r="B516" s="9" t="n"/>
      <c r="C516" s="9" t="n"/>
      <c r="M516" s="9" t="n"/>
    </row>
    <row r="517" ht="15.75" customHeight="1" s="14">
      <c r="A517" t="inlineStr">
        <is>
          <t>I-0516</t>
        </is>
      </c>
      <c r="B517" s="9" t="n"/>
      <c r="C517" s="9" t="n"/>
      <c r="M517" s="9" t="n"/>
    </row>
    <row r="518" ht="15.75" customHeight="1" s="14">
      <c r="A518" t="inlineStr">
        <is>
          <t>I-0517</t>
        </is>
      </c>
      <c r="B518" s="9" t="n"/>
      <c r="C518" s="9" t="n"/>
      <c r="M518" s="9" t="n"/>
    </row>
    <row r="519" ht="15.75" customHeight="1" s="14">
      <c r="A519" t="inlineStr">
        <is>
          <t>I-0518</t>
        </is>
      </c>
      <c r="B519" s="9" t="n"/>
      <c r="C519" s="9" t="n"/>
      <c r="M519" s="9" t="n"/>
    </row>
    <row r="520" ht="15.75" customHeight="1" s="14">
      <c r="A520" t="inlineStr">
        <is>
          <t>I-0519</t>
        </is>
      </c>
      <c r="B520" s="9" t="n"/>
      <c r="C520" s="9" t="n"/>
      <c r="M520" s="9" t="n"/>
    </row>
    <row r="521" ht="15.75" customHeight="1" s="14">
      <c r="A521" t="inlineStr">
        <is>
          <t>I-0520</t>
        </is>
      </c>
      <c r="B521" s="9" t="n"/>
      <c r="C521" s="9" t="n"/>
      <c r="M521" s="9" t="n"/>
    </row>
    <row r="522" ht="15.75" customHeight="1" s="14">
      <c r="A522" t="inlineStr">
        <is>
          <t>I-0521</t>
        </is>
      </c>
      <c r="B522" s="9" t="n"/>
      <c r="C522" s="9" t="n"/>
      <c r="M522" s="9" t="n"/>
    </row>
    <row r="523" ht="15.75" customHeight="1" s="14">
      <c r="A523" t="inlineStr">
        <is>
          <t>I-0522</t>
        </is>
      </c>
      <c r="B523" s="9" t="n"/>
      <c r="C523" s="9" t="n"/>
      <c r="M523" s="9" t="n"/>
    </row>
    <row r="524" ht="15.75" customHeight="1" s="14">
      <c r="A524" t="inlineStr">
        <is>
          <t>I-0523</t>
        </is>
      </c>
      <c r="B524" s="9" t="n"/>
      <c r="C524" s="9" t="n"/>
      <c r="M524" s="9" t="n"/>
    </row>
    <row r="525" ht="15.75" customHeight="1" s="14">
      <c r="A525" t="inlineStr">
        <is>
          <t>I-0524</t>
        </is>
      </c>
      <c r="B525" s="9" t="n"/>
      <c r="C525" s="9" t="n"/>
      <c r="M525" s="9" t="n"/>
    </row>
    <row r="526" ht="15.75" customHeight="1" s="14">
      <c r="A526" t="inlineStr">
        <is>
          <t>I-0525</t>
        </is>
      </c>
      <c r="B526" s="9" t="n"/>
      <c r="C526" s="9" t="n"/>
      <c r="M526" s="9" t="n"/>
    </row>
    <row r="527" ht="15.75" customHeight="1" s="14">
      <c r="A527" t="inlineStr">
        <is>
          <t>I-0526</t>
        </is>
      </c>
      <c r="B527" s="9" t="n"/>
      <c r="C527" s="9" t="n"/>
      <c r="M527" s="9" t="n"/>
    </row>
    <row r="528" ht="15.75" customHeight="1" s="14">
      <c r="A528" t="inlineStr">
        <is>
          <t>I-0527</t>
        </is>
      </c>
      <c r="B528" s="9" t="n"/>
      <c r="C528" s="9" t="n"/>
      <c r="M528" s="9" t="n"/>
    </row>
    <row r="529" ht="15.75" customHeight="1" s="14">
      <c r="A529" t="inlineStr">
        <is>
          <t>I-0528</t>
        </is>
      </c>
      <c r="B529" s="9" t="n"/>
      <c r="C529" s="9" t="n"/>
      <c r="M529" s="9" t="n"/>
    </row>
    <row r="530" ht="15.75" customHeight="1" s="14">
      <c r="A530" t="inlineStr">
        <is>
          <t>I-0529</t>
        </is>
      </c>
      <c r="B530" s="9" t="n"/>
      <c r="C530" s="9" t="n"/>
      <c r="M530" s="9" t="n"/>
    </row>
    <row r="531" ht="15.75" customHeight="1" s="14">
      <c r="A531" t="inlineStr">
        <is>
          <t>I-0530</t>
        </is>
      </c>
      <c r="B531" s="9" t="n"/>
      <c r="C531" s="9" t="n"/>
      <c r="M531" s="9" t="n"/>
    </row>
    <row r="532" ht="15.75" customHeight="1" s="14">
      <c r="A532" t="inlineStr">
        <is>
          <t>I-0531</t>
        </is>
      </c>
      <c r="B532" s="9" t="n"/>
      <c r="C532" s="9" t="n"/>
      <c r="M532" s="9" t="n"/>
    </row>
    <row r="533" ht="15.75" customHeight="1" s="14">
      <c r="A533" t="inlineStr">
        <is>
          <t>I-0532</t>
        </is>
      </c>
      <c r="B533" s="9" t="n"/>
      <c r="C533" s="9" t="n"/>
      <c r="M533" s="9" t="n"/>
    </row>
    <row r="534" ht="15.75" customHeight="1" s="14">
      <c r="A534" t="inlineStr">
        <is>
          <t>I-0533</t>
        </is>
      </c>
      <c r="B534" s="9" t="n"/>
      <c r="C534" s="9" t="n"/>
      <c r="M534" s="9" t="n"/>
    </row>
    <row r="535" ht="15.75" customHeight="1" s="14">
      <c r="A535" t="inlineStr">
        <is>
          <t>I-0534</t>
        </is>
      </c>
      <c r="B535" s="9" t="n"/>
      <c r="C535" s="9" t="n"/>
      <c r="M535" s="9" t="n"/>
    </row>
    <row r="536" ht="15.75" customHeight="1" s="14">
      <c r="A536" t="inlineStr">
        <is>
          <t>I-0535</t>
        </is>
      </c>
      <c r="B536" s="9" t="n"/>
      <c r="C536" s="9" t="n"/>
      <c r="M536" s="9" t="n"/>
    </row>
    <row r="537" ht="15.75" customHeight="1" s="14">
      <c r="A537" t="inlineStr">
        <is>
          <t>I-0536</t>
        </is>
      </c>
      <c r="B537" s="9" t="n"/>
      <c r="C537" s="9" t="n"/>
      <c r="M537" s="9" t="n"/>
    </row>
    <row r="538" ht="15.75" customHeight="1" s="14">
      <c r="A538" t="inlineStr">
        <is>
          <t>I-0537</t>
        </is>
      </c>
      <c r="B538" s="9" t="n"/>
      <c r="C538" s="9" t="n"/>
      <c r="M538" s="9" t="n"/>
    </row>
    <row r="539" ht="15.75" customHeight="1" s="14">
      <c r="A539" t="inlineStr">
        <is>
          <t>I-0538</t>
        </is>
      </c>
      <c r="B539" s="9" t="n"/>
      <c r="C539" s="9" t="n"/>
      <c r="M539" s="9" t="n"/>
    </row>
    <row r="540" ht="15.75" customHeight="1" s="14">
      <c r="A540" t="inlineStr">
        <is>
          <t>I-0539</t>
        </is>
      </c>
      <c r="B540" s="9" t="n"/>
      <c r="C540" s="9" t="n"/>
      <c r="M540" s="9" t="n"/>
    </row>
    <row r="541" ht="15.75" customHeight="1" s="14">
      <c r="A541" t="inlineStr">
        <is>
          <t>I-0540</t>
        </is>
      </c>
      <c r="B541" s="9" t="n"/>
      <c r="C541" s="9" t="n"/>
      <c r="M541" s="9" t="n"/>
    </row>
    <row r="542" ht="15.75" customHeight="1" s="14">
      <c r="A542" t="inlineStr">
        <is>
          <t>I-0541</t>
        </is>
      </c>
      <c r="B542" s="9" t="n"/>
      <c r="C542" s="9" t="n"/>
      <c r="M542" s="9" t="n"/>
    </row>
    <row r="543" ht="15.75" customHeight="1" s="14">
      <c r="A543" t="inlineStr">
        <is>
          <t>I-0542</t>
        </is>
      </c>
      <c r="B543" s="9" t="n"/>
      <c r="C543" s="9" t="n"/>
      <c r="M543" s="9" t="n"/>
    </row>
    <row r="544" ht="15.75" customHeight="1" s="14">
      <c r="A544" t="inlineStr">
        <is>
          <t>I-0543</t>
        </is>
      </c>
      <c r="B544" s="9" t="n"/>
      <c r="C544" s="9" t="n"/>
      <c r="M544" s="9" t="n"/>
    </row>
    <row r="545" ht="15.75" customHeight="1" s="14">
      <c r="A545" t="inlineStr">
        <is>
          <t>I-0544</t>
        </is>
      </c>
      <c r="B545" s="9" t="n"/>
      <c r="C545" s="9" t="n"/>
      <c r="M545" s="9" t="n"/>
    </row>
    <row r="546" ht="15.75" customHeight="1" s="14">
      <c r="A546" t="inlineStr">
        <is>
          <t>I-0545</t>
        </is>
      </c>
      <c r="B546" s="9" t="n"/>
      <c r="C546" s="9" t="n"/>
      <c r="M546" s="9" t="n"/>
    </row>
    <row r="547" ht="15.75" customHeight="1" s="14">
      <c r="A547" t="inlineStr">
        <is>
          <t>I-0546</t>
        </is>
      </c>
      <c r="B547" s="9" t="n"/>
      <c r="C547" s="9" t="n"/>
      <c r="M547" s="9" t="n"/>
    </row>
    <row r="548" ht="15.75" customHeight="1" s="14">
      <c r="A548" t="inlineStr">
        <is>
          <t>I-0547</t>
        </is>
      </c>
      <c r="B548" s="9" t="n"/>
      <c r="C548" s="9" t="n"/>
      <c r="M548" s="9" t="n"/>
    </row>
    <row r="549" ht="15.75" customHeight="1" s="14">
      <c r="A549" t="inlineStr">
        <is>
          <t>I-0548</t>
        </is>
      </c>
      <c r="B549" s="9" t="n"/>
      <c r="C549" s="9" t="n"/>
      <c r="M549" s="9" t="n"/>
    </row>
    <row r="550" ht="15.75" customHeight="1" s="14">
      <c r="A550" t="inlineStr">
        <is>
          <t>I-0549</t>
        </is>
      </c>
      <c r="B550" s="9" t="n"/>
      <c r="C550" s="9" t="n"/>
      <c r="M550" s="9" t="n"/>
    </row>
    <row r="551" ht="15.75" customHeight="1" s="14">
      <c r="A551" t="inlineStr">
        <is>
          <t>I-0550</t>
        </is>
      </c>
      <c r="B551" s="9" t="n"/>
      <c r="C551" s="9" t="n"/>
      <c r="M551" s="9" t="n"/>
    </row>
    <row r="552" ht="15.75" customHeight="1" s="14">
      <c r="A552" t="inlineStr">
        <is>
          <t>I-0551</t>
        </is>
      </c>
      <c r="B552" s="9" t="n"/>
      <c r="C552" s="9" t="n"/>
      <c r="M552" s="9" t="n"/>
    </row>
    <row r="553" ht="15.75" customHeight="1" s="14">
      <c r="A553" t="inlineStr">
        <is>
          <t>I-0552</t>
        </is>
      </c>
      <c r="B553" s="9" t="n"/>
      <c r="C553" s="9" t="n"/>
      <c r="M553" s="9" t="n"/>
    </row>
    <row r="554" ht="15.75" customHeight="1" s="14">
      <c r="A554" t="inlineStr">
        <is>
          <t>I-0553</t>
        </is>
      </c>
      <c r="B554" s="9" t="n"/>
      <c r="C554" s="9" t="n"/>
      <c r="M554" s="9" t="n"/>
    </row>
    <row r="555" ht="15.75" customHeight="1" s="14">
      <c r="A555" t="inlineStr">
        <is>
          <t>I-0554</t>
        </is>
      </c>
      <c r="B555" s="9" t="n"/>
      <c r="C555" s="9" t="n"/>
      <c r="M555" s="9" t="n"/>
    </row>
    <row r="556" ht="15.75" customHeight="1" s="14">
      <c r="A556" t="inlineStr">
        <is>
          <t>I-0555</t>
        </is>
      </c>
      <c r="B556" s="9" t="n"/>
      <c r="C556" s="9" t="n"/>
      <c r="M556" s="9" t="n"/>
    </row>
    <row r="557" ht="15.75" customHeight="1" s="14">
      <c r="A557" t="inlineStr">
        <is>
          <t>I-0556</t>
        </is>
      </c>
      <c r="B557" s="9" t="n"/>
      <c r="C557" s="9" t="n"/>
      <c r="M557" s="9" t="n"/>
    </row>
    <row r="558" ht="15.75" customHeight="1" s="14">
      <c r="A558" t="inlineStr">
        <is>
          <t>I-0557</t>
        </is>
      </c>
      <c r="B558" s="9" t="n"/>
      <c r="C558" s="9" t="n"/>
      <c r="M558" s="9" t="n"/>
    </row>
    <row r="559" ht="15.75" customHeight="1" s="14">
      <c r="A559" t="inlineStr">
        <is>
          <t>I-0558</t>
        </is>
      </c>
      <c r="B559" s="9" t="n"/>
      <c r="C559" s="9" t="n"/>
      <c r="M559" s="9" t="n"/>
    </row>
    <row r="560" ht="15.75" customHeight="1" s="14">
      <c r="A560" t="inlineStr">
        <is>
          <t>I-0559</t>
        </is>
      </c>
      <c r="B560" s="9" t="n"/>
      <c r="C560" s="9" t="n"/>
      <c r="M560" s="9" t="n"/>
    </row>
    <row r="561" ht="15.75" customHeight="1" s="14">
      <c r="A561" t="inlineStr">
        <is>
          <t>I-0560</t>
        </is>
      </c>
      <c r="B561" s="9" t="n"/>
      <c r="C561" s="9" t="n"/>
      <c r="M561" s="9" t="n"/>
    </row>
    <row r="562" ht="15.75" customHeight="1" s="14">
      <c r="A562" t="inlineStr">
        <is>
          <t>I-0561</t>
        </is>
      </c>
      <c r="B562" s="9" t="n"/>
      <c r="C562" s="9" t="n"/>
      <c r="M562" s="9" t="n"/>
    </row>
    <row r="563" ht="15.75" customHeight="1" s="14">
      <c r="A563" t="inlineStr">
        <is>
          <t>I-0562</t>
        </is>
      </c>
      <c r="B563" s="9" t="n"/>
      <c r="C563" s="9" t="n"/>
      <c r="M563" s="9" t="n"/>
    </row>
    <row r="564" ht="15.75" customHeight="1" s="14">
      <c r="A564" t="inlineStr">
        <is>
          <t>I-0563</t>
        </is>
      </c>
      <c r="B564" s="9" t="n"/>
      <c r="C564" s="9" t="n"/>
      <c r="M564" s="9" t="n"/>
    </row>
    <row r="565" ht="15.75" customHeight="1" s="14">
      <c r="A565" t="inlineStr">
        <is>
          <t>I-0564</t>
        </is>
      </c>
      <c r="B565" s="9" t="n"/>
      <c r="C565" s="9" t="n"/>
      <c r="M565" s="9" t="n"/>
    </row>
    <row r="566" ht="15.75" customHeight="1" s="14">
      <c r="A566" t="inlineStr">
        <is>
          <t>I-0565</t>
        </is>
      </c>
      <c r="B566" s="9" t="n"/>
      <c r="C566" s="9" t="n"/>
      <c r="M566" s="9" t="n"/>
    </row>
    <row r="567" ht="15.75" customHeight="1" s="14">
      <c r="A567" t="inlineStr">
        <is>
          <t>I-0566</t>
        </is>
      </c>
      <c r="B567" s="9" t="n"/>
      <c r="C567" s="9" t="n"/>
      <c r="M567" s="9" t="n"/>
    </row>
    <row r="568" ht="15.75" customHeight="1" s="14">
      <c r="A568" t="inlineStr">
        <is>
          <t>I-0567</t>
        </is>
      </c>
      <c r="B568" s="9" t="n"/>
      <c r="C568" s="9" t="n"/>
      <c r="M568" s="9" t="n"/>
    </row>
    <row r="569" ht="15.75" customHeight="1" s="14">
      <c r="A569" t="inlineStr">
        <is>
          <t>I-0568</t>
        </is>
      </c>
      <c r="B569" s="9" t="n"/>
      <c r="C569" s="9" t="n"/>
      <c r="M569" s="9" t="n"/>
    </row>
    <row r="570" ht="15.75" customHeight="1" s="14">
      <c r="A570" t="inlineStr">
        <is>
          <t>I-0569</t>
        </is>
      </c>
      <c r="B570" s="9" t="n"/>
      <c r="C570" s="9" t="n"/>
      <c r="M570" s="9" t="n"/>
    </row>
    <row r="571" ht="15.75" customHeight="1" s="14">
      <c r="A571" t="inlineStr">
        <is>
          <t>I-0570</t>
        </is>
      </c>
      <c r="B571" s="9" t="n"/>
      <c r="C571" s="9" t="n"/>
      <c r="M571" s="9" t="n"/>
    </row>
    <row r="572" ht="15.75" customHeight="1" s="14">
      <c r="A572" t="inlineStr">
        <is>
          <t>I-0571</t>
        </is>
      </c>
      <c r="B572" s="9" t="n"/>
      <c r="C572" s="9" t="n"/>
      <c r="M572" s="9" t="n"/>
    </row>
    <row r="573" ht="15.75" customHeight="1" s="14">
      <c r="A573" t="inlineStr">
        <is>
          <t>I-0572</t>
        </is>
      </c>
      <c r="B573" s="9" t="n"/>
      <c r="C573" s="9" t="n"/>
      <c r="M573" s="9" t="n"/>
    </row>
    <row r="574" ht="15.75" customHeight="1" s="14">
      <c r="A574" t="inlineStr">
        <is>
          <t>I-0573</t>
        </is>
      </c>
      <c r="B574" s="9" t="n"/>
      <c r="C574" s="9" t="n"/>
      <c r="M574" s="9" t="n"/>
    </row>
    <row r="575" ht="15.75" customHeight="1" s="14">
      <c r="A575" t="inlineStr">
        <is>
          <t>I-0574</t>
        </is>
      </c>
      <c r="B575" s="9" t="n"/>
      <c r="C575" s="9" t="n"/>
      <c r="M575" s="9" t="n"/>
    </row>
    <row r="576" ht="15.75" customHeight="1" s="14">
      <c r="A576" t="inlineStr">
        <is>
          <t>I-0575</t>
        </is>
      </c>
      <c r="B576" s="9" t="n"/>
      <c r="C576" s="9" t="n"/>
      <c r="M576" s="9" t="n"/>
    </row>
    <row r="577" ht="15.75" customHeight="1" s="14">
      <c r="A577" t="inlineStr">
        <is>
          <t>I-0576</t>
        </is>
      </c>
      <c r="B577" s="9" t="n"/>
      <c r="C577" s="9" t="n"/>
      <c r="M577" s="9" t="n"/>
    </row>
    <row r="578" ht="15.75" customHeight="1" s="14">
      <c r="A578" t="inlineStr">
        <is>
          <t>I-0577</t>
        </is>
      </c>
      <c r="B578" s="9" t="n"/>
      <c r="C578" s="9" t="n"/>
      <c r="M578" s="9" t="n"/>
    </row>
    <row r="579" ht="15.75" customHeight="1" s="14">
      <c r="A579" t="inlineStr">
        <is>
          <t>I-0578</t>
        </is>
      </c>
      <c r="B579" s="9" t="n"/>
      <c r="C579" s="9" t="n"/>
      <c r="M579" s="9" t="n"/>
    </row>
    <row r="580" ht="15.75" customHeight="1" s="14">
      <c r="A580" t="inlineStr">
        <is>
          <t>I-0579</t>
        </is>
      </c>
      <c r="B580" s="9" t="n"/>
      <c r="C580" s="9" t="n"/>
      <c r="M580" s="9" t="n"/>
    </row>
    <row r="581" ht="15.75" customHeight="1" s="14">
      <c r="A581" t="inlineStr">
        <is>
          <t>I-0580</t>
        </is>
      </c>
      <c r="B581" s="9" t="n"/>
      <c r="C581" s="9" t="n"/>
      <c r="M581" s="9" t="n"/>
    </row>
    <row r="582" ht="15.75" customHeight="1" s="14">
      <c r="A582" t="inlineStr">
        <is>
          <t>I-0581</t>
        </is>
      </c>
      <c r="B582" s="9" t="n"/>
      <c r="C582" s="9" t="n"/>
      <c r="M582" s="9" t="n"/>
    </row>
    <row r="583" ht="15.75" customHeight="1" s="14">
      <c r="A583" t="inlineStr">
        <is>
          <t>I-0582</t>
        </is>
      </c>
      <c r="B583" s="9" t="n"/>
      <c r="C583" s="9" t="n"/>
      <c r="M583" s="9" t="n"/>
    </row>
    <row r="584" ht="15.75" customHeight="1" s="14">
      <c r="A584" t="inlineStr">
        <is>
          <t>I-0583</t>
        </is>
      </c>
      <c r="B584" s="9" t="n"/>
      <c r="C584" s="9" t="n"/>
      <c r="M584" s="9" t="n"/>
    </row>
    <row r="585" ht="15.75" customHeight="1" s="14">
      <c r="A585" t="inlineStr">
        <is>
          <t>I-0584</t>
        </is>
      </c>
      <c r="B585" s="9" t="n"/>
      <c r="C585" s="9" t="n"/>
      <c r="M585" s="9" t="n"/>
    </row>
    <row r="586" ht="15.75" customHeight="1" s="14">
      <c r="A586" t="inlineStr">
        <is>
          <t>I-0585</t>
        </is>
      </c>
      <c r="B586" s="9" t="n"/>
      <c r="C586" s="9" t="n"/>
      <c r="M586" s="9" t="n"/>
    </row>
    <row r="587" ht="15.75" customHeight="1" s="14">
      <c r="A587" t="inlineStr">
        <is>
          <t>I-0586</t>
        </is>
      </c>
      <c r="B587" s="9" t="n"/>
      <c r="C587" s="9" t="n"/>
      <c r="M587" s="9" t="n"/>
    </row>
    <row r="588" ht="15.75" customHeight="1" s="14">
      <c r="A588" t="inlineStr">
        <is>
          <t>I-0587</t>
        </is>
      </c>
      <c r="B588" s="9" t="n"/>
      <c r="C588" s="9" t="n"/>
      <c r="M588" s="9" t="n"/>
    </row>
    <row r="589" ht="15.75" customHeight="1" s="14">
      <c r="A589" t="inlineStr">
        <is>
          <t>I-0588</t>
        </is>
      </c>
      <c r="B589" s="9" t="n"/>
      <c r="C589" s="9" t="n"/>
      <c r="M589" s="9" t="n"/>
    </row>
    <row r="590" ht="15.75" customHeight="1" s="14">
      <c r="A590" t="inlineStr">
        <is>
          <t>I-0589</t>
        </is>
      </c>
      <c r="B590" s="9" t="n"/>
      <c r="C590" s="9" t="n"/>
      <c r="M590" s="9" t="n"/>
    </row>
    <row r="591" ht="15.75" customHeight="1" s="14">
      <c r="A591" t="inlineStr">
        <is>
          <t>I-0590</t>
        </is>
      </c>
      <c r="B591" s="9" t="n"/>
      <c r="C591" s="9" t="n"/>
      <c r="M591" s="9" t="n"/>
    </row>
    <row r="592" ht="15.75" customHeight="1" s="14">
      <c r="A592" t="inlineStr">
        <is>
          <t>I-0591</t>
        </is>
      </c>
      <c r="B592" s="9" t="n"/>
      <c r="C592" s="9" t="n"/>
      <c r="M592" s="9" t="n"/>
    </row>
    <row r="593" ht="15.75" customHeight="1" s="14">
      <c r="A593" t="inlineStr">
        <is>
          <t>I-0592</t>
        </is>
      </c>
      <c r="B593" s="9" t="n"/>
      <c r="C593" s="9" t="n"/>
      <c r="M593" s="9" t="n"/>
    </row>
    <row r="594" ht="15.75" customHeight="1" s="14">
      <c r="A594" t="inlineStr">
        <is>
          <t>I-0593</t>
        </is>
      </c>
      <c r="B594" s="9" t="n"/>
      <c r="C594" s="9" t="n"/>
      <c r="M594" s="9" t="n"/>
    </row>
    <row r="595" ht="15.75" customHeight="1" s="14">
      <c r="A595" t="inlineStr">
        <is>
          <t>I-0594</t>
        </is>
      </c>
      <c r="B595" s="9" t="n"/>
      <c r="C595" s="9" t="n"/>
      <c r="M595" s="9" t="n"/>
    </row>
    <row r="596" ht="15.75" customHeight="1" s="14">
      <c r="A596" t="inlineStr">
        <is>
          <t>I-0595</t>
        </is>
      </c>
      <c r="B596" s="9" t="n"/>
      <c r="C596" s="9" t="n"/>
      <c r="M596" s="9" t="n"/>
    </row>
    <row r="597" ht="15.75" customHeight="1" s="14">
      <c r="A597" t="inlineStr">
        <is>
          <t>I-0596</t>
        </is>
      </c>
      <c r="B597" s="9" t="n"/>
      <c r="C597" s="9" t="n"/>
      <c r="M597" s="9" t="n"/>
    </row>
    <row r="598" ht="15.75" customHeight="1" s="14">
      <c r="A598" t="inlineStr">
        <is>
          <t>I-0597</t>
        </is>
      </c>
      <c r="B598" s="9" t="n"/>
      <c r="C598" s="9" t="n"/>
      <c r="M598" s="9" t="n"/>
    </row>
    <row r="599" ht="15.75" customHeight="1" s="14">
      <c r="A599" t="inlineStr">
        <is>
          <t>I-0598</t>
        </is>
      </c>
      <c r="B599" s="9" t="n"/>
      <c r="C599" s="9" t="n"/>
      <c r="M599" s="9" t="n"/>
    </row>
    <row r="600" ht="15.75" customHeight="1" s="14">
      <c r="A600" t="inlineStr">
        <is>
          <t>I-0599</t>
        </is>
      </c>
      <c r="B600" s="9" t="n"/>
      <c r="C600" s="9" t="n"/>
      <c r="M600" s="9" t="n"/>
    </row>
    <row r="601" ht="15.75" customHeight="1" s="14">
      <c r="A601" t="inlineStr">
        <is>
          <t>I-0600</t>
        </is>
      </c>
      <c r="B601" s="9" t="n"/>
      <c r="C601" s="9" t="n"/>
      <c r="M601" s="9" t="n"/>
    </row>
    <row r="602" ht="15.75" customHeight="1" s="14">
      <c r="A602" t="inlineStr">
        <is>
          <t>I-0601</t>
        </is>
      </c>
      <c r="B602" s="9" t="n"/>
      <c r="C602" s="9" t="n"/>
      <c r="M602" s="9" t="n"/>
    </row>
    <row r="603" ht="15.75" customHeight="1" s="14">
      <c r="A603" t="inlineStr">
        <is>
          <t>I-0602</t>
        </is>
      </c>
      <c r="B603" s="9" t="n"/>
      <c r="C603" s="9" t="n"/>
      <c r="M603" s="9" t="n"/>
    </row>
    <row r="604" ht="15.75" customHeight="1" s="14">
      <c r="A604" t="inlineStr">
        <is>
          <t>I-0603</t>
        </is>
      </c>
      <c r="B604" s="9" t="n"/>
      <c r="C604" s="9" t="n"/>
      <c r="M604" s="9" t="n"/>
    </row>
    <row r="605" ht="15.75" customHeight="1" s="14">
      <c r="A605" t="inlineStr">
        <is>
          <t>I-0604</t>
        </is>
      </c>
      <c r="B605" s="9" t="n"/>
      <c r="C605" s="9" t="n"/>
      <c r="M605" s="9" t="n"/>
    </row>
    <row r="606" ht="15.75" customHeight="1" s="14">
      <c r="A606" t="inlineStr">
        <is>
          <t>I-0605</t>
        </is>
      </c>
      <c r="B606" s="9" t="n"/>
      <c r="C606" s="9" t="n"/>
      <c r="M606" s="9" t="n"/>
    </row>
    <row r="607" ht="15.75" customHeight="1" s="14">
      <c r="A607" t="inlineStr">
        <is>
          <t>I-0606</t>
        </is>
      </c>
      <c r="B607" s="9" t="n"/>
      <c r="C607" s="9" t="n"/>
      <c r="M607" s="9" t="n"/>
    </row>
    <row r="608" ht="15.75" customHeight="1" s="14">
      <c r="A608" t="inlineStr">
        <is>
          <t>I-0607</t>
        </is>
      </c>
      <c r="B608" s="9" t="n"/>
      <c r="C608" s="9" t="n"/>
      <c r="M608" s="9" t="n"/>
    </row>
    <row r="609" ht="15.75" customHeight="1" s="14">
      <c r="A609" t="inlineStr">
        <is>
          <t>I-0608</t>
        </is>
      </c>
      <c r="B609" s="9" t="n"/>
      <c r="C609" s="9" t="n"/>
      <c r="M609" s="9" t="n"/>
    </row>
    <row r="610" ht="15.75" customHeight="1" s="14">
      <c r="A610" t="inlineStr">
        <is>
          <t>I-0609</t>
        </is>
      </c>
      <c r="B610" s="9" t="n"/>
      <c r="C610" s="9" t="n"/>
      <c r="M610" s="9" t="n"/>
    </row>
    <row r="611" ht="15.75" customHeight="1" s="14">
      <c r="A611" t="inlineStr">
        <is>
          <t>I-0610</t>
        </is>
      </c>
      <c r="B611" s="9" t="n"/>
      <c r="C611" s="9" t="n"/>
      <c r="M611" s="9" t="n"/>
    </row>
    <row r="612" ht="15.75" customHeight="1" s="14">
      <c r="A612" t="inlineStr">
        <is>
          <t>I-0611</t>
        </is>
      </c>
      <c r="B612" s="9" t="n"/>
      <c r="C612" s="9" t="n"/>
      <c r="M612" s="9" t="n"/>
    </row>
    <row r="613" ht="15.75" customHeight="1" s="14">
      <c r="A613" t="inlineStr">
        <is>
          <t>I-0612</t>
        </is>
      </c>
      <c r="B613" s="9" t="n"/>
      <c r="C613" s="9" t="n"/>
      <c r="M613" s="9" t="n"/>
    </row>
    <row r="614" ht="15.75" customHeight="1" s="14">
      <c r="A614" t="inlineStr">
        <is>
          <t>I-0613</t>
        </is>
      </c>
      <c r="B614" s="9" t="n"/>
      <c r="C614" s="9" t="n"/>
      <c r="M614" s="9" t="n"/>
    </row>
    <row r="615" ht="15.75" customHeight="1" s="14">
      <c r="A615" t="inlineStr">
        <is>
          <t>I-0614</t>
        </is>
      </c>
      <c r="B615" s="9" t="n"/>
      <c r="C615" s="9" t="n"/>
      <c r="M615" s="9" t="n"/>
    </row>
    <row r="616" ht="15.75" customHeight="1" s="14">
      <c r="A616" t="inlineStr">
        <is>
          <t>I-0615</t>
        </is>
      </c>
      <c r="B616" s="9" t="n"/>
      <c r="C616" s="9" t="n"/>
      <c r="M616" s="9" t="n"/>
    </row>
    <row r="617" ht="15.75" customHeight="1" s="14">
      <c r="A617" t="inlineStr">
        <is>
          <t>I-0616</t>
        </is>
      </c>
      <c r="B617" s="9" t="n"/>
      <c r="C617" s="9" t="n"/>
      <c r="M617" s="9" t="n"/>
    </row>
    <row r="618" ht="15.75" customHeight="1" s="14">
      <c r="A618" t="inlineStr">
        <is>
          <t>I-0617</t>
        </is>
      </c>
      <c r="B618" s="9" t="n"/>
      <c r="C618" s="9" t="n"/>
      <c r="M618" s="9" t="n"/>
    </row>
    <row r="619" ht="15.75" customHeight="1" s="14">
      <c r="A619" t="inlineStr">
        <is>
          <t>I-0618</t>
        </is>
      </c>
      <c r="B619" s="9" t="n"/>
      <c r="C619" s="9" t="n"/>
      <c r="M619" s="9" t="n"/>
    </row>
    <row r="620" ht="15.75" customHeight="1" s="14">
      <c r="A620" t="inlineStr">
        <is>
          <t>I-0619</t>
        </is>
      </c>
      <c r="B620" s="9" t="n"/>
      <c r="C620" s="9" t="n"/>
      <c r="M620" s="9" t="n"/>
    </row>
    <row r="621" ht="15.75" customHeight="1" s="14">
      <c r="A621" t="inlineStr">
        <is>
          <t>I-0620</t>
        </is>
      </c>
      <c r="B621" s="9" t="n"/>
      <c r="C621" s="9" t="n"/>
      <c r="M621" s="9" t="n"/>
    </row>
    <row r="622" ht="15.75" customHeight="1" s="14">
      <c r="A622" t="inlineStr">
        <is>
          <t>I-0621</t>
        </is>
      </c>
      <c r="B622" s="9" t="n"/>
      <c r="C622" s="9" t="n"/>
      <c r="M622" s="9" t="n"/>
    </row>
    <row r="623" ht="15.75" customHeight="1" s="14">
      <c r="A623" t="inlineStr">
        <is>
          <t>I-0622</t>
        </is>
      </c>
      <c r="B623" s="9" t="n"/>
      <c r="C623" s="9" t="n"/>
      <c r="M623" s="9" t="n"/>
    </row>
    <row r="624" ht="15.75" customHeight="1" s="14">
      <c r="A624" t="inlineStr">
        <is>
          <t>I-0623</t>
        </is>
      </c>
      <c r="B624" s="9" t="n"/>
      <c r="C624" s="9" t="n"/>
      <c r="M624" s="9" t="n"/>
    </row>
    <row r="625" ht="15.75" customHeight="1" s="14">
      <c r="A625" t="inlineStr">
        <is>
          <t>I-0624</t>
        </is>
      </c>
      <c r="B625" s="9" t="n"/>
      <c r="C625" s="9" t="n"/>
      <c r="M625" s="9" t="n"/>
    </row>
    <row r="626" ht="15.75" customHeight="1" s="14">
      <c r="A626" t="inlineStr">
        <is>
          <t>I-0625</t>
        </is>
      </c>
      <c r="B626" s="9" t="n"/>
      <c r="C626" s="9" t="n"/>
      <c r="M626" s="9" t="n"/>
    </row>
    <row r="627" ht="15.75" customHeight="1" s="14">
      <c r="A627" t="inlineStr">
        <is>
          <t>I-0626</t>
        </is>
      </c>
      <c r="B627" s="9" t="n"/>
      <c r="C627" s="9" t="n"/>
      <c r="M627" s="9" t="n"/>
    </row>
    <row r="628" ht="15.75" customHeight="1" s="14">
      <c r="A628" t="inlineStr">
        <is>
          <t>I-0627</t>
        </is>
      </c>
      <c r="B628" s="9" t="n"/>
      <c r="C628" s="9" t="n"/>
      <c r="M628" s="9" t="n"/>
    </row>
    <row r="629" ht="15.75" customHeight="1" s="14">
      <c r="A629" t="inlineStr">
        <is>
          <t>I-0628</t>
        </is>
      </c>
      <c r="B629" s="9" t="n"/>
      <c r="C629" s="9" t="n"/>
      <c r="M629" s="9" t="n"/>
    </row>
    <row r="630" ht="15.75" customHeight="1" s="14">
      <c r="A630" t="inlineStr">
        <is>
          <t>I-0629</t>
        </is>
      </c>
      <c r="B630" s="9" t="n"/>
      <c r="C630" s="9" t="n"/>
      <c r="M630" s="9" t="n"/>
    </row>
    <row r="631" ht="15.75" customHeight="1" s="14">
      <c r="A631" t="inlineStr">
        <is>
          <t>I-0630</t>
        </is>
      </c>
      <c r="B631" s="9" t="n"/>
      <c r="C631" s="9" t="n"/>
      <c r="M631" s="9" t="n"/>
    </row>
    <row r="632" ht="15.75" customHeight="1" s="14">
      <c r="A632" t="inlineStr">
        <is>
          <t>I-0631</t>
        </is>
      </c>
      <c r="B632" s="9" t="n"/>
      <c r="C632" s="9" t="n"/>
      <c r="M632" s="9" t="n"/>
    </row>
    <row r="633" ht="15.75" customHeight="1" s="14">
      <c r="A633" t="inlineStr">
        <is>
          <t>I-0632</t>
        </is>
      </c>
      <c r="B633" s="9" t="n"/>
      <c r="C633" s="9" t="n"/>
      <c r="M633" s="9" t="n"/>
    </row>
    <row r="634" ht="15.75" customHeight="1" s="14">
      <c r="A634" t="inlineStr">
        <is>
          <t>I-0633</t>
        </is>
      </c>
      <c r="B634" s="9" t="n"/>
      <c r="C634" s="9" t="n"/>
      <c r="M634" s="9" t="n"/>
    </row>
    <row r="635" ht="15.75" customHeight="1" s="14">
      <c r="A635" t="inlineStr">
        <is>
          <t>I-0634</t>
        </is>
      </c>
      <c r="B635" s="9" t="n"/>
      <c r="C635" s="9" t="n"/>
      <c r="M635" s="9" t="n"/>
    </row>
    <row r="636" ht="15.75" customHeight="1" s="14">
      <c r="A636" t="inlineStr">
        <is>
          <t>I-0635</t>
        </is>
      </c>
      <c r="B636" s="9" t="n"/>
      <c r="C636" s="9" t="n"/>
      <c r="M636" s="9" t="n"/>
    </row>
    <row r="637" ht="15.75" customHeight="1" s="14">
      <c r="A637" t="inlineStr">
        <is>
          <t>I-0636</t>
        </is>
      </c>
      <c r="B637" s="9" t="n"/>
      <c r="C637" s="9" t="n"/>
      <c r="M637" s="9" t="n"/>
    </row>
    <row r="638" ht="15.75" customHeight="1" s="14">
      <c r="A638" t="inlineStr">
        <is>
          <t>I-0637</t>
        </is>
      </c>
      <c r="B638" s="9" t="n"/>
      <c r="C638" s="9" t="n"/>
      <c r="M638" s="9" t="n"/>
    </row>
    <row r="639" ht="15.75" customHeight="1" s="14">
      <c r="A639" t="inlineStr">
        <is>
          <t>I-0638</t>
        </is>
      </c>
      <c r="B639" s="9" t="n"/>
      <c r="C639" s="9" t="n"/>
      <c r="M639" s="9" t="n"/>
    </row>
    <row r="640" ht="15.75" customHeight="1" s="14">
      <c r="A640" t="inlineStr">
        <is>
          <t>I-0639</t>
        </is>
      </c>
      <c r="B640" s="9" t="n"/>
      <c r="C640" s="9" t="n"/>
      <c r="M640" s="9" t="n"/>
    </row>
    <row r="641" ht="15.75" customHeight="1" s="14">
      <c r="A641" t="inlineStr">
        <is>
          <t>I-0640</t>
        </is>
      </c>
      <c r="B641" s="9" t="n"/>
      <c r="C641" s="9" t="n"/>
      <c r="M641" s="9" t="n"/>
    </row>
    <row r="642" ht="15.75" customHeight="1" s="14">
      <c r="A642" t="inlineStr">
        <is>
          <t>I-0641</t>
        </is>
      </c>
      <c r="B642" s="9" t="n"/>
      <c r="C642" s="9" t="n"/>
      <c r="M642" s="9" t="n"/>
    </row>
    <row r="643" ht="15.75" customHeight="1" s="14">
      <c r="A643" t="inlineStr">
        <is>
          <t>I-0642</t>
        </is>
      </c>
      <c r="B643" s="9" t="n"/>
      <c r="C643" s="9" t="n"/>
      <c r="M643" s="9" t="n"/>
    </row>
    <row r="644" ht="15.75" customHeight="1" s="14">
      <c r="A644" t="inlineStr">
        <is>
          <t>I-0643</t>
        </is>
      </c>
      <c r="B644" s="9" t="n"/>
      <c r="C644" s="9" t="n"/>
      <c r="M644" s="9" t="n"/>
    </row>
    <row r="645" ht="15.75" customHeight="1" s="14">
      <c r="A645" t="inlineStr">
        <is>
          <t>I-0644</t>
        </is>
      </c>
      <c r="B645" s="9" t="n"/>
      <c r="C645" s="9" t="n"/>
      <c r="M645" s="9" t="n"/>
    </row>
    <row r="646" ht="15.75" customHeight="1" s="14">
      <c r="A646" t="inlineStr">
        <is>
          <t>I-0645</t>
        </is>
      </c>
      <c r="B646" s="9" t="n"/>
      <c r="C646" s="9" t="n"/>
      <c r="M646" s="9" t="n"/>
    </row>
    <row r="647" ht="15.75" customHeight="1" s="14">
      <c r="A647" t="inlineStr">
        <is>
          <t>I-0646</t>
        </is>
      </c>
      <c r="B647" s="9" t="n"/>
      <c r="C647" s="9" t="n"/>
      <c r="M647" s="9" t="n"/>
    </row>
    <row r="648" ht="15.75" customHeight="1" s="14">
      <c r="A648" t="inlineStr">
        <is>
          <t>I-0647</t>
        </is>
      </c>
      <c r="B648" s="9" t="n"/>
      <c r="C648" s="9" t="n"/>
      <c r="M648" s="9" t="n"/>
    </row>
    <row r="649" ht="15.75" customHeight="1" s="14">
      <c r="A649" t="inlineStr">
        <is>
          <t>I-0648</t>
        </is>
      </c>
      <c r="B649" s="9" t="n"/>
      <c r="C649" s="9" t="n"/>
      <c r="M649" s="9" t="n"/>
    </row>
    <row r="650" ht="15.75" customHeight="1" s="14">
      <c r="A650" t="inlineStr">
        <is>
          <t>I-0649</t>
        </is>
      </c>
      <c r="B650" s="9" t="n"/>
      <c r="C650" s="9" t="n"/>
      <c r="M650" s="9" t="n"/>
    </row>
    <row r="651" ht="15.75" customHeight="1" s="14">
      <c r="A651" t="inlineStr">
        <is>
          <t>I-0650</t>
        </is>
      </c>
      <c r="B651" s="9" t="n"/>
      <c r="C651" s="9" t="n"/>
      <c r="M651" s="9" t="n"/>
    </row>
    <row r="652" ht="15.75" customHeight="1" s="14">
      <c r="A652" t="inlineStr">
        <is>
          <t>I-0651</t>
        </is>
      </c>
      <c r="B652" s="9" t="n"/>
      <c r="C652" s="9" t="n"/>
      <c r="M652" s="9" t="n"/>
    </row>
    <row r="653" ht="15.75" customHeight="1" s="14">
      <c r="A653" t="inlineStr">
        <is>
          <t>I-0652</t>
        </is>
      </c>
      <c r="B653" s="9" t="n"/>
      <c r="C653" s="9" t="n"/>
      <c r="M653" s="9" t="n"/>
    </row>
    <row r="654" ht="15.75" customHeight="1" s="14">
      <c r="A654" t="inlineStr">
        <is>
          <t>I-0653</t>
        </is>
      </c>
      <c r="B654" s="9" t="n"/>
      <c r="C654" s="9" t="n"/>
      <c r="M654" s="9" t="n"/>
    </row>
    <row r="655" ht="15.75" customHeight="1" s="14">
      <c r="A655" t="inlineStr">
        <is>
          <t>I-0654</t>
        </is>
      </c>
      <c r="B655" s="9" t="n"/>
      <c r="C655" s="9" t="n"/>
      <c r="M655" s="9" t="n"/>
    </row>
    <row r="656" ht="15.75" customHeight="1" s="14">
      <c r="A656" t="inlineStr">
        <is>
          <t>I-0655</t>
        </is>
      </c>
      <c r="B656" s="9" t="n"/>
      <c r="C656" s="9" t="n"/>
      <c r="M656" s="9" t="n"/>
    </row>
    <row r="657" ht="15.75" customHeight="1" s="14">
      <c r="A657" t="inlineStr">
        <is>
          <t>I-0656</t>
        </is>
      </c>
      <c r="B657" s="9" t="n"/>
      <c r="C657" s="9" t="n"/>
      <c r="M657" s="9" t="n"/>
    </row>
    <row r="658" ht="15.75" customHeight="1" s="14">
      <c r="A658" t="inlineStr">
        <is>
          <t>I-0657</t>
        </is>
      </c>
      <c r="B658" s="9" t="n"/>
      <c r="C658" s="9" t="n"/>
      <c r="M658" s="9" t="n"/>
    </row>
    <row r="659" ht="15.75" customHeight="1" s="14">
      <c r="A659" t="inlineStr">
        <is>
          <t>I-0658</t>
        </is>
      </c>
      <c r="B659" s="9" t="n"/>
      <c r="C659" s="9" t="n"/>
      <c r="M659" s="9" t="n"/>
    </row>
    <row r="660" ht="15.75" customHeight="1" s="14">
      <c r="A660" t="inlineStr">
        <is>
          <t>I-0659</t>
        </is>
      </c>
      <c r="B660" s="9" t="n"/>
      <c r="C660" s="9" t="n"/>
      <c r="M660" s="9" t="n"/>
    </row>
    <row r="661" ht="15.75" customHeight="1" s="14">
      <c r="A661" t="inlineStr">
        <is>
          <t>I-0660</t>
        </is>
      </c>
      <c r="B661" s="9" t="n"/>
      <c r="C661" s="9" t="n"/>
      <c r="M661" s="9" t="n"/>
    </row>
    <row r="662" ht="15.75" customHeight="1" s="14">
      <c r="A662" t="inlineStr">
        <is>
          <t>I-0661</t>
        </is>
      </c>
      <c r="B662" s="9" t="n"/>
      <c r="C662" s="9" t="n"/>
      <c r="M662" s="9" t="n"/>
    </row>
    <row r="663" ht="15.75" customHeight="1" s="14">
      <c r="A663" t="inlineStr">
        <is>
          <t>I-0662</t>
        </is>
      </c>
      <c r="B663" s="9" t="n"/>
      <c r="C663" s="9" t="n"/>
      <c r="M663" s="9" t="n"/>
    </row>
    <row r="664" ht="15.75" customHeight="1" s="14">
      <c r="A664" t="inlineStr">
        <is>
          <t>I-0663</t>
        </is>
      </c>
      <c r="B664" s="9" t="n"/>
      <c r="C664" s="9" t="n"/>
      <c r="M664" s="9" t="n"/>
    </row>
    <row r="665" ht="15.75" customHeight="1" s="14">
      <c r="A665" t="inlineStr">
        <is>
          <t>I-0664</t>
        </is>
      </c>
      <c r="B665" s="9" t="n"/>
      <c r="C665" s="9" t="n"/>
      <c r="M665" s="9" t="n"/>
    </row>
    <row r="666" ht="15.75" customHeight="1" s="14">
      <c r="A666" t="inlineStr">
        <is>
          <t>I-0665</t>
        </is>
      </c>
      <c r="B666" s="9" t="n"/>
      <c r="C666" s="9" t="n"/>
      <c r="M666" s="9" t="n"/>
    </row>
    <row r="667" ht="15.75" customHeight="1" s="14">
      <c r="A667" t="inlineStr">
        <is>
          <t>I-0666</t>
        </is>
      </c>
      <c r="B667" s="9" t="n"/>
      <c r="C667" s="9" t="n"/>
      <c r="M667" s="9" t="n"/>
    </row>
    <row r="668" ht="15.75" customHeight="1" s="14">
      <c r="A668" t="inlineStr">
        <is>
          <t>I-0667</t>
        </is>
      </c>
      <c r="B668" s="9" t="n"/>
      <c r="C668" s="9" t="n"/>
      <c r="M668" s="9" t="n"/>
    </row>
    <row r="669" ht="15.75" customHeight="1" s="14">
      <c r="A669" t="inlineStr">
        <is>
          <t>I-0668</t>
        </is>
      </c>
      <c r="B669" s="9" t="n"/>
      <c r="C669" s="9" t="n"/>
      <c r="M669" s="9" t="n"/>
    </row>
    <row r="670" ht="15.75" customHeight="1" s="14">
      <c r="A670" t="inlineStr">
        <is>
          <t>I-0669</t>
        </is>
      </c>
      <c r="B670" s="9" t="n"/>
      <c r="C670" s="9" t="n"/>
      <c r="M670" s="9" t="n"/>
    </row>
    <row r="671" ht="15.75" customHeight="1" s="14">
      <c r="A671" t="inlineStr">
        <is>
          <t>I-0670</t>
        </is>
      </c>
      <c r="B671" s="9" t="n"/>
      <c r="C671" s="9" t="n"/>
      <c r="M671" s="9" t="n"/>
    </row>
    <row r="672" ht="15.75" customHeight="1" s="14">
      <c r="A672" t="inlineStr">
        <is>
          <t>I-0671</t>
        </is>
      </c>
      <c r="B672" s="9" t="n"/>
      <c r="C672" s="9" t="n"/>
      <c r="M672" s="9" t="n"/>
    </row>
    <row r="673" ht="15.75" customHeight="1" s="14">
      <c r="A673" t="inlineStr">
        <is>
          <t>I-0672</t>
        </is>
      </c>
      <c r="B673" s="9" t="n"/>
      <c r="C673" s="9" t="n"/>
      <c r="M673" s="9" t="n"/>
    </row>
    <row r="674" ht="15.75" customHeight="1" s="14">
      <c r="A674" t="inlineStr">
        <is>
          <t>I-0673</t>
        </is>
      </c>
      <c r="B674" s="9" t="n"/>
      <c r="C674" s="9" t="n"/>
      <c r="M674" s="9" t="n"/>
    </row>
    <row r="675" ht="15.75" customHeight="1" s="14">
      <c r="A675" t="inlineStr">
        <is>
          <t>I-0674</t>
        </is>
      </c>
      <c r="B675" s="9" t="n"/>
      <c r="C675" s="9" t="n"/>
      <c r="M675" s="9" t="n"/>
    </row>
    <row r="676" ht="15.75" customHeight="1" s="14">
      <c r="A676" t="inlineStr">
        <is>
          <t>I-0675</t>
        </is>
      </c>
      <c r="B676" s="9" t="n"/>
      <c r="C676" s="9" t="n"/>
      <c r="M676" s="9" t="n"/>
    </row>
    <row r="677" ht="15.75" customHeight="1" s="14">
      <c r="A677" t="inlineStr">
        <is>
          <t>I-0676</t>
        </is>
      </c>
      <c r="B677" s="9" t="n"/>
      <c r="C677" s="9" t="n"/>
      <c r="M677" s="9" t="n"/>
    </row>
    <row r="678" ht="15.75" customHeight="1" s="14">
      <c r="A678" t="inlineStr">
        <is>
          <t>I-0677</t>
        </is>
      </c>
      <c r="B678" s="9" t="n"/>
      <c r="C678" s="9" t="n"/>
      <c r="M678" s="9" t="n"/>
    </row>
    <row r="679" ht="15.75" customHeight="1" s="14">
      <c r="A679" t="inlineStr">
        <is>
          <t>I-0678</t>
        </is>
      </c>
      <c r="B679" s="9" t="n"/>
      <c r="C679" s="9" t="n"/>
      <c r="M679" s="9" t="n"/>
    </row>
    <row r="680" ht="15.75" customHeight="1" s="14">
      <c r="A680" t="inlineStr">
        <is>
          <t>I-0679</t>
        </is>
      </c>
      <c r="B680" s="9" t="n"/>
      <c r="C680" s="9" t="n"/>
      <c r="M680" s="9" t="n"/>
    </row>
    <row r="681" ht="15.75" customHeight="1" s="14">
      <c r="A681" t="inlineStr">
        <is>
          <t>I-0680</t>
        </is>
      </c>
      <c r="B681" s="9" t="n"/>
      <c r="C681" s="9" t="n"/>
      <c r="M681" s="9" t="n"/>
    </row>
    <row r="682" ht="15.75" customHeight="1" s="14">
      <c r="A682" t="inlineStr">
        <is>
          <t>I-0681</t>
        </is>
      </c>
      <c r="B682" s="9" t="n"/>
      <c r="C682" s="9" t="n"/>
      <c r="M682" s="9" t="n"/>
    </row>
    <row r="683" ht="15.75" customHeight="1" s="14">
      <c r="A683" t="inlineStr">
        <is>
          <t>I-0682</t>
        </is>
      </c>
      <c r="B683" s="9" t="n"/>
      <c r="C683" s="9" t="n"/>
      <c r="M683" s="9" t="n"/>
    </row>
    <row r="684" ht="15.75" customHeight="1" s="14">
      <c r="A684" t="inlineStr">
        <is>
          <t>I-0683</t>
        </is>
      </c>
      <c r="B684" s="9" t="n"/>
      <c r="C684" s="9" t="n"/>
      <c r="M684" s="9" t="n"/>
    </row>
    <row r="685" ht="15.75" customHeight="1" s="14">
      <c r="A685" t="inlineStr">
        <is>
          <t>I-0684</t>
        </is>
      </c>
      <c r="B685" s="9" t="n"/>
      <c r="C685" s="9" t="n"/>
      <c r="M685" s="9" t="n"/>
    </row>
    <row r="686" ht="15.75" customHeight="1" s="14">
      <c r="A686" t="inlineStr">
        <is>
          <t>I-0685</t>
        </is>
      </c>
      <c r="B686" s="9" t="n"/>
      <c r="C686" s="9" t="n"/>
      <c r="M686" s="9" t="n"/>
    </row>
    <row r="687" ht="15.75" customHeight="1" s="14">
      <c r="A687" t="inlineStr">
        <is>
          <t>I-0686</t>
        </is>
      </c>
      <c r="B687" s="9" t="n"/>
      <c r="C687" s="9" t="n"/>
      <c r="M687" s="9" t="n"/>
    </row>
    <row r="688" ht="15.75" customHeight="1" s="14">
      <c r="A688" t="inlineStr">
        <is>
          <t>I-0687</t>
        </is>
      </c>
      <c r="B688" s="9" t="n"/>
      <c r="C688" s="9" t="n"/>
      <c r="M688" s="9" t="n"/>
    </row>
    <row r="689" ht="15.75" customHeight="1" s="14">
      <c r="A689" t="inlineStr">
        <is>
          <t>I-0688</t>
        </is>
      </c>
      <c r="B689" s="9" t="n"/>
      <c r="C689" s="9" t="n"/>
      <c r="M689" s="9" t="n"/>
    </row>
    <row r="690" ht="15.75" customHeight="1" s="14">
      <c r="A690" t="inlineStr">
        <is>
          <t>I-0689</t>
        </is>
      </c>
      <c r="B690" s="9" t="n"/>
      <c r="C690" s="9" t="n"/>
      <c r="M690" s="9" t="n"/>
    </row>
    <row r="691" ht="15.75" customHeight="1" s="14">
      <c r="A691" t="inlineStr">
        <is>
          <t>I-0690</t>
        </is>
      </c>
      <c r="B691" s="9" t="n"/>
      <c r="C691" s="9" t="n"/>
      <c r="M691" s="9" t="n"/>
    </row>
    <row r="692" ht="15.75" customHeight="1" s="14">
      <c r="A692" t="inlineStr">
        <is>
          <t>I-0691</t>
        </is>
      </c>
      <c r="B692" s="9" t="n"/>
      <c r="C692" s="9" t="n"/>
      <c r="M692" s="9" t="n"/>
    </row>
    <row r="693" ht="15.75" customHeight="1" s="14">
      <c r="A693" t="inlineStr">
        <is>
          <t>I-0692</t>
        </is>
      </c>
      <c r="B693" s="9" t="n"/>
      <c r="C693" s="9" t="n"/>
      <c r="M693" s="9" t="n"/>
    </row>
    <row r="694" ht="15.75" customHeight="1" s="14">
      <c r="A694" t="inlineStr">
        <is>
          <t>I-0693</t>
        </is>
      </c>
      <c r="B694" s="9" t="n"/>
      <c r="C694" s="9" t="n"/>
      <c r="M694" s="9" t="n"/>
    </row>
    <row r="695" ht="15.75" customHeight="1" s="14">
      <c r="A695" t="inlineStr">
        <is>
          <t>I-0694</t>
        </is>
      </c>
      <c r="B695" s="9" t="n"/>
      <c r="C695" s="9" t="n"/>
      <c r="M695" s="9" t="n"/>
    </row>
    <row r="696" ht="15.75" customHeight="1" s="14">
      <c r="A696" t="inlineStr">
        <is>
          <t>I-0695</t>
        </is>
      </c>
      <c r="B696" s="9" t="n"/>
      <c r="C696" s="9" t="n"/>
      <c r="M696" s="9" t="n"/>
    </row>
    <row r="697" ht="15.75" customHeight="1" s="14">
      <c r="A697" t="inlineStr">
        <is>
          <t>I-0696</t>
        </is>
      </c>
      <c r="B697" s="9" t="n"/>
      <c r="C697" s="9" t="n"/>
      <c r="M697" s="9" t="n"/>
    </row>
    <row r="698" ht="15.75" customHeight="1" s="14">
      <c r="A698" t="inlineStr">
        <is>
          <t>I-0697</t>
        </is>
      </c>
      <c r="B698" s="9" t="n"/>
      <c r="C698" s="9" t="n"/>
      <c r="M698" s="9" t="n"/>
    </row>
    <row r="699" ht="15.75" customHeight="1" s="14">
      <c r="A699" t="inlineStr">
        <is>
          <t>I-0698</t>
        </is>
      </c>
      <c r="B699" s="9" t="n"/>
      <c r="C699" s="9" t="n"/>
      <c r="M699" s="9" t="n"/>
    </row>
    <row r="700" ht="15.75" customHeight="1" s="14">
      <c r="A700" t="inlineStr">
        <is>
          <t>I-0699</t>
        </is>
      </c>
      <c r="B700" s="9" t="n"/>
      <c r="C700" s="9" t="n"/>
      <c r="M700" s="9" t="n"/>
    </row>
    <row r="701" ht="15.75" customHeight="1" s="14">
      <c r="A701" t="inlineStr">
        <is>
          <t>I-0700</t>
        </is>
      </c>
      <c r="B701" s="9" t="n"/>
      <c r="C701" s="9" t="n"/>
      <c r="M701" s="9" t="n"/>
    </row>
    <row r="702" ht="15.75" customHeight="1" s="14">
      <c r="A702" t="inlineStr">
        <is>
          <t>I-0701</t>
        </is>
      </c>
      <c r="B702" s="9" t="n"/>
      <c r="C702" s="9" t="n"/>
      <c r="M702" s="9" t="n"/>
    </row>
    <row r="703" ht="15.75" customHeight="1" s="14">
      <c r="A703" t="inlineStr">
        <is>
          <t>I-0702</t>
        </is>
      </c>
      <c r="B703" s="9" t="n"/>
      <c r="C703" s="9" t="n"/>
      <c r="M703" s="9" t="n"/>
    </row>
    <row r="704" ht="15.75" customHeight="1" s="14">
      <c r="A704" t="inlineStr">
        <is>
          <t>I-0703</t>
        </is>
      </c>
      <c r="B704" s="9" t="n"/>
      <c r="C704" s="9" t="n"/>
      <c r="M704" s="9" t="n"/>
    </row>
    <row r="705" ht="15.75" customHeight="1" s="14">
      <c r="A705" t="inlineStr">
        <is>
          <t>I-0704</t>
        </is>
      </c>
      <c r="B705" s="9" t="n"/>
      <c r="C705" s="9" t="n"/>
      <c r="M705" s="9" t="n"/>
    </row>
    <row r="706" ht="15.75" customHeight="1" s="14">
      <c r="A706" t="inlineStr">
        <is>
          <t>I-0705</t>
        </is>
      </c>
      <c r="B706" s="9" t="n"/>
      <c r="C706" s="9" t="n"/>
      <c r="M706" s="9" t="n"/>
    </row>
    <row r="707" ht="15.75" customHeight="1" s="14">
      <c r="A707" t="inlineStr">
        <is>
          <t>I-0706</t>
        </is>
      </c>
      <c r="B707" s="9" t="n"/>
      <c r="C707" s="9" t="n"/>
      <c r="M707" s="9" t="n"/>
    </row>
    <row r="708" ht="15.75" customHeight="1" s="14">
      <c r="A708" t="inlineStr">
        <is>
          <t>I-0707</t>
        </is>
      </c>
      <c r="B708" s="9" t="n"/>
      <c r="C708" s="9" t="n"/>
      <c r="M708" s="9" t="n"/>
    </row>
    <row r="709" ht="15.75" customHeight="1" s="14">
      <c r="A709" t="inlineStr">
        <is>
          <t>I-0708</t>
        </is>
      </c>
      <c r="B709" s="9" t="n"/>
      <c r="C709" s="9" t="n"/>
      <c r="M709" s="9" t="n"/>
    </row>
    <row r="710" ht="15.75" customHeight="1" s="14">
      <c r="A710" t="inlineStr">
        <is>
          <t>I-0709</t>
        </is>
      </c>
      <c r="B710" s="9" t="n"/>
      <c r="C710" s="9" t="n"/>
      <c r="M710" s="9" t="n"/>
    </row>
    <row r="711" ht="15.75" customHeight="1" s="14">
      <c r="A711" t="inlineStr">
        <is>
          <t>I-0710</t>
        </is>
      </c>
      <c r="B711" s="9" t="n"/>
      <c r="C711" s="9" t="n"/>
      <c r="M711" s="9" t="n"/>
    </row>
    <row r="712" ht="15.75" customHeight="1" s="14">
      <c r="A712" t="inlineStr">
        <is>
          <t>I-0711</t>
        </is>
      </c>
      <c r="B712" s="9" t="n"/>
      <c r="C712" s="9" t="n"/>
      <c r="M712" s="9" t="n"/>
    </row>
    <row r="713" ht="15.75" customHeight="1" s="14">
      <c r="A713" t="inlineStr">
        <is>
          <t>I-0712</t>
        </is>
      </c>
      <c r="B713" s="9" t="n"/>
      <c r="C713" s="9" t="n"/>
      <c r="M713" s="9" t="n"/>
    </row>
    <row r="714" ht="15.75" customHeight="1" s="14">
      <c r="A714" t="inlineStr">
        <is>
          <t>I-0713</t>
        </is>
      </c>
      <c r="B714" s="9" t="n"/>
      <c r="C714" s="9" t="n"/>
      <c r="M714" s="9" t="n"/>
    </row>
    <row r="715" ht="15.75" customHeight="1" s="14">
      <c r="A715" t="inlineStr">
        <is>
          <t>I-0714</t>
        </is>
      </c>
      <c r="B715" s="9" t="n"/>
      <c r="C715" s="9" t="n"/>
      <c r="M715" s="9" t="n"/>
    </row>
    <row r="716" ht="15.75" customHeight="1" s="14">
      <c r="A716" t="inlineStr">
        <is>
          <t>I-0715</t>
        </is>
      </c>
      <c r="B716" s="9" t="n"/>
      <c r="C716" s="9" t="n"/>
      <c r="M716" s="9" t="n"/>
    </row>
    <row r="717" ht="15.75" customHeight="1" s="14">
      <c r="A717" t="inlineStr">
        <is>
          <t>I-0716</t>
        </is>
      </c>
      <c r="B717" s="9" t="n"/>
      <c r="C717" s="9" t="n"/>
      <c r="M717" s="9" t="n"/>
    </row>
    <row r="718" ht="15.75" customHeight="1" s="14">
      <c r="A718" t="inlineStr">
        <is>
          <t>I-0717</t>
        </is>
      </c>
      <c r="B718" s="9" t="n"/>
      <c r="C718" s="9" t="n"/>
      <c r="M718" s="9" t="n"/>
    </row>
    <row r="719" ht="15.75" customHeight="1" s="14">
      <c r="A719" t="inlineStr">
        <is>
          <t>I-0718</t>
        </is>
      </c>
      <c r="B719" s="9" t="n"/>
      <c r="C719" s="9" t="n"/>
      <c r="M719" s="9" t="n"/>
    </row>
    <row r="720" ht="15.75" customHeight="1" s="14">
      <c r="A720" t="inlineStr">
        <is>
          <t>I-0719</t>
        </is>
      </c>
      <c r="B720" s="9" t="n"/>
      <c r="C720" s="9" t="n"/>
      <c r="M720" s="9" t="n"/>
    </row>
    <row r="721" ht="15.75" customHeight="1" s="14">
      <c r="A721" t="inlineStr">
        <is>
          <t>I-0720</t>
        </is>
      </c>
      <c r="B721" s="9" t="n"/>
      <c r="C721" s="9" t="n"/>
      <c r="M721" s="9" t="n"/>
    </row>
    <row r="722" ht="15.75" customHeight="1" s="14">
      <c r="A722" t="inlineStr">
        <is>
          <t>I-0721</t>
        </is>
      </c>
      <c r="B722" s="9" t="n"/>
      <c r="C722" s="9" t="n"/>
      <c r="M722" s="9" t="n"/>
    </row>
    <row r="723" ht="15.75" customHeight="1" s="14">
      <c r="A723" t="inlineStr">
        <is>
          <t>I-0722</t>
        </is>
      </c>
      <c r="B723" s="9" t="n"/>
      <c r="C723" s="9" t="n"/>
      <c r="M723" s="9" t="n"/>
    </row>
    <row r="724" ht="15.75" customHeight="1" s="14">
      <c r="A724" t="inlineStr">
        <is>
          <t>I-0723</t>
        </is>
      </c>
      <c r="B724" s="9" t="n"/>
      <c r="C724" s="9" t="n"/>
      <c r="M724" s="9" t="n"/>
    </row>
    <row r="725" ht="15.75" customHeight="1" s="14">
      <c r="A725" t="inlineStr">
        <is>
          <t>I-0724</t>
        </is>
      </c>
      <c r="B725" s="9" t="n"/>
      <c r="C725" s="9" t="n"/>
      <c r="M725" s="9" t="n"/>
    </row>
    <row r="726" ht="15.75" customHeight="1" s="14">
      <c r="A726" t="inlineStr">
        <is>
          <t>I-0725</t>
        </is>
      </c>
      <c r="B726" s="9" t="n"/>
      <c r="C726" s="9" t="n"/>
      <c r="M726" s="9" t="n"/>
    </row>
    <row r="727" ht="15.75" customHeight="1" s="14">
      <c r="A727" t="inlineStr">
        <is>
          <t>I-0726</t>
        </is>
      </c>
      <c r="B727" s="9" t="n"/>
      <c r="C727" s="9" t="n"/>
      <c r="M727" s="9" t="n"/>
    </row>
    <row r="728" ht="15.75" customHeight="1" s="14">
      <c r="A728" t="inlineStr">
        <is>
          <t>I-0727</t>
        </is>
      </c>
      <c r="B728" s="9" t="n"/>
      <c r="C728" s="9" t="n"/>
      <c r="M728" s="9" t="n"/>
    </row>
    <row r="729" ht="15.75" customHeight="1" s="14">
      <c r="A729" t="inlineStr">
        <is>
          <t>I-0728</t>
        </is>
      </c>
      <c r="B729" s="9" t="n"/>
      <c r="C729" s="9" t="n"/>
      <c r="M729" s="9" t="n"/>
    </row>
    <row r="730" ht="15.75" customHeight="1" s="14">
      <c r="A730" t="inlineStr">
        <is>
          <t>I-0729</t>
        </is>
      </c>
      <c r="B730" s="9" t="n"/>
      <c r="C730" s="9" t="n"/>
      <c r="M730" s="9" t="n"/>
    </row>
    <row r="731" ht="15.75" customHeight="1" s="14">
      <c r="A731" t="inlineStr">
        <is>
          <t>I-0730</t>
        </is>
      </c>
      <c r="B731" s="9" t="n"/>
      <c r="C731" s="9" t="n"/>
      <c r="M731" s="9" t="n"/>
    </row>
    <row r="732" ht="15.75" customHeight="1" s="14">
      <c r="A732" t="inlineStr">
        <is>
          <t>I-0731</t>
        </is>
      </c>
      <c r="B732" s="9" t="n"/>
      <c r="C732" s="9" t="n"/>
      <c r="M732" s="9" t="n"/>
    </row>
    <row r="733" ht="15.75" customHeight="1" s="14">
      <c r="A733" t="inlineStr">
        <is>
          <t>I-0732</t>
        </is>
      </c>
      <c r="B733" s="9" t="n"/>
      <c r="C733" s="9" t="n"/>
      <c r="M733" s="9" t="n"/>
    </row>
    <row r="734" ht="15.75" customHeight="1" s="14">
      <c r="A734" t="inlineStr">
        <is>
          <t>I-0733</t>
        </is>
      </c>
      <c r="B734" s="9" t="n"/>
      <c r="C734" s="9" t="n"/>
      <c r="M734" s="9" t="n"/>
    </row>
    <row r="735" ht="15.75" customHeight="1" s="14">
      <c r="A735" t="inlineStr">
        <is>
          <t>I-0734</t>
        </is>
      </c>
      <c r="B735" s="9" t="n"/>
      <c r="C735" s="9" t="n"/>
      <c r="M735" s="9" t="n"/>
    </row>
    <row r="736" ht="15.75" customHeight="1" s="14">
      <c r="A736" t="inlineStr">
        <is>
          <t>I-0735</t>
        </is>
      </c>
      <c r="B736" s="9" t="n"/>
      <c r="C736" s="9" t="n"/>
      <c r="M736" s="9" t="n"/>
    </row>
    <row r="737" ht="15.75" customHeight="1" s="14">
      <c r="A737" t="inlineStr">
        <is>
          <t>I-0736</t>
        </is>
      </c>
      <c r="B737" s="9" t="n"/>
      <c r="C737" s="9" t="n"/>
      <c r="M737" s="9" t="n"/>
    </row>
    <row r="738" ht="15.75" customHeight="1" s="14">
      <c r="A738" t="inlineStr">
        <is>
          <t>I-0737</t>
        </is>
      </c>
      <c r="B738" s="9" t="n"/>
      <c r="C738" s="9" t="n"/>
      <c r="M738" s="9" t="n"/>
    </row>
    <row r="739" ht="15.75" customHeight="1" s="14">
      <c r="A739" t="inlineStr">
        <is>
          <t>I-0738</t>
        </is>
      </c>
      <c r="B739" s="9" t="n"/>
      <c r="C739" s="9" t="n"/>
      <c r="M739" s="9" t="n"/>
    </row>
    <row r="740" ht="15.75" customHeight="1" s="14">
      <c r="A740" t="inlineStr">
        <is>
          <t>I-0739</t>
        </is>
      </c>
      <c r="B740" s="9" t="n"/>
      <c r="C740" s="9" t="n"/>
      <c r="M740" s="9" t="n"/>
    </row>
    <row r="741" ht="15.75" customHeight="1" s="14">
      <c r="A741" t="inlineStr">
        <is>
          <t>I-0740</t>
        </is>
      </c>
      <c r="B741" s="9" t="n"/>
      <c r="C741" s="9" t="n"/>
      <c r="M741" s="9" t="n"/>
    </row>
    <row r="742" ht="15.75" customHeight="1" s="14">
      <c r="A742" t="inlineStr">
        <is>
          <t>I-0741</t>
        </is>
      </c>
      <c r="B742" s="9" t="n"/>
      <c r="C742" s="9" t="n"/>
      <c r="M742" s="9" t="n"/>
    </row>
    <row r="743" ht="15.75" customHeight="1" s="14">
      <c r="A743" t="inlineStr">
        <is>
          <t>I-0742</t>
        </is>
      </c>
      <c r="B743" s="9" t="n"/>
      <c r="C743" s="9" t="n"/>
      <c r="M743" s="9" t="n"/>
    </row>
    <row r="744" ht="15.75" customHeight="1" s="14">
      <c r="A744" t="inlineStr">
        <is>
          <t>I-0743</t>
        </is>
      </c>
      <c r="B744" s="9" t="n"/>
      <c r="C744" s="9" t="n"/>
      <c r="M744" s="9" t="n"/>
    </row>
    <row r="745" ht="15.75" customHeight="1" s="14">
      <c r="A745" t="inlineStr">
        <is>
          <t>I-0744</t>
        </is>
      </c>
      <c r="B745" s="9" t="n"/>
      <c r="C745" s="9" t="n"/>
      <c r="M745" s="9" t="n"/>
    </row>
    <row r="746" ht="15.75" customHeight="1" s="14">
      <c r="A746" t="inlineStr">
        <is>
          <t>I-0745</t>
        </is>
      </c>
      <c r="B746" s="9" t="n"/>
      <c r="C746" s="9" t="n"/>
      <c r="M746" s="9" t="n"/>
    </row>
    <row r="747" ht="15.75" customHeight="1" s="14">
      <c r="A747" t="inlineStr">
        <is>
          <t>I-0746</t>
        </is>
      </c>
      <c r="B747" s="9" t="n"/>
      <c r="C747" s="9" t="n"/>
      <c r="M747" s="9" t="n"/>
    </row>
    <row r="748" ht="15.75" customHeight="1" s="14">
      <c r="A748" t="inlineStr">
        <is>
          <t>I-0747</t>
        </is>
      </c>
      <c r="B748" s="9" t="n"/>
      <c r="C748" s="9" t="n"/>
      <c r="M748" s="9" t="n"/>
    </row>
    <row r="749" ht="15.75" customHeight="1" s="14">
      <c r="A749" t="inlineStr">
        <is>
          <t>I-0748</t>
        </is>
      </c>
      <c r="B749" s="9" t="n"/>
      <c r="C749" s="9" t="n"/>
      <c r="M749" s="9" t="n"/>
    </row>
    <row r="750" ht="15.75" customHeight="1" s="14">
      <c r="A750" t="inlineStr">
        <is>
          <t>I-0749</t>
        </is>
      </c>
      <c r="B750" s="9" t="n"/>
      <c r="C750" s="9" t="n"/>
      <c r="M750" s="9" t="n"/>
    </row>
    <row r="751" ht="15.75" customHeight="1" s="14">
      <c r="A751" t="inlineStr">
        <is>
          <t>I-0750</t>
        </is>
      </c>
      <c r="B751" s="9" t="n"/>
      <c r="C751" s="9" t="n"/>
      <c r="M751" s="9" t="n"/>
    </row>
    <row r="752" ht="15.75" customHeight="1" s="14">
      <c r="A752" t="inlineStr">
        <is>
          <t>I-0751</t>
        </is>
      </c>
      <c r="B752" s="9" t="n"/>
      <c r="C752" s="9" t="n"/>
      <c r="M752" s="9" t="n"/>
    </row>
    <row r="753" ht="15.75" customHeight="1" s="14">
      <c r="A753" t="inlineStr">
        <is>
          <t>I-0752</t>
        </is>
      </c>
      <c r="B753" s="9" t="n"/>
      <c r="C753" s="9" t="n"/>
      <c r="M753" s="9" t="n"/>
    </row>
    <row r="754" ht="15.75" customHeight="1" s="14">
      <c r="A754" t="inlineStr">
        <is>
          <t>I-0753</t>
        </is>
      </c>
      <c r="B754" s="9" t="n"/>
      <c r="C754" s="9" t="n"/>
      <c r="M754" s="9" t="n"/>
    </row>
    <row r="755" ht="15.75" customHeight="1" s="14">
      <c r="A755" t="inlineStr">
        <is>
          <t>I-0754</t>
        </is>
      </c>
      <c r="B755" s="9" t="n"/>
      <c r="C755" s="9" t="n"/>
      <c r="M755" s="9" t="n"/>
    </row>
    <row r="756" ht="15.75" customHeight="1" s="14">
      <c r="A756" t="inlineStr">
        <is>
          <t>I-0755</t>
        </is>
      </c>
      <c r="B756" s="9" t="n"/>
      <c r="C756" s="9" t="n"/>
      <c r="M756" s="9" t="n"/>
    </row>
    <row r="757" ht="15.75" customHeight="1" s="14">
      <c r="A757" t="inlineStr">
        <is>
          <t>I-0756</t>
        </is>
      </c>
      <c r="B757" s="9" t="n"/>
      <c r="C757" s="9" t="n"/>
      <c r="M757" s="9" t="n"/>
    </row>
    <row r="758" ht="15.75" customHeight="1" s="14">
      <c r="A758" t="inlineStr">
        <is>
          <t>I-0757</t>
        </is>
      </c>
      <c r="B758" s="9" t="n"/>
      <c r="C758" s="9" t="n"/>
      <c r="M758" s="9" t="n"/>
    </row>
    <row r="759" ht="15.75" customHeight="1" s="14">
      <c r="A759" t="inlineStr">
        <is>
          <t>I-0758</t>
        </is>
      </c>
      <c r="B759" s="9" t="n"/>
      <c r="C759" s="9" t="n"/>
      <c r="M759" s="9" t="n"/>
    </row>
    <row r="760" ht="15.75" customHeight="1" s="14">
      <c r="A760" t="inlineStr">
        <is>
          <t>I-0759</t>
        </is>
      </c>
      <c r="B760" s="9" t="n"/>
      <c r="C760" s="9" t="n"/>
      <c r="M760" s="9" t="n"/>
    </row>
    <row r="761" ht="15.75" customHeight="1" s="14">
      <c r="A761" t="inlineStr">
        <is>
          <t>I-0760</t>
        </is>
      </c>
      <c r="B761" s="9" t="n"/>
      <c r="C761" s="9" t="n"/>
      <c r="M761" s="9" t="n"/>
    </row>
    <row r="762" ht="15.75" customHeight="1" s="14">
      <c r="A762" t="inlineStr">
        <is>
          <t>I-0761</t>
        </is>
      </c>
      <c r="B762" s="9" t="n"/>
      <c r="C762" s="9" t="n"/>
      <c r="M762" s="9" t="n"/>
    </row>
    <row r="763" ht="15.75" customHeight="1" s="14">
      <c r="A763" t="inlineStr">
        <is>
          <t>I-0762</t>
        </is>
      </c>
      <c r="B763" s="9" t="n"/>
      <c r="C763" s="9" t="n"/>
      <c r="M763" s="9" t="n"/>
    </row>
    <row r="764" ht="15.75" customHeight="1" s="14">
      <c r="A764" t="inlineStr">
        <is>
          <t>I-0763</t>
        </is>
      </c>
      <c r="B764" s="9" t="n"/>
      <c r="C764" s="9" t="n"/>
      <c r="M764" s="9" t="n"/>
    </row>
    <row r="765" ht="15.75" customHeight="1" s="14">
      <c r="A765" t="inlineStr">
        <is>
          <t>I-0764</t>
        </is>
      </c>
      <c r="B765" s="9" t="n"/>
      <c r="C765" s="9" t="n"/>
      <c r="M765" s="9" t="n"/>
    </row>
    <row r="766" ht="15.75" customHeight="1" s="14">
      <c r="A766" t="inlineStr">
        <is>
          <t>I-0765</t>
        </is>
      </c>
      <c r="B766" s="9" t="n"/>
      <c r="C766" s="9" t="n"/>
      <c r="M766" s="9" t="n"/>
    </row>
    <row r="767" ht="15.75" customHeight="1" s="14">
      <c r="A767" t="inlineStr">
        <is>
          <t>I-0766</t>
        </is>
      </c>
      <c r="B767" s="9" t="n"/>
      <c r="C767" s="9" t="n"/>
      <c r="M767" s="9" t="n"/>
    </row>
    <row r="768" ht="15.75" customHeight="1" s="14">
      <c r="A768" t="inlineStr">
        <is>
          <t>I-0767</t>
        </is>
      </c>
      <c r="B768" s="9" t="n"/>
      <c r="C768" s="9" t="n"/>
      <c r="M768" s="9" t="n"/>
    </row>
    <row r="769" ht="15.75" customHeight="1" s="14">
      <c r="A769" t="inlineStr">
        <is>
          <t>I-0768</t>
        </is>
      </c>
      <c r="B769" s="9" t="n"/>
      <c r="C769" s="9" t="n"/>
      <c r="M769" s="9" t="n"/>
    </row>
    <row r="770" ht="15.75" customHeight="1" s="14">
      <c r="A770" t="inlineStr">
        <is>
          <t>I-0769</t>
        </is>
      </c>
      <c r="B770" s="9" t="n"/>
      <c r="C770" s="9" t="n"/>
      <c r="M770" s="9" t="n"/>
    </row>
    <row r="771" ht="15.75" customHeight="1" s="14">
      <c r="A771" t="inlineStr">
        <is>
          <t>I-0770</t>
        </is>
      </c>
      <c r="B771" s="9" t="n"/>
      <c r="C771" s="9" t="n"/>
      <c r="M771" s="9" t="n"/>
    </row>
    <row r="772" ht="15.75" customHeight="1" s="14">
      <c r="A772" t="inlineStr">
        <is>
          <t>I-0771</t>
        </is>
      </c>
      <c r="B772" s="9" t="n"/>
      <c r="C772" s="9" t="n"/>
      <c r="M772" s="9" t="n"/>
    </row>
    <row r="773" ht="15.75" customHeight="1" s="14">
      <c r="A773" t="inlineStr">
        <is>
          <t>I-0772</t>
        </is>
      </c>
      <c r="B773" s="9" t="n"/>
      <c r="C773" s="9" t="n"/>
      <c r="M773" s="9" t="n"/>
    </row>
    <row r="774" ht="15.75" customHeight="1" s="14">
      <c r="A774" t="inlineStr">
        <is>
          <t>I-0773</t>
        </is>
      </c>
      <c r="B774" s="9" t="n"/>
      <c r="C774" s="9" t="n"/>
      <c r="M774" s="9" t="n"/>
    </row>
    <row r="775" ht="15.75" customHeight="1" s="14">
      <c r="A775" t="inlineStr">
        <is>
          <t>I-0774</t>
        </is>
      </c>
      <c r="B775" s="9" t="n"/>
      <c r="C775" s="9" t="n"/>
      <c r="M775" s="9" t="n"/>
    </row>
    <row r="776" ht="15.75" customHeight="1" s="14">
      <c r="A776" t="inlineStr">
        <is>
          <t>I-0775</t>
        </is>
      </c>
      <c r="B776" s="9" t="n"/>
      <c r="C776" s="9" t="n"/>
      <c r="M776" s="9" t="n"/>
    </row>
    <row r="777" ht="15.75" customHeight="1" s="14">
      <c r="A777" t="inlineStr">
        <is>
          <t>I-0776</t>
        </is>
      </c>
      <c r="B777" s="9" t="n"/>
      <c r="C777" s="9" t="n"/>
      <c r="M777" s="9" t="n"/>
    </row>
    <row r="778" ht="15.75" customHeight="1" s="14">
      <c r="A778" t="inlineStr">
        <is>
          <t>I-0777</t>
        </is>
      </c>
      <c r="B778" s="9" t="n"/>
      <c r="C778" s="9" t="n"/>
      <c r="M778" s="9" t="n"/>
    </row>
    <row r="779" ht="15.75" customHeight="1" s="14">
      <c r="A779" t="inlineStr">
        <is>
          <t>I-0778</t>
        </is>
      </c>
      <c r="B779" s="9" t="n"/>
      <c r="C779" s="9" t="n"/>
      <c r="M779" s="9" t="n"/>
    </row>
    <row r="780" ht="15.75" customHeight="1" s="14">
      <c r="A780" t="inlineStr">
        <is>
          <t>I-0779</t>
        </is>
      </c>
      <c r="B780" s="9" t="n"/>
      <c r="C780" s="9" t="n"/>
      <c r="M780" s="9" t="n"/>
    </row>
    <row r="781" ht="15.75" customHeight="1" s="14">
      <c r="A781" t="inlineStr">
        <is>
          <t>I-0780</t>
        </is>
      </c>
      <c r="B781" s="9" t="n"/>
      <c r="C781" s="9" t="n"/>
      <c r="M781" s="9" t="n"/>
    </row>
    <row r="782" ht="15.75" customHeight="1" s="14">
      <c r="A782" t="inlineStr">
        <is>
          <t>I-0781</t>
        </is>
      </c>
      <c r="B782" s="9" t="n"/>
      <c r="C782" s="9" t="n"/>
      <c r="M782" s="9" t="n"/>
    </row>
    <row r="783" ht="15.75" customHeight="1" s="14">
      <c r="A783" t="inlineStr">
        <is>
          <t>I-0782</t>
        </is>
      </c>
      <c r="B783" s="9" t="n"/>
      <c r="C783" s="9" t="n"/>
      <c r="M783" s="9" t="n"/>
    </row>
    <row r="784" ht="15.75" customHeight="1" s="14">
      <c r="A784" t="inlineStr">
        <is>
          <t>I-0783</t>
        </is>
      </c>
      <c r="B784" s="9" t="n"/>
      <c r="C784" s="9" t="n"/>
      <c r="M784" s="9" t="n"/>
    </row>
    <row r="785" ht="15.75" customHeight="1" s="14">
      <c r="A785" t="inlineStr">
        <is>
          <t>I-0784</t>
        </is>
      </c>
      <c r="B785" s="9" t="n"/>
      <c r="C785" s="9" t="n"/>
      <c r="M785" s="9" t="n"/>
    </row>
    <row r="786" ht="15.75" customHeight="1" s="14">
      <c r="A786" t="inlineStr">
        <is>
          <t>I-0785</t>
        </is>
      </c>
      <c r="B786" s="9" t="n"/>
      <c r="C786" s="9" t="n"/>
      <c r="M786" s="9" t="n"/>
    </row>
    <row r="787" ht="15.75" customHeight="1" s="14">
      <c r="A787" t="inlineStr">
        <is>
          <t>I-0786</t>
        </is>
      </c>
      <c r="B787" s="9" t="n"/>
      <c r="C787" s="9" t="n"/>
      <c r="M787" s="9" t="n"/>
    </row>
    <row r="788" ht="15.75" customHeight="1" s="14">
      <c r="A788" t="inlineStr">
        <is>
          <t>I-0787</t>
        </is>
      </c>
      <c r="B788" s="9" t="n"/>
      <c r="C788" s="9" t="n"/>
      <c r="M788" s="9" t="n"/>
    </row>
    <row r="789" ht="15.75" customHeight="1" s="14">
      <c r="A789" t="inlineStr">
        <is>
          <t>I-0788</t>
        </is>
      </c>
      <c r="B789" s="9" t="n"/>
      <c r="C789" s="9" t="n"/>
      <c r="M789" s="9" t="n"/>
    </row>
    <row r="790" ht="15.75" customHeight="1" s="14">
      <c r="A790" t="inlineStr">
        <is>
          <t>I-0789</t>
        </is>
      </c>
      <c r="B790" s="9" t="n"/>
      <c r="C790" s="9" t="n"/>
      <c r="M790" s="9" t="n"/>
    </row>
    <row r="791" ht="15.75" customHeight="1" s="14">
      <c r="A791" t="inlineStr">
        <is>
          <t>I-0790</t>
        </is>
      </c>
      <c r="B791" s="9" t="n"/>
      <c r="C791" s="9" t="n"/>
      <c r="M791" s="9" t="n"/>
    </row>
    <row r="792" ht="15.75" customHeight="1" s="14">
      <c r="A792" t="inlineStr">
        <is>
          <t>I-0791</t>
        </is>
      </c>
      <c r="B792" s="9" t="n"/>
      <c r="C792" s="9" t="n"/>
      <c r="M792" s="9" t="n"/>
    </row>
    <row r="793" ht="15.75" customHeight="1" s="14">
      <c r="A793" t="inlineStr">
        <is>
          <t>I-0792</t>
        </is>
      </c>
      <c r="B793" s="9" t="n"/>
      <c r="C793" s="9" t="n"/>
      <c r="M793" s="9" t="n"/>
    </row>
    <row r="794" ht="15.75" customHeight="1" s="14">
      <c r="A794" t="inlineStr">
        <is>
          <t>I-0793</t>
        </is>
      </c>
      <c r="B794" s="9" t="n"/>
      <c r="C794" s="9" t="n"/>
      <c r="M794" s="9" t="n"/>
    </row>
    <row r="795" ht="15.75" customHeight="1" s="14">
      <c r="A795" t="inlineStr">
        <is>
          <t>I-0794</t>
        </is>
      </c>
      <c r="B795" s="9" t="n"/>
      <c r="C795" s="9" t="n"/>
      <c r="M795" s="9" t="n"/>
    </row>
    <row r="796" ht="15.75" customHeight="1" s="14">
      <c r="A796" t="inlineStr">
        <is>
          <t>I-0795</t>
        </is>
      </c>
      <c r="B796" s="9" t="n"/>
      <c r="C796" s="9" t="n"/>
      <c r="M796" s="9" t="n"/>
    </row>
    <row r="797" ht="15.75" customHeight="1" s="14">
      <c r="A797" t="inlineStr">
        <is>
          <t>I-0796</t>
        </is>
      </c>
      <c r="B797" s="9" t="n"/>
      <c r="C797" s="9" t="n"/>
      <c r="M797" s="9" t="n"/>
    </row>
    <row r="798" ht="15.75" customHeight="1" s="14">
      <c r="A798" t="inlineStr">
        <is>
          <t>I-0797</t>
        </is>
      </c>
      <c r="B798" s="9" t="n"/>
      <c r="C798" s="9" t="n"/>
      <c r="M798" s="9" t="n"/>
    </row>
    <row r="799" ht="15.75" customHeight="1" s="14">
      <c r="A799" t="inlineStr">
        <is>
          <t>I-0798</t>
        </is>
      </c>
      <c r="B799" s="9" t="n"/>
      <c r="C799" s="9" t="n"/>
      <c r="M799" s="9" t="n"/>
    </row>
    <row r="800" ht="15.75" customHeight="1" s="14">
      <c r="A800" t="inlineStr">
        <is>
          <t>I-0799</t>
        </is>
      </c>
      <c r="B800" s="9" t="n"/>
      <c r="C800" s="9" t="n"/>
      <c r="M800" s="9" t="n"/>
    </row>
    <row r="801" ht="15.75" customHeight="1" s="14">
      <c r="A801" t="inlineStr">
        <is>
          <t>I-0800</t>
        </is>
      </c>
      <c r="B801" s="9" t="n"/>
      <c r="C801" s="9" t="n"/>
      <c r="M801" s="9" t="n"/>
    </row>
    <row r="802" ht="15.75" customHeight="1" s="14">
      <c r="A802" t="inlineStr">
        <is>
          <t>I-0801</t>
        </is>
      </c>
      <c r="B802" s="9" t="n"/>
      <c r="C802" s="9" t="n"/>
      <c r="M802" s="9" t="n"/>
    </row>
    <row r="803" ht="15.75" customHeight="1" s="14">
      <c r="A803" t="inlineStr">
        <is>
          <t>I-0802</t>
        </is>
      </c>
      <c r="B803" s="9" t="n"/>
      <c r="C803" s="9" t="n"/>
      <c r="M803" s="9" t="n"/>
    </row>
    <row r="804" ht="15.75" customHeight="1" s="14">
      <c r="A804" t="inlineStr">
        <is>
          <t>I-0803</t>
        </is>
      </c>
      <c r="B804" s="9" t="n"/>
      <c r="C804" s="9" t="n"/>
      <c r="M804" s="9" t="n"/>
    </row>
    <row r="805" ht="15.75" customHeight="1" s="14">
      <c r="A805" t="inlineStr">
        <is>
          <t>I-0804</t>
        </is>
      </c>
      <c r="B805" s="9" t="n"/>
      <c r="C805" s="9" t="n"/>
      <c r="M805" s="9" t="n"/>
    </row>
    <row r="806" ht="15.75" customHeight="1" s="14">
      <c r="A806" t="inlineStr">
        <is>
          <t>I-0805</t>
        </is>
      </c>
      <c r="B806" s="9" t="n"/>
      <c r="C806" s="9" t="n"/>
      <c r="M806" s="9" t="n"/>
    </row>
    <row r="807" ht="15.75" customHeight="1" s="14">
      <c r="A807" t="inlineStr">
        <is>
          <t>I-0806</t>
        </is>
      </c>
      <c r="B807" s="9" t="n"/>
      <c r="C807" s="9" t="n"/>
      <c r="M807" s="9" t="n"/>
    </row>
    <row r="808" ht="15.75" customHeight="1" s="14">
      <c r="A808" t="inlineStr">
        <is>
          <t>I-0807</t>
        </is>
      </c>
      <c r="B808" s="9" t="n"/>
      <c r="C808" s="9" t="n"/>
      <c r="M808" s="9" t="n"/>
    </row>
    <row r="809" ht="15.75" customHeight="1" s="14">
      <c r="A809" t="inlineStr">
        <is>
          <t>I-0808</t>
        </is>
      </c>
      <c r="B809" s="9" t="n"/>
      <c r="C809" s="9" t="n"/>
      <c r="M809" s="9" t="n"/>
    </row>
    <row r="810" ht="15.75" customHeight="1" s="14">
      <c r="A810" t="inlineStr">
        <is>
          <t>I-0809</t>
        </is>
      </c>
      <c r="B810" s="9" t="n"/>
      <c r="C810" s="9" t="n"/>
      <c r="M810" s="9" t="n"/>
    </row>
    <row r="811" ht="15.75" customHeight="1" s="14">
      <c r="A811" t="inlineStr">
        <is>
          <t>I-0810</t>
        </is>
      </c>
      <c r="B811" s="9" t="n"/>
      <c r="C811" s="9" t="n"/>
      <c r="M811" s="9" t="n"/>
    </row>
    <row r="812" ht="15.75" customHeight="1" s="14">
      <c r="A812" t="inlineStr">
        <is>
          <t>I-0811</t>
        </is>
      </c>
      <c r="B812" s="9" t="n"/>
      <c r="C812" s="9" t="n"/>
      <c r="M812" s="9" t="n"/>
    </row>
    <row r="813" ht="15.75" customHeight="1" s="14">
      <c r="A813" t="inlineStr">
        <is>
          <t>I-0812</t>
        </is>
      </c>
      <c r="B813" s="9" t="n"/>
      <c r="C813" s="9" t="n"/>
      <c r="M813" s="9" t="n"/>
    </row>
    <row r="814" ht="15.75" customHeight="1" s="14">
      <c r="A814" t="inlineStr">
        <is>
          <t>I-0813</t>
        </is>
      </c>
      <c r="B814" s="9" t="n"/>
      <c r="C814" s="9" t="n"/>
      <c r="M814" s="9" t="n"/>
    </row>
    <row r="815" ht="15.75" customHeight="1" s="14">
      <c r="A815" t="inlineStr">
        <is>
          <t>I-0814</t>
        </is>
      </c>
      <c r="B815" s="9" t="n"/>
      <c r="C815" s="9" t="n"/>
      <c r="M815" s="9" t="n"/>
    </row>
    <row r="816" ht="15.75" customHeight="1" s="14">
      <c r="A816" t="inlineStr">
        <is>
          <t>I-0815</t>
        </is>
      </c>
      <c r="B816" s="9" t="n"/>
      <c r="C816" s="9" t="n"/>
      <c r="M816" s="9" t="n"/>
    </row>
    <row r="817" ht="15.75" customHeight="1" s="14">
      <c r="A817" t="inlineStr">
        <is>
          <t>I-0816</t>
        </is>
      </c>
      <c r="B817" s="9" t="n"/>
      <c r="C817" s="9" t="n"/>
      <c r="M817" s="9" t="n"/>
    </row>
    <row r="818" ht="15.75" customHeight="1" s="14">
      <c r="A818" t="inlineStr">
        <is>
          <t>I-0817</t>
        </is>
      </c>
      <c r="B818" s="9" t="n"/>
      <c r="C818" s="9" t="n"/>
      <c r="M818" s="9" t="n"/>
    </row>
    <row r="819" ht="15.75" customHeight="1" s="14">
      <c r="A819" t="inlineStr">
        <is>
          <t>I-0818</t>
        </is>
      </c>
      <c r="B819" s="9" t="n"/>
      <c r="C819" s="9" t="n"/>
      <c r="M819" s="9" t="n"/>
    </row>
    <row r="820" ht="15.75" customHeight="1" s="14">
      <c r="A820" t="inlineStr">
        <is>
          <t>I-0819</t>
        </is>
      </c>
      <c r="B820" s="9" t="n"/>
      <c r="C820" s="9" t="n"/>
      <c r="M820" s="9" t="n"/>
    </row>
    <row r="821" ht="15.75" customHeight="1" s="14">
      <c r="A821" t="inlineStr">
        <is>
          <t>I-0820</t>
        </is>
      </c>
      <c r="B821" s="9" t="n"/>
      <c r="C821" s="9" t="n"/>
      <c r="M821" s="9" t="n"/>
    </row>
    <row r="822" ht="15.75" customHeight="1" s="14">
      <c r="A822" t="inlineStr">
        <is>
          <t>I-0821</t>
        </is>
      </c>
      <c r="B822" s="9" t="n"/>
      <c r="C822" s="9" t="n"/>
      <c r="M822" s="9" t="n"/>
    </row>
    <row r="823" ht="15.75" customHeight="1" s="14">
      <c r="A823" t="inlineStr">
        <is>
          <t>I-0822</t>
        </is>
      </c>
      <c r="B823" s="9" t="n"/>
      <c r="C823" s="9" t="n"/>
      <c r="M823" s="9" t="n"/>
    </row>
    <row r="824" ht="15.75" customHeight="1" s="14">
      <c r="A824" t="inlineStr">
        <is>
          <t>I-0823</t>
        </is>
      </c>
      <c r="B824" s="9" t="n"/>
      <c r="C824" s="9" t="n"/>
      <c r="M824" s="9" t="n"/>
    </row>
    <row r="825" ht="15.75" customHeight="1" s="14">
      <c r="A825" t="inlineStr">
        <is>
          <t>I-0824</t>
        </is>
      </c>
      <c r="B825" s="9" t="n"/>
      <c r="C825" s="9" t="n"/>
      <c r="M825" s="9" t="n"/>
    </row>
    <row r="826" ht="15.75" customHeight="1" s="14">
      <c r="A826" t="inlineStr">
        <is>
          <t>I-0825</t>
        </is>
      </c>
      <c r="B826" s="9" t="n"/>
      <c r="C826" s="9" t="n"/>
      <c r="M826" s="9" t="n"/>
    </row>
    <row r="827" ht="15.75" customHeight="1" s="14">
      <c r="A827" t="inlineStr">
        <is>
          <t>I-0826</t>
        </is>
      </c>
      <c r="B827" s="9" t="n"/>
      <c r="C827" s="9" t="n"/>
      <c r="M827" s="9" t="n"/>
    </row>
    <row r="828" ht="15.75" customHeight="1" s="14">
      <c r="A828" t="inlineStr">
        <is>
          <t>I-0827</t>
        </is>
      </c>
      <c r="B828" s="9" t="n"/>
      <c r="C828" s="9" t="n"/>
      <c r="M828" s="9" t="n"/>
    </row>
    <row r="829" ht="15.75" customHeight="1" s="14">
      <c r="A829" t="inlineStr">
        <is>
          <t>I-0828</t>
        </is>
      </c>
      <c r="B829" s="9" t="n"/>
      <c r="C829" s="9" t="n"/>
      <c r="M829" s="9" t="n"/>
    </row>
    <row r="830" ht="15.75" customHeight="1" s="14">
      <c r="A830" t="inlineStr">
        <is>
          <t>I-0829</t>
        </is>
      </c>
      <c r="B830" s="9" t="n"/>
      <c r="C830" s="9" t="n"/>
      <c r="M830" s="9" t="n"/>
    </row>
    <row r="831" ht="15.75" customHeight="1" s="14">
      <c r="A831" t="inlineStr">
        <is>
          <t>I-0830</t>
        </is>
      </c>
      <c r="B831" s="9" t="n"/>
      <c r="C831" s="9" t="n"/>
      <c r="M831" s="9" t="n"/>
    </row>
    <row r="832" ht="15.75" customHeight="1" s="14">
      <c r="A832" t="inlineStr">
        <is>
          <t>I-0831</t>
        </is>
      </c>
      <c r="B832" s="9" t="n"/>
      <c r="C832" s="9" t="n"/>
      <c r="M832" s="9" t="n"/>
    </row>
    <row r="833" ht="15.75" customHeight="1" s="14">
      <c r="A833" t="inlineStr">
        <is>
          <t>I-0832</t>
        </is>
      </c>
      <c r="B833" s="9" t="n"/>
      <c r="C833" s="9" t="n"/>
      <c r="M833" s="9" t="n"/>
    </row>
    <row r="834" ht="15.75" customHeight="1" s="14">
      <c r="A834" t="inlineStr">
        <is>
          <t>I-0833</t>
        </is>
      </c>
      <c r="B834" s="9" t="n"/>
      <c r="C834" s="9" t="n"/>
      <c r="M834" s="9" t="n"/>
    </row>
    <row r="835" ht="15.75" customHeight="1" s="14">
      <c r="A835" t="inlineStr">
        <is>
          <t>I-0834</t>
        </is>
      </c>
      <c r="B835" s="9" t="n"/>
      <c r="C835" s="9" t="n"/>
      <c r="M835" s="9" t="n"/>
    </row>
    <row r="836" ht="15.75" customHeight="1" s="14">
      <c r="A836" t="inlineStr">
        <is>
          <t>I-0835</t>
        </is>
      </c>
      <c r="B836" s="9" t="n"/>
      <c r="C836" s="9" t="n"/>
      <c r="M836" s="9" t="n"/>
    </row>
    <row r="837" ht="15.75" customHeight="1" s="14">
      <c r="A837" t="inlineStr">
        <is>
          <t>I-0836</t>
        </is>
      </c>
      <c r="B837" s="9" t="n"/>
      <c r="C837" s="9" t="n"/>
      <c r="M837" s="9" t="n"/>
    </row>
    <row r="838" ht="15.75" customHeight="1" s="14">
      <c r="A838" t="inlineStr">
        <is>
          <t>I-0837</t>
        </is>
      </c>
      <c r="B838" s="9" t="n"/>
      <c r="C838" s="9" t="n"/>
      <c r="M838" s="9" t="n"/>
    </row>
    <row r="839" ht="15.75" customHeight="1" s="14">
      <c r="A839" t="inlineStr">
        <is>
          <t>I-0838</t>
        </is>
      </c>
      <c r="B839" s="9" t="n"/>
      <c r="C839" s="9" t="n"/>
      <c r="M839" s="9" t="n"/>
    </row>
    <row r="840" ht="15.75" customHeight="1" s="14">
      <c r="A840" t="inlineStr">
        <is>
          <t>I-0839</t>
        </is>
      </c>
      <c r="B840" s="9" t="n"/>
      <c r="C840" s="9" t="n"/>
      <c r="M840" s="9" t="n"/>
    </row>
    <row r="841" ht="15.75" customHeight="1" s="14">
      <c r="A841" t="inlineStr">
        <is>
          <t>I-0840</t>
        </is>
      </c>
      <c r="B841" s="9" t="n"/>
      <c r="C841" s="9" t="n"/>
      <c r="M841" s="9" t="n"/>
    </row>
    <row r="842" ht="15.75" customHeight="1" s="14">
      <c r="A842" t="inlineStr">
        <is>
          <t>I-0841</t>
        </is>
      </c>
      <c r="B842" s="9" t="n"/>
      <c r="C842" s="9" t="n"/>
      <c r="M842" s="9" t="n"/>
    </row>
    <row r="843" ht="15.75" customHeight="1" s="14">
      <c r="A843" t="inlineStr">
        <is>
          <t>I-0842</t>
        </is>
      </c>
      <c r="B843" s="9" t="n"/>
      <c r="C843" s="9" t="n"/>
      <c r="M843" s="9" t="n"/>
    </row>
    <row r="844" ht="15.75" customHeight="1" s="14">
      <c r="A844" t="inlineStr">
        <is>
          <t>I-0843</t>
        </is>
      </c>
      <c r="B844" s="9" t="n"/>
      <c r="C844" s="9" t="n"/>
      <c r="M844" s="9" t="n"/>
    </row>
    <row r="845" ht="15.75" customHeight="1" s="14">
      <c r="A845" t="inlineStr">
        <is>
          <t>I-0844</t>
        </is>
      </c>
      <c r="B845" s="9" t="n"/>
      <c r="C845" s="9" t="n"/>
      <c r="M845" s="9" t="n"/>
    </row>
    <row r="846" ht="15.75" customHeight="1" s="14">
      <c r="A846" t="inlineStr">
        <is>
          <t>I-0845</t>
        </is>
      </c>
      <c r="B846" s="9" t="n"/>
      <c r="C846" s="9" t="n"/>
      <c r="M846" s="9" t="n"/>
    </row>
    <row r="847" ht="15.75" customHeight="1" s="14">
      <c r="A847" t="inlineStr">
        <is>
          <t>I-0846</t>
        </is>
      </c>
      <c r="B847" s="9" t="n"/>
      <c r="C847" s="9" t="n"/>
      <c r="M847" s="9" t="n"/>
    </row>
    <row r="848" ht="15.75" customHeight="1" s="14">
      <c r="A848" t="inlineStr">
        <is>
          <t>I-0847</t>
        </is>
      </c>
      <c r="B848" s="9" t="n"/>
      <c r="C848" s="9" t="n"/>
      <c r="M848" s="9" t="n"/>
    </row>
    <row r="849" ht="15.75" customHeight="1" s="14">
      <c r="A849" t="inlineStr">
        <is>
          <t>I-0848</t>
        </is>
      </c>
      <c r="B849" s="9" t="n"/>
      <c r="C849" s="9" t="n"/>
      <c r="M849" s="9" t="n"/>
    </row>
    <row r="850" ht="15.75" customHeight="1" s="14">
      <c r="A850" t="inlineStr">
        <is>
          <t>I-0849</t>
        </is>
      </c>
      <c r="B850" s="9" t="n"/>
      <c r="C850" s="9" t="n"/>
      <c r="M850" s="9" t="n"/>
    </row>
    <row r="851" ht="15.75" customHeight="1" s="14">
      <c r="A851" t="inlineStr">
        <is>
          <t>I-0850</t>
        </is>
      </c>
      <c r="B851" s="9" t="n"/>
      <c r="C851" s="9" t="n"/>
      <c r="M851" s="9" t="n"/>
    </row>
    <row r="852" ht="15.75" customHeight="1" s="14">
      <c r="A852" t="inlineStr">
        <is>
          <t>I-0851</t>
        </is>
      </c>
      <c r="B852" s="9" t="n"/>
      <c r="C852" s="9" t="n"/>
      <c r="M852" s="9" t="n"/>
    </row>
    <row r="853" ht="15.75" customHeight="1" s="14">
      <c r="A853" t="inlineStr">
        <is>
          <t>I-0852</t>
        </is>
      </c>
      <c r="B853" s="9" t="n"/>
      <c r="C853" s="9" t="n"/>
      <c r="M853" s="9" t="n"/>
    </row>
    <row r="854" ht="15.75" customHeight="1" s="14">
      <c r="A854" t="inlineStr">
        <is>
          <t>I-0853</t>
        </is>
      </c>
      <c r="B854" s="9" t="n"/>
      <c r="C854" s="9" t="n"/>
      <c r="M854" s="9" t="n"/>
    </row>
    <row r="855" ht="15.75" customHeight="1" s="14">
      <c r="A855" t="inlineStr">
        <is>
          <t>I-0854</t>
        </is>
      </c>
      <c r="B855" s="9" t="n"/>
      <c r="C855" s="9" t="n"/>
      <c r="M855" s="9" t="n"/>
    </row>
    <row r="856" ht="15.75" customHeight="1" s="14">
      <c r="A856" t="inlineStr">
        <is>
          <t>I-0855</t>
        </is>
      </c>
      <c r="B856" s="9" t="n"/>
      <c r="C856" s="9" t="n"/>
      <c r="M856" s="9" t="n"/>
    </row>
    <row r="857" ht="15.75" customHeight="1" s="14">
      <c r="A857" t="inlineStr">
        <is>
          <t>I-0856</t>
        </is>
      </c>
      <c r="B857" s="9" t="n"/>
      <c r="C857" s="9" t="n"/>
      <c r="M857" s="9" t="n"/>
    </row>
    <row r="858" ht="15.75" customHeight="1" s="14">
      <c r="A858" t="inlineStr">
        <is>
          <t>I-0857</t>
        </is>
      </c>
      <c r="B858" s="9" t="n"/>
      <c r="C858" s="9" t="n"/>
      <c r="M858" s="9" t="n"/>
    </row>
    <row r="859" ht="15.75" customHeight="1" s="14">
      <c r="A859" t="inlineStr">
        <is>
          <t>I-0858</t>
        </is>
      </c>
      <c r="B859" s="9" t="n"/>
      <c r="C859" s="9" t="n"/>
      <c r="M859" s="9" t="n"/>
    </row>
    <row r="860" ht="15.75" customHeight="1" s="14">
      <c r="A860" t="inlineStr">
        <is>
          <t>I-0859</t>
        </is>
      </c>
      <c r="B860" s="9" t="n"/>
      <c r="C860" s="9" t="n"/>
      <c r="M860" s="9" t="n"/>
    </row>
    <row r="861" ht="15.75" customHeight="1" s="14">
      <c r="A861" t="inlineStr">
        <is>
          <t>I-0860</t>
        </is>
      </c>
      <c r="B861" s="9" t="n"/>
      <c r="C861" s="9" t="n"/>
      <c r="M861" s="9" t="n"/>
    </row>
    <row r="862" ht="15.75" customHeight="1" s="14">
      <c r="A862" t="inlineStr">
        <is>
          <t>I-0861</t>
        </is>
      </c>
      <c r="B862" s="9" t="n"/>
      <c r="C862" s="9" t="n"/>
      <c r="M862" s="9" t="n"/>
    </row>
    <row r="863" ht="15.75" customHeight="1" s="14">
      <c r="A863" t="inlineStr">
        <is>
          <t>I-0862</t>
        </is>
      </c>
      <c r="B863" s="9" t="n"/>
      <c r="C863" s="9" t="n"/>
      <c r="M863" s="9" t="n"/>
    </row>
    <row r="864" ht="15.75" customHeight="1" s="14">
      <c r="A864" t="inlineStr">
        <is>
          <t>I-0863</t>
        </is>
      </c>
      <c r="B864" s="9" t="n"/>
      <c r="C864" s="9" t="n"/>
      <c r="M864" s="9" t="n"/>
    </row>
    <row r="865" ht="15.75" customHeight="1" s="14">
      <c r="A865" t="inlineStr">
        <is>
          <t>I-0864</t>
        </is>
      </c>
      <c r="B865" s="9" t="n"/>
      <c r="C865" s="9" t="n"/>
      <c r="M865" s="9" t="n"/>
    </row>
    <row r="866" ht="15.75" customHeight="1" s="14">
      <c r="A866" t="inlineStr">
        <is>
          <t>I-0865</t>
        </is>
      </c>
      <c r="B866" s="9" t="n"/>
      <c r="C866" s="9" t="n"/>
      <c r="M866" s="9" t="n"/>
    </row>
    <row r="867" ht="15.75" customHeight="1" s="14">
      <c r="A867" t="inlineStr">
        <is>
          <t>I-0866</t>
        </is>
      </c>
      <c r="B867" s="9" t="n"/>
      <c r="C867" s="9" t="n"/>
      <c r="M867" s="9" t="n"/>
    </row>
    <row r="868" ht="15.75" customHeight="1" s="14">
      <c r="A868" t="inlineStr">
        <is>
          <t>I-0867</t>
        </is>
      </c>
      <c r="B868" s="9" t="n"/>
      <c r="C868" s="9" t="n"/>
      <c r="M868" s="9" t="n"/>
    </row>
    <row r="869" ht="15.75" customHeight="1" s="14">
      <c r="A869" t="inlineStr">
        <is>
          <t>I-0868</t>
        </is>
      </c>
      <c r="B869" s="9" t="n"/>
      <c r="C869" s="9" t="n"/>
      <c r="M869" s="9" t="n"/>
    </row>
    <row r="870" ht="15.75" customHeight="1" s="14">
      <c r="A870" t="inlineStr">
        <is>
          <t>I-0869</t>
        </is>
      </c>
      <c r="B870" s="9" t="n"/>
      <c r="C870" s="9" t="n"/>
      <c r="M870" s="9" t="n"/>
    </row>
    <row r="871" ht="15.75" customHeight="1" s="14">
      <c r="A871" t="inlineStr">
        <is>
          <t>I-0870</t>
        </is>
      </c>
      <c r="B871" s="9" t="n"/>
      <c r="C871" s="9" t="n"/>
      <c r="M871" s="9" t="n"/>
    </row>
    <row r="872" ht="15.75" customHeight="1" s="14">
      <c r="A872" t="inlineStr">
        <is>
          <t>I-0871</t>
        </is>
      </c>
      <c r="B872" s="9" t="n"/>
      <c r="C872" s="9" t="n"/>
      <c r="M872" s="9" t="n"/>
    </row>
    <row r="873" ht="15.75" customHeight="1" s="14">
      <c r="A873" t="inlineStr">
        <is>
          <t>I-0872</t>
        </is>
      </c>
      <c r="B873" s="9" t="n"/>
      <c r="C873" s="9" t="n"/>
      <c r="M873" s="9" t="n"/>
    </row>
    <row r="874" ht="15.75" customHeight="1" s="14">
      <c r="A874" t="inlineStr">
        <is>
          <t>I-0873</t>
        </is>
      </c>
      <c r="B874" s="9" t="n"/>
      <c r="C874" s="9" t="n"/>
      <c r="M874" s="9" t="n"/>
    </row>
    <row r="875" ht="15.75" customHeight="1" s="14">
      <c r="A875" t="inlineStr">
        <is>
          <t>I-0874</t>
        </is>
      </c>
      <c r="B875" s="9" t="n"/>
      <c r="C875" s="9" t="n"/>
      <c r="M875" s="9" t="n"/>
    </row>
    <row r="876" ht="15.75" customHeight="1" s="14">
      <c r="A876" t="inlineStr">
        <is>
          <t>I-0875</t>
        </is>
      </c>
      <c r="B876" s="9" t="n"/>
      <c r="C876" s="9" t="n"/>
      <c r="M876" s="9" t="n"/>
    </row>
    <row r="877" ht="15.75" customHeight="1" s="14">
      <c r="A877" t="inlineStr">
        <is>
          <t>I-0876</t>
        </is>
      </c>
      <c r="B877" s="9" t="n"/>
      <c r="C877" s="9" t="n"/>
      <c r="M877" s="9" t="n"/>
    </row>
    <row r="878" ht="15.75" customHeight="1" s="14">
      <c r="A878" t="inlineStr">
        <is>
          <t>I-0877</t>
        </is>
      </c>
      <c r="B878" s="9" t="n"/>
      <c r="C878" s="9" t="n"/>
      <c r="M878" s="9" t="n"/>
    </row>
    <row r="879" ht="15.75" customHeight="1" s="14">
      <c r="A879" t="inlineStr">
        <is>
          <t>I-0878</t>
        </is>
      </c>
      <c r="B879" s="9" t="n"/>
      <c r="C879" s="9" t="n"/>
      <c r="M879" s="9" t="n"/>
    </row>
    <row r="880" ht="15.75" customHeight="1" s="14">
      <c r="A880" t="inlineStr">
        <is>
          <t>I-0879</t>
        </is>
      </c>
      <c r="B880" s="9" t="n"/>
      <c r="C880" s="9" t="n"/>
      <c r="M880" s="9" t="n"/>
    </row>
    <row r="881" ht="15.75" customHeight="1" s="14">
      <c r="A881" t="inlineStr">
        <is>
          <t>I-0880</t>
        </is>
      </c>
      <c r="B881" s="9" t="n"/>
      <c r="C881" s="9" t="n"/>
      <c r="M881" s="9" t="n"/>
    </row>
    <row r="882" ht="15.75" customHeight="1" s="14">
      <c r="A882" t="inlineStr">
        <is>
          <t>I-0881</t>
        </is>
      </c>
      <c r="B882" s="9" t="n"/>
      <c r="C882" s="9" t="n"/>
      <c r="M882" s="9" t="n"/>
    </row>
    <row r="883" ht="15.75" customHeight="1" s="14">
      <c r="A883" t="inlineStr">
        <is>
          <t>I-0882</t>
        </is>
      </c>
      <c r="B883" s="9" t="n"/>
      <c r="C883" s="9" t="n"/>
      <c r="M883" s="9" t="n"/>
    </row>
    <row r="884" ht="15.75" customHeight="1" s="14">
      <c r="A884" t="inlineStr">
        <is>
          <t>I-0883</t>
        </is>
      </c>
      <c r="B884" s="9" t="n"/>
      <c r="C884" s="9" t="n"/>
      <c r="M884" s="9" t="n"/>
    </row>
    <row r="885" ht="15.75" customHeight="1" s="14">
      <c r="A885" t="inlineStr">
        <is>
          <t>I-0884</t>
        </is>
      </c>
      <c r="B885" s="9" t="n"/>
      <c r="C885" s="9" t="n"/>
      <c r="M885" s="9" t="n"/>
    </row>
    <row r="886" ht="15.75" customHeight="1" s="14">
      <c r="A886" t="inlineStr">
        <is>
          <t>I-0885</t>
        </is>
      </c>
      <c r="B886" s="9" t="n"/>
      <c r="C886" s="9" t="n"/>
      <c r="M886" s="9" t="n"/>
    </row>
    <row r="887" ht="15.75" customHeight="1" s="14">
      <c r="A887" t="inlineStr">
        <is>
          <t>I-0886</t>
        </is>
      </c>
      <c r="B887" s="9" t="n"/>
      <c r="C887" s="9" t="n"/>
      <c r="M887" s="9" t="n"/>
    </row>
    <row r="888" ht="15.75" customHeight="1" s="14">
      <c r="A888" t="inlineStr">
        <is>
          <t>I-0887</t>
        </is>
      </c>
      <c r="B888" s="9" t="n"/>
      <c r="C888" s="9" t="n"/>
      <c r="M888" s="9" t="n"/>
    </row>
    <row r="889" ht="15.75" customHeight="1" s="14">
      <c r="A889" t="inlineStr">
        <is>
          <t>I-0888</t>
        </is>
      </c>
      <c r="B889" s="9" t="n"/>
      <c r="C889" s="9" t="n"/>
      <c r="M889" s="9" t="n"/>
    </row>
    <row r="890" ht="15.75" customHeight="1" s="14">
      <c r="A890" t="inlineStr">
        <is>
          <t>I-0889</t>
        </is>
      </c>
      <c r="B890" s="9" t="n"/>
      <c r="C890" s="9" t="n"/>
      <c r="M890" s="9" t="n"/>
    </row>
    <row r="891" ht="15.75" customHeight="1" s="14">
      <c r="A891" t="inlineStr">
        <is>
          <t>I-0890</t>
        </is>
      </c>
      <c r="B891" s="9" t="n"/>
      <c r="C891" s="9" t="n"/>
      <c r="M891" s="9" t="n"/>
    </row>
    <row r="892" ht="15.75" customHeight="1" s="14">
      <c r="A892" t="inlineStr">
        <is>
          <t>I-0891</t>
        </is>
      </c>
      <c r="B892" s="9" t="n"/>
      <c r="C892" s="9" t="n"/>
      <c r="M892" s="9" t="n"/>
    </row>
    <row r="893" ht="15.75" customHeight="1" s="14">
      <c r="A893" t="inlineStr">
        <is>
          <t>I-0892</t>
        </is>
      </c>
      <c r="B893" s="9" t="n"/>
      <c r="C893" s="9" t="n"/>
      <c r="M893" s="9" t="n"/>
    </row>
    <row r="894" ht="15.75" customHeight="1" s="14">
      <c r="A894" t="inlineStr">
        <is>
          <t>I-0893</t>
        </is>
      </c>
      <c r="B894" s="9" t="n"/>
      <c r="C894" s="9" t="n"/>
      <c r="M894" s="9" t="n"/>
    </row>
    <row r="895" ht="15.75" customHeight="1" s="14">
      <c r="A895" t="inlineStr">
        <is>
          <t>I-0894</t>
        </is>
      </c>
      <c r="B895" s="9" t="n"/>
      <c r="C895" s="9" t="n"/>
      <c r="M895" s="9" t="n"/>
    </row>
    <row r="896" ht="15.75" customHeight="1" s="14">
      <c r="A896" t="inlineStr">
        <is>
          <t>I-0895</t>
        </is>
      </c>
      <c r="B896" s="9" t="n"/>
      <c r="C896" s="9" t="n"/>
      <c r="M896" s="9" t="n"/>
    </row>
    <row r="897" ht="15.75" customHeight="1" s="14">
      <c r="A897" t="inlineStr">
        <is>
          <t>I-0896</t>
        </is>
      </c>
      <c r="B897" s="9" t="n"/>
      <c r="C897" s="9" t="n"/>
      <c r="M897" s="9" t="n"/>
    </row>
    <row r="898" ht="15.75" customHeight="1" s="14">
      <c r="A898" t="inlineStr">
        <is>
          <t>I-0897</t>
        </is>
      </c>
      <c r="B898" s="9" t="n"/>
      <c r="C898" s="9" t="n"/>
      <c r="M898" s="9" t="n"/>
    </row>
    <row r="899" ht="15.75" customHeight="1" s="14">
      <c r="A899" t="inlineStr">
        <is>
          <t>I-0898</t>
        </is>
      </c>
      <c r="B899" s="9" t="n"/>
      <c r="C899" s="9" t="n"/>
      <c r="M899" s="9" t="n"/>
    </row>
    <row r="900" ht="15.75" customHeight="1" s="14">
      <c r="A900" t="inlineStr">
        <is>
          <t>I-0899</t>
        </is>
      </c>
      <c r="B900" s="9" t="n"/>
      <c r="C900" s="9" t="n"/>
      <c r="M900" s="9" t="n"/>
    </row>
    <row r="901" ht="15.75" customHeight="1" s="14">
      <c r="A901" t="inlineStr">
        <is>
          <t>I-0900</t>
        </is>
      </c>
      <c r="B901" s="9" t="n"/>
      <c r="C901" s="9" t="n"/>
      <c r="M901" s="9" t="n"/>
    </row>
    <row r="902" ht="15.75" customHeight="1" s="14">
      <c r="A902" t="inlineStr">
        <is>
          <t>I-0901</t>
        </is>
      </c>
      <c r="B902" s="9" t="n"/>
      <c r="C902" s="9" t="n"/>
      <c r="M902" s="9" t="n"/>
    </row>
    <row r="903" ht="15.75" customHeight="1" s="14">
      <c r="A903" t="inlineStr">
        <is>
          <t>I-0902</t>
        </is>
      </c>
      <c r="B903" s="9" t="n"/>
      <c r="C903" s="9" t="n"/>
      <c r="M903" s="9" t="n"/>
    </row>
    <row r="904" ht="15.75" customHeight="1" s="14">
      <c r="A904" t="inlineStr">
        <is>
          <t>I-0903</t>
        </is>
      </c>
      <c r="B904" s="9" t="n"/>
      <c r="C904" s="9" t="n"/>
      <c r="M904" s="9" t="n"/>
    </row>
    <row r="905" ht="15.75" customHeight="1" s="14">
      <c r="A905" t="inlineStr">
        <is>
          <t>I-0904</t>
        </is>
      </c>
      <c r="B905" s="9" t="n"/>
      <c r="C905" s="9" t="n"/>
      <c r="M905" s="9" t="n"/>
    </row>
    <row r="906" ht="15.75" customHeight="1" s="14">
      <c r="A906" t="inlineStr">
        <is>
          <t>I-0905</t>
        </is>
      </c>
      <c r="B906" s="9" t="n"/>
      <c r="C906" s="9" t="n"/>
      <c r="M906" s="9" t="n"/>
    </row>
    <row r="907" ht="15.75" customHeight="1" s="14">
      <c r="A907" t="inlineStr">
        <is>
          <t>I-0906</t>
        </is>
      </c>
      <c r="B907" s="9" t="n"/>
      <c r="C907" s="9" t="n"/>
      <c r="M907" s="9" t="n"/>
    </row>
    <row r="908" ht="15.75" customHeight="1" s="14">
      <c r="A908" t="inlineStr">
        <is>
          <t>I-0907</t>
        </is>
      </c>
      <c r="B908" s="9" t="n"/>
      <c r="C908" s="9" t="n"/>
      <c r="M908" s="9" t="n"/>
    </row>
    <row r="909" ht="15.75" customHeight="1" s="14">
      <c r="A909" t="inlineStr">
        <is>
          <t>I-0908</t>
        </is>
      </c>
      <c r="B909" s="9" t="n"/>
      <c r="C909" s="9" t="n"/>
      <c r="M909" s="9" t="n"/>
    </row>
    <row r="910" ht="15.75" customHeight="1" s="14">
      <c r="A910" t="inlineStr">
        <is>
          <t>I-0909</t>
        </is>
      </c>
      <c r="B910" s="9" t="n"/>
      <c r="C910" s="9" t="n"/>
      <c r="M910" s="9" t="n"/>
    </row>
    <row r="911" ht="15.75" customHeight="1" s="14">
      <c r="A911" t="inlineStr">
        <is>
          <t>I-0910</t>
        </is>
      </c>
      <c r="B911" s="9" t="n"/>
      <c r="C911" s="9" t="n"/>
      <c r="M911" s="9" t="n"/>
    </row>
    <row r="912" ht="15.75" customHeight="1" s="14">
      <c r="A912" t="inlineStr">
        <is>
          <t>I-0911</t>
        </is>
      </c>
      <c r="B912" s="9" t="n"/>
      <c r="C912" s="9" t="n"/>
      <c r="M912" s="9" t="n"/>
    </row>
    <row r="913" ht="15.75" customHeight="1" s="14">
      <c r="A913" t="inlineStr">
        <is>
          <t>I-0912</t>
        </is>
      </c>
      <c r="B913" s="9" t="n"/>
      <c r="C913" s="9" t="n"/>
      <c r="M913" s="9" t="n"/>
    </row>
    <row r="914" ht="15.75" customHeight="1" s="14">
      <c r="A914" t="inlineStr">
        <is>
          <t>I-0913</t>
        </is>
      </c>
      <c r="B914" s="9" t="n"/>
      <c r="C914" s="9" t="n"/>
      <c r="M914" s="9" t="n"/>
    </row>
    <row r="915" ht="15.75" customHeight="1" s="14">
      <c r="A915" t="inlineStr">
        <is>
          <t>I-0914</t>
        </is>
      </c>
      <c r="B915" s="9" t="n"/>
      <c r="C915" s="9" t="n"/>
      <c r="M915" s="9" t="n"/>
    </row>
    <row r="916" ht="15.75" customHeight="1" s="14">
      <c r="A916" t="inlineStr">
        <is>
          <t>I-0915</t>
        </is>
      </c>
      <c r="B916" s="9" t="n"/>
      <c r="C916" s="9" t="n"/>
      <c r="M916" s="9" t="n"/>
    </row>
    <row r="917" ht="15.75" customHeight="1" s="14">
      <c r="A917" t="inlineStr">
        <is>
          <t>I-0916</t>
        </is>
      </c>
      <c r="B917" s="9" t="n"/>
      <c r="C917" s="9" t="n"/>
      <c r="M917" s="9" t="n"/>
    </row>
    <row r="918" ht="15.75" customHeight="1" s="14">
      <c r="A918" t="inlineStr">
        <is>
          <t>I-0917</t>
        </is>
      </c>
      <c r="B918" s="9" t="n"/>
      <c r="C918" s="9" t="n"/>
      <c r="M918" s="9" t="n"/>
    </row>
    <row r="919" ht="15.75" customHeight="1" s="14">
      <c r="A919" t="inlineStr">
        <is>
          <t>I-0918</t>
        </is>
      </c>
      <c r="B919" s="9" t="n"/>
      <c r="C919" s="9" t="n"/>
      <c r="M919" s="9" t="n"/>
    </row>
    <row r="920" ht="15.75" customHeight="1" s="14">
      <c r="A920" t="inlineStr">
        <is>
          <t>I-0919</t>
        </is>
      </c>
      <c r="B920" s="9" t="n"/>
      <c r="C920" s="9" t="n"/>
      <c r="M920" s="9" t="n"/>
    </row>
    <row r="921" ht="15.75" customHeight="1" s="14">
      <c r="A921" t="inlineStr">
        <is>
          <t>I-0920</t>
        </is>
      </c>
      <c r="B921" s="9" t="n"/>
      <c r="C921" s="9" t="n"/>
      <c r="M921" s="9" t="n"/>
    </row>
    <row r="922" ht="15.75" customHeight="1" s="14">
      <c r="A922" t="inlineStr">
        <is>
          <t>I-0921</t>
        </is>
      </c>
      <c r="B922" s="9" t="n"/>
      <c r="C922" s="9" t="n"/>
      <c r="M922" s="9" t="n"/>
    </row>
    <row r="923" ht="15.75" customHeight="1" s="14">
      <c r="A923" t="inlineStr">
        <is>
          <t>I-0922</t>
        </is>
      </c>
      <c r="B923" s="9" t="n"/>
      <c r="C923" s="9" t="n"/>
      <c r="M923" s="9" t="n"/>
    </row>
    <row r="924" ht="15.75" customHeight="1" s="14">
      <c r="A924" t="inlineStr">
        <is>
          <t>I-0923</t>
        </is>
      </c>
      <c r="B924" s="9" t="n"/>
      <c r="C924" s="9" t="n"/>
      <c r="M924" s="9" t="n"/>
    </row>
    <row r="925" ht="15.75" customHeight="1" s="14">
      <c r="A925" t="inlineStr">
        <is>
          <t>I-0924</t>
        </is>
      </c>
      <c r="B925" s="9" t="n"/>
      <c r="C925" s="9" t="n"/>
      <c r="M925" s="9" t="n"/>
    </row>
    <row r="926" ht="15.75" customHeight="1" s="14">
      <c r="A926" t="inlineStr">
        <is>
          <t>I-0925</t>
        </is>
      </c>
      <c r="B926" s="9" t="n"/>
      <c r="C926" s="9" t="n"/>
      <c r="M926" s="9" t="n"/>
    </row>
    <row r="927" ht="15.75" customHeight="1" s="14">
      <c r="A927" t="inlineStr">
        <is>
          <t>I-0926</t>
        </is>
      </c>
      <c r="B927" s="9" t="n"/>
      <c r="C927" s="9" t="n"/>
      <c r="M927" s="9" t="n"/>
    </row>
    <row r="928" ht="15.75" customHeight="1" s="14">
      <c r="A928" t="inlineStr">
        <is>
          <t>I-0927</t>
        </is>
      </c>
      <c r="B928" s="9" t="n"/>
      <c r="C928" s="9" t="n"/>
      <c r="M928" s="9" t="n"/>
    </row>
    <row r="929" ht="15.75" customHeight="1" s="14">
      <c r="A929" t="inlineStr">
        <is>
          <t>I-0928</t>
        </is>
      </c>
      <c r="B929" s="9" t="n"/>
      <c r="C929" s="9" t="n"/>
      <c r="M929" s="9" t="n"/>
    </row>
    <row r="930" ht="15.75" customHeight="1" s="14">
      <c r="A930" t="inlineStr">
        <is>
          <t>I-0929</t>
        </is>
      </c>
      <c r="B930" s="9" t="n"/>
      <c r="C930" s="9" t="n"/>
      <c r="M930" s="9" t="n"/>
    </row>
    <row r="931" ht="15.75" customHeight="1" s="14">
      <c r="A931" t="inlineStr">
        <is>
          <t>I-0930</t>
        </is>
      </c>
      <c r="B931" s="9" t="n"/>
      <c r="C931" s="9" t="n"/>
      <c r="M931" s="9" t="n"/>
    </row>
    <row r="932" ht="15.75" customHeight="1" s="14">
      <c r="A932" t="inlineStr">
        <is>
          <t>I-0931</t>
        </is>
      </c>
      <c r="B932" s="9" t="n"/>
      <c r="C932" s="9" t="n"/>
      <c r="M932" s="9" t="n"/>
    </row>
    <row r="933" ht="15.75" customHeight="1" s="14">
      <c r="A933" t="inlineStr">
        <is>
          <t>I-0932</t>
        </is>
      </c>
      <c r="B933" s="9" t="n"/>
      <c r="C933" s="9" t="n"/>
      <c r="M933" s="9" t="n"/>
    </row>
    <row r="934" ht="15.75" customHeight="1" s="14">
      <c r="A934" t="inlineStr">
        <is>
          <t>I-0933</t>
        </is>
      </c>
      <c r="B934" s="9" t="n"/>
      <c r="C934" s="9" t="n"/>
      <c r="M934" s="9" t="n"/>
    </row>
    <row r="935" ht="15.75" customHeight="1" s="14">
      <c r="A935" t="inlineStr">
        <is>
          <t>I-0934</t>
        </is>
      </c>
      <c r="B935" s="9" t="n"/>
      <c r="C935" s="9" t="n"/>
      <c r="M935" s="9" t="n"/>
    </row>
    <row r="936" ht="15.75" customHeight="1" s="14">
      <c r="A936" t="inlineStr">
        <is>
          <t>I-0935</t>
        </is>
      </c>
      <c r="B936" s="9" t="n"/>
      <c r="C936" s="9" t="n"/>
      <c r="M936" s="9" t="n"/>
    </row>
    <row r="937" ht="15.75" customHeight="1" s="14">
      <c r="A937" t="inlineStr">
        <is>
          <t>I-0936</t>
        </is>
      </c>
      <c r="B937" s="9" t="n"/>
      <c r="C937" s="9" t="n"/>
      <c r="M937" s="9" t="n"/>
    </row>
    <row r="938" ht="15.75" customHeight="1" s="14">
      <c r="A938" t="inlineStr">
        <is>
          <t>I-0937</t>
        </is>
      </c>
      <c r="B938" s="9" t="n"/>
      <c r="C938" s="9" t="n"/>
      <c r="M938" s="9" t="n"/>
    </row>
    <row r="939" ht="15.75" customHeight="1" s="14">
      <c r="A939" t="inlineStr">
        <is>
          <t>I-0938</t>
        </is>
      </c>
      <c r="B939" s="9" t="n"/>
      <c r="C939" s="9" t="n"/>
      <c r="M939" s="9" t="n"/>
    </row>
    <row r="940" ht="15.75" customHeight="1" s="14">
      <c r="A940" t="inlineStr">
        <is>
          <t>I-0939</t>
        </is>
      </c>
      <c r="B940" s="9" t="n"/>
      <c r="C940" s="9" t="n"/>
      <c r="M940" s="9" t="n"/>
    </row>
    <row r="941" ht="15.75" customHeight="1" s="14">
      <c r="A941" t="inlineStr">
        <is>
          <t>I-0940</t>
        </is>
      </c>
      <c r="B941" s="9" t="n"/>
      <c r="C941" s="9" t="n"/>
      <c r="M941" s="9" t="n"/>
    </row>
    <row r="942" ht="15.75" customHeight="1" s="14">
      <c r="A942" t="inlineStr">
        <is>
          <t>I-0941</t>
        </is>
      </c>
      <c r="B942" s="9" t="n"/>
      <c r="C942" s="9" t="n"/>
      <c r="M942" s="9" t="n"/>
    </row>
    <row r="943" ht="15.75" customHeight="1" s="14">
      <c r="A943" t="inlineStr">
        <is>
          <t>I-0942</t>
        </is>
      </c>
      <c r="B943" s="9" t="n"/>
      <c r="C943" s="9" t="n"/>
      <c r="M943" s="9" t="n"/>
    </row>
    <row r="944" ht="15.75" customHeight="1" s="14">
      <c r="A944" t="inlineStr">
        <is>
          <t>I-0943</t>
        </is>
      </c>
      <c r="B944" s="9" t="n"/>
      <c r="C944" s="9" t="n"/>
      <c r="M944" s="9" t="n"/>
    </row>
    <row r="945" ht="15.75" customHeight="1" s="14">
      <c r="A945" t="inlineStr">
        <is>
          <t>I-0944</t>
        </is>
      </c>
      <c r="B945" s="9" t="n"/>
      <c r="C945" s="9" t="n"/>
      <c r="M945" s="9" t="n"/>
    </row>
    <row r="946" ht="15.75" customHeight="1" s="14">
      <c r="A946" t="inlineStr">
        <is>
          <t>I-0945</t>
        </is>
      </c>
      <c r="B946" s="9" t="n"/>
      <c r="C946" s="9" t="n"/>
      <c r="M946" s="9" t="n"/>
    </row>
    <row r="947" ht="15.75" customHeight="1" s="14">
      <c r="A947" t="inlineStr">
        <is>
          <t>I-0946</t>
        </is>
      </c>
      <c r="B947" s="9" t="n"/>
      <c r="C947" s="9" t="n"/>
      <c r="M947" s="9" t="n"/>
    </row>
    <row r="948" ht="15.75" customHeight="1" s="14">
      <c r="A948" t="inlineStr">
        <is>
          <t>I-0947</t>
        </is>
      </c>
      <c r="B948" s="9" t="n"/>
      <c r="C948" s="9" t="n"/>
      <c r="M948" s="9" t="n"/>
    </row>
    <row r="949" ht="15.75" customHeight="1" s="14">
      <c r="A949" t="inlineStr">
        <is>
          <t>I-0948</t>
        </is>
      </c>
      <c r="B949" s="9" t="n"/>
      <c r="C949" s="9" t="n"/>
      <c r="M949" s="9" t="n"/>
    </row>
    <row r="950" ht="15.75" customHeight="1" s="14">
      <c r="A950" t="inlineStr">
        <is>
          <t>I-0949</t>
        </is>
      </c>
      <c r="B950" s="9" t="n"/>
      <c r="C950" s="9" t="n"/>
      <c r="M950" s="9" t="n"/>
    </row>
    <row r="951" ht="15.75" customHeight="1" s="14">
      <c r="A951" t="inlineStr">
        <is>
          <t>I-0950</t>
        </is>
      </c>
      <c r="B951" s="9" t="n"/>
      <c r="C951" s="9" t="n"/>
      <c r="M951" s="9" t="n"/>
    </row>
    <row r="952" ht="15.75" customHeight="1" s="14">
      <c r="A952" t="inlineStr">
        <is>
          <t>I-0951</t>
        </is>
      </c>
      <c r="B952" s="9" t="n"/>
      <c r="C952" s="9" t="n"/>
      <c r="M952" s="9" t="n"/>
    </row>
    <row r="953" ht="15.75" customHeight="1" s="14">
      <c r="A953" t="inlineStr">
        <is>
          <t>I-0952</t>
        </is>
      </c>
      <c r="B953" s="9" t="n"/>
      <c r="C953" s="9" t="n"/>
      <c r="M953" s="9" t="n"/>
    </row>
    <row r="954" ht="15.75" customHeight="1" s="14">
      <c r="A954" t="inlineStr">
        <is>
          <t>I-0953</t>
        </is>
      </c>
      <c r="B954" s="9" t="n"/>
      <c r="C954" s="9" t="n"/>
      <c r="M954" s="9" t="n"/>
    </row>
    <row r="955" ht="15.75" customHeight="1" s="14">
      <c r="A955" t="inlineStr">
        <is>
          <t>I-0954</t>
        </is>
      </c>
      <c r="B955" s="9" t="n"/>
      <c r="C955" s="9" t="n"/>
      <c r="M955" s="9" t="n"/>
    </row>
    <row r="956" ht="15.75" customHeight="1" s="14">
      <c r="A956" t="inlineStr">
        <is>
          <t>I-0955</t>
        </is>
      </c>
      <c r="B956" s="9" t="n"/>
      <c r="C956" s="9" t="n"/>
      <c r="M956" s="9" t="n"/>
    </row>
    <row r="957" ht="15.75" customHeight="1" s="14">
      <c r="A957" t="inlineStr">
        <is>
          <t>I-0956</t>
        </is>
      </c>
      <c r="B957" s="9" t="n"/>
      <c r="C957" s="9" t="n"/>
      <c r="M957" s="9" t="n"/>
    </row>
    <row r="958" ht="15.75" customHeight="1" s="14">
      <c r="A958" t="inlineStr">
        <is>
          <t>I-0957</t>
        </is>
      </c>
      <c r="B958" s="9" t="n"/>
      <c r="C958" s="9" t="n"/>
      <c r="M958" s="9" t="n"/>
    </row>
    <row r="959" ht="15.75" customHeight="1" s="14">
      <c r="A959" t="inlineStr">
        <is>
          <t>I-0958</t>
        </is>
      </c>
      <c r="B959" s="9" t="n"/>
      <c r="C959" s="9" t="n"/>
      <c r="M959" s="9" t="n"/>
    </row>
    <row r="960" ht="15.75" customHeight="1" s="14">
      <c r="A960" t="inlineStr">
        <is>
          <t>I-0959</t>
        </is>
      </c>
      <c r="B960" s="9" t="n"/>
      <c r="C960" s="9" t="n"/>
      <c r="M960" s="9" t="n"/>
    </row>
    <row r="961" ht="15.75" customHeight="1" s="14">
      <c r="A961" t="inlineStr">
        <is>
          <t>I-0960</t>
        </is>
      </c>
      <c r="B961" s="9" t="n"/>
      <c r="C961" s="9" t="n"/>
      <c r="M961" s="9" t="n"/>
    </row>
    <row r="962" ht="15.75" customHeight="1" s="14">
      <c r="A962" t="inlineStr">
        <is>
          <t>I-0961</t>
        </is>
      </c>
      <c r="B962" s="9" t="n"/>
      <c r="C962" s="9" t="n"/>
      <c r="M962" s="9" t="n"/>
    </row>
    <row r="963" ht="15.75" customHeight="1" s="14">
      <c r="A963" t="inlineStr">
        <is>
          <t>I-0962</t>
        </is>
      </c>
      <c r="B963" s="9" t="n"/>
      <c r="C963" s="9" t="n"/>
      <c r="M963" s="9" t="n"/>
    </row>
    <row r="964" ht="15.75" customHeight="1" s="14">
      <c r="A964" t="inlineStr">
        <is>
          <t>I-0963</t>
        </is>
      </c>
      <c r="B964" s="9" t="n"/>
      <c r="C964" s="9" t="n"/>
      <c r="M964" s="9" t="n"/>
    </row>
    <row r="965" ht="15.75" customHeight="1" s="14">
      <c r="A965" t="inlineStr">
        <is>
          <t>I-0964</t>
        </is>
      </c>
      <c r="B965" s="9" t="n"/>
      <c r="C965" s="9" t="n"/>
      <c r="M965" s="9" t="n"/>
    </row>
    <row r="966" ht="15.75" customHeight="1" s="14">
      <c r="A966" t="inlineStr">
        <is>
          <t>I-0965</t>
        </is>
      </c>
      <c r="B966" s="9" t="n"/>
      <c r="C966" s="9" t="n"/>
      <c r="M966" s="9" t="n"/>
    </row>
    <row r="967" ht="15.75" customHeight="1" s="14">
      <c r="A967" t="inlineStr">
        <is>
          <t>I-0966</t>
        </is>
      </c>
      <c r="B967" s="9" t="n"/>
      <c r="C967" s="9" t="n"/>
      <c r="M967" s="9" t="n"/>
    </row>
    <row r="968" ht="15.75" customHeight="1" s="14">
      <c r="A968" t="inlineStr">
        <is>
          <t>I-0967</t>
        </is>
      </c>
      <c r="B968" s="9" t="n"/>
      <c r="C968" s="9" t="n"/>
      <c r="M968" s="9" t="n"/>
    </row>
    <row r="969" ht="15.75" customHeight="1" s="14">
      <c r="A969" t="inlineStr">
        <is>
          <t>I-0968</t>
        </is>
      </c>
      <c r="B969" s="9" t="n"/>
      <c r="C969" s="9" t="n"/>
      <c r="M969" s="9" t="n"/>
    </row>
    <row r="970" ht="15.75" customHeight="1" s="14">
      <c r="A970" t="inlineStr">
        <is>
          <t>I-0969</t>
        </is>
      </c>
      <c r="B970" s="9" t="n"/>
      <c r="C970" s="9" t="n"/>
      <c r="M970" s="9" t="n"/>
    </row>
    <row r="971" ht="15.75" customHeight="1" s="14">
      <c r="A971" t="inlineStr">
        <is>
          <t>I-0970</t>
        </is>
      </c>
      <c r="B971" s="9" t="n"/>
      <c r="C971" s="9" t="n"/>
      <c r="M971" s="9" t="n"/>
    </row>
    <row r="972" ht="15.75" customHeight="1" s="14">
      <c r="A972" t="inlineStr">
        <is>
          <t>I-0971</t>
        </is>
      </c>
      <c r="B972" s="9" t="n"/>
      <c r="C972" s="9" t="n"/>
      <c r="M972" s="9" t="n"/>
    </row>
    <row r="973" ht="15.75" customHeight="1" s="14">
      <c r="A973" t="inlineStr">
        <is>
          <t>I-0972</t>
        </is>
      </c>
      <c r="B973" s="9" t="n"/>
      <c r="C973" s="9" t="n"/>
      <c r="M973" s="9" t="n"/>
    </row>
    <row r="974" ht="15.75" customHeight="1" s="14">
      <c r="A974" t="inlineStr">
        <is>
          <t>I-0973</t>
        </is>
      </c>
      <c r="B974" s="9" t="n"/>
      <c r="C974" s="9" t="n"/>
      <c r="M974" s="9" t="n"/>
    </row>
    <row r="975" ht="15.75" customHeight="1" s="14">
      <c r="A975" t="inlineStr">
        <is>
          <t>I-0974</t>
        </is>
      </c>
      <c r="B975" s="9" t="n"/>
      <c r="C975" s="9" t="n"/>
      <c r="M975" s="9" t="n"/>
    </row>
    <row r="976" ht="15.75" customHeight="1" s="14">
      <c r="A976" t="inlineStr">
        <is>
          <t>I-0975</t>
        </is>
      </c>
      <c r="B976" s="9" t="n"/>
      <c r="C976" s="9" t="n"/>
      <c r="M976" s="9" t="n"/>
    </row>
    <row r="977" ht="15.75" customHeight="1" s="14">
      <c r="A977" t="inlineStr">
        <is>
          <t>I-0976</t>
        </is>
      </c>
      <c r="B977" s="9" t="n"/>
      <c r="C977" s="9" t="n"/>
      <c r="M977" s="9" t="n"/>
    </row>
    <row r="978" ht="15.75" customHeight="1" s="14">
      <c r="A978" t="inlineStr">
        <is>
          <t>I-0977</t>
        </is>
      </c>
      <c r="B978" s="9" t="n"/>
      <c r="C978" s="9" t="n"/>
      <c r="M978" s="9" t="n"/>
    </row>
    <row r="979" ht="15.75" customHeight="1" s="14">
      <c r="A979" t="inlineStr">
        <is>
          <t>I-0978</t>
        </is>
      </c>
      <c r="B979" s="9" t="n"/>
      <c r="C979" s="9" t="n"/>
      <c r="M979" s="9" t="n"/>
    </row>
    <row r="980" ht="15.75" customHeight="1" s="14">
      <c r="A980" t="inlineStr">
        <is>
          <t>I-0979</t>
        </is>
      </c>
      <c r="B980" s="9" t="n"/>
      <c r="C980" s="9" t="n"/>
      <c r="M980" s="9" t="n"/>
    </row>
    <row r="981" ht="15.75" customHeight="1" s="14">
      <c r="A981" t="inlineStr">
        <is>
          <t>I-0980</t>
        </is>
      </c>
      <c r="B981" s="9" t="n"/>
      <c r="C981" s="9" t="n"/>
      <c r="M981" s="9" t="n"/>
    </row>
    <row r="982" ht="15.75" customHeight="1" s="14">
      <c r="A982" t="inlineStr">
        <is>
          <t>I-0981</t>
        </is>
      </c>
      <c r="B982" s="9" t="n"/>
      <c r="C982" s="9" t="n"/>
      <c r="M982" s="9" t="n"/>
    </row>
    <row r="983" ht="15.75" customHeight="1" s="14">
      <c r="A983" t="inlineStr">
        <is>
          <t>I-0982</t>
        </is>
      </c>
      <c r="B983" s="9" t="n"/>
      <c r="C983" s="9" t="n"/>
      <c r="M983" s="9" t="n"/>
    </row>
    <row r="984" ht="15.75" customHeight="1" s="14">
      <c r="A984" t="inlineStr">
        <is>
          <t>I-0983</t>
        </is>
      </c>
      <c r="B984" s="9" t="n"/>
      <c r="C984" s="9" t="n"/>
      <c r="M984" s="9" t="n"/>
    </row>
    <row r="985" ht="15.75" customHeight="1" s="14">
      <c r="A985" t="inlineStr">
        <is>
          <t>I-0984</t>
        </is>
      </c>
      <c r="B985" s="9" t="n"/>
      <c r="C985" s="9" t="n"/>
      <c r="M985" s="9" t="n"/>
    </row>
    <row r="986" ht="15.75" customHeight="1" s="14">
      <c r="A986" t="inlineStr">
        <is>
          <t>I-0985</t>
        </is>
      </c>
      <c r="B986" s="9" t="n"/>
      <c r="C986" s="9" t="n"/>
      <c r="M986" s="9" t="n"/>
    </row>
    <row r="987" ht="15.75" customHeight="1" s="14">
      <c r="A987" t="inlineStr">
        <is>
          <t>I-0986</t>
        </is>
      </c>
      <c r="B987" s="9" t="n"/>
      <c r="C987" s="9" t="n"/>
      <c r="M987" s="9" t="n"/>
    </row>
    <row r="988" ht="15.75" customHeight="1" s="14">
      <c r="A988" t="inlineStr">
        <is>
          <t>I-0987</t>
        </is>
      </c>
      <c r="B988" s="9" t="n"/>
      <c r="C988" s="9" t="n"/>
      <c r="M988" s="9" t="n"/>
    </row>
    <row r="989" ht="15.75" customHeight="1" s="14">
      <c r="A989" t="inlineStr">
        <is>
          <t>I-0988</t>
        </is>
      </c>
      <c r="B989" s="9" t="n"/>
      <c r="C989" s="9" t="n"/>
      <c r="M989" s="9" t="n"/>
    </row>
    <row r="990" ht="15.75" customHeight="1" s="14">
      <c r="A990" t="inlineStr">
        <is>
          <t>I-0989</t>
        </is>
      </c>
      <c r="B990" s="9" t="n"/>
      <c r="C990" s="9" t="n"/>
      <c r="M990" s="9" t="n"/>
    </row>
    <row r="991" ht="15.75" customHeight="1" s="14">
      <c r="A991" t="inlineStr">
        <is>
          <t>I-0990</t>
        </is>
      </c>
      <c r="B991" s="9" t="n"/>
      <c r="C991" s="9" t="n"/>
      <c r="M991" s="9" t="n"/>
    </row>
    <row r="992" ht="15.75" customHeight="1" s="14">
      <c r="A992" t="inlineStr">
        <is>
          <t>I-0991</t>
        </is>
      </c>
      <c r="B992" s="9" t="n"/>
      <c r="C992" s="9" t="n"/>
      <c r="M992" s="9" t="n"/>
    </row>
    <row r="993" ht="15.75" customHeight="1" s="14">
      <c r="A993" t="inlineStr">
        <is>
          <t>I-0992</t>
        </is>
      </c>
      <c r="B993" s="9" t="n"/>
      <c r="C993" s="9" t="n"/>
      <c r="M993" s="9" t="n"/>
    </row>
    <row r="994" ht="15.75" customHeight="1" s="14">
      <c r="A994" t="inlineStr">
        <is>
          <t>I-0993</t>
        </is>
      </c>
      <c r="B994" s="9" t="n"/>
      <c r="C994" s="9" t="n"/>
      <c r="M994" s="9" t="n"/>
    </row>
    <row r="995" ht="15.75" customHeight="1" s="14">
      <c r="A995" t="inlineStr">
        <is>
          <t>I-0994</t>
        </is>
      </c>
      <c r="B995" s="9" t="n"/>
      <c r="C995" s="9" t="n"/>
      <c r="M995" s="9" t="n"/>
    </row>
    <row r="996" ht="15.75" customHeight="1" s="14">
      <c r="A996" t="inlineStr">
        <is>
          <t>I-0995</t>
        </is>
      </c>
      <c r="B996" s="9" t="n"/>
      <c r="C996" s="9" t="n"/>
      <c r="M996" s="9" t="n"/>
    </row>
    <row r="997" ht="15.75" customHeight="1" s="14">
      <c r="A997" t="inlineStr">
        <is>
          <t>I-0996</t>
        </is>
      </c>
      <c r="B997" s="9" t="n"/>
      <c r="C997" s="9" t="n"/>
      <c r="M997" s="9" t="n"/>
    </row>
    <row r="998" ht="15.75" customHeight="1" s="14">
      <c r="A998" t="inlineStr">
        <is>
          <t>I-0997</t>
        </is>
      </c>
      <c r="B998" s="9" t="n"/>
      <c r="C998" s="9" t="n"/>
      <c r="M998" s="9" t="n"/>
    </row>
    <row r="999" ht="15.75" customHeight="1" s="14">
      <c r="A999" t="inlineStr">
        <is>
          <t>I-0998</t>
        </is>
      </c>
      <c r="B999" s="9" t="n"/>
      <c r="C999" s="9" t="n"/>
      <c r="M999" s="9" t="n"/>
    </row>
    <row r="1000" ht="15.75" customHeight="1" s="14">
      <c r="A1000" t="inlineStr">
        <is>
          <t>I-0999</t>
        </is>
      </c>
      <c r="B1000" s="9" t="n"/>
      <c r="C1000" s="9" t="n"/>
      <c r="M1000" s="9" t="n"/>
    </row>
    <row r="1001" ht="15.75" customHeight="1" s="14">
      <c r="A1001" t="inlineStr">
        <is>
          <t>I-1000</t>
        </is>
      </c>
      <c r="B1001" s="9" t="n"/>
      <c r="C1001" s="9" t="n"/>
      <c r="M1001" s="9" t="n"/>
    </row>
    <row r="1002" ht="15.75" customHeight="1" s="14">
      <c r="A1002" t="inlineStr">
        <is>
          <t>I-1001</t>
        </is>
      </c>
      <c r="B1002" s="9" t="n"/>
      <c r="C1002" s="9" t="n"/>
      <c r="M1002" s="9" t="n"/>
    </row>
    <row r="1003" ht="15.75" customHeight="1" s="14">
      <c r="A1003" t="inlineStr">
        <is>
          <t>I-1002</t>
        </is>
      </c>
      <c r="B1003" s="9" t="n"/>
      <c r="C1003" s="9" t="n"/>
      <c r="M1003" s="9" t="n"/>
    </row>
    <row r="1004" ht="15.75" customHeight="1" s="14">
      <c r="A1004" t="inlineStr">
        <is>
          <t>I-1003</t>
        </is>
      </c>
      <c r="B1004" s="9" t="n"/>
      <c r="C1004" s="9" t="n"/>
      <c r="M1004" s="9" t="n"/>
    </row>
  </sheetData>
  <dataValidations count="4">
    <dataValidation sqref="B2:B1004" showDropDown="0" showInputMessage="0" showErrorMessage="1" allowBlank="1" type="list">
      <formula1>"Whiskey,Bourbon,Scotch,Vodka,Gin,Rum,Tequila,Mezcal,Draft Beer,Bottle Beer,Wine,Can Beer,Soda/Juice,Syrups / Garnish,Finest Call / Mixers"</formula1>
    </dataValidation>
    <dataValidation sqref="L2:L1004" showDropDown="0" showInputMessage="0" showErrorMessage="1" allowBlank="1" type="list">
      <formula1>"Bar Cooler,Back Dry Storage,Bar Down Storage"</formula1>
    </dataValidation>
    <dataValidation sqref="C96" showDropDown="0" showInputMessage="0" showErrorMessage="1" allowBlank="1" type="list">
      <formula1>Master_Items!$C$2:$C1100</formula1>
    </dataValidation>
    <dataValidation sqref="A2:A1004" showDropDown="0" showInputMessage="0" showErrorMessage="1" allowBlank="1" type="list">
      <formula1>"Liquor,Beer,Extras"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100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4" min="1" max="6"/>
  </cols>
  <sheetData>
    <row r="1" ht="15.75" customHeight="1" s="14">
      <c r="A1" s="5" t="inlineStr">
        <is>
          <t>Item Name</t>
        </is>
      </c>
      <c r="B1" s="5" t="inlineStr">
        <is>
          <t>Vendor</t>
        </is>
      </c>
      <c r="C1" s="5" t="inlineStr">
        <is>
          <t>Vendor SKU</t>
        </is>
      </c>
      <c r="D1" s="5" t="inlineStr">
        <is>
          <t>Pack Size</t>
        </is>
      </c>
      <c r="E1" s="5" t="inlineStr">
        <is>
          <t>Unit Cost</t>
        </is>
      </c>
      <c r="F1" s="5" t="inlineStr">
        <is>
          <t>Last Cost</t>
        </is>
      </c>
      <c r="G1" s="5" t="inlineStr">
        <is>
          <t>Last Updated</t>
        </is>
      </c>
      <c r="H1" s="5" t="inlineStr">
        <is>
          <t>Preferred Vendor</t>
        </is>
      </c>
      <c r="I1" s="5" t="inlineStr">
        <is>
          <t>Notes</t>
        </is>
      </c>
    </row>
    <row r="2" ht="15.75" customHeight="1" s="14">
      <c r="A2" s="5" t="n"/>
      <c r="B2" s="5" t="n"/>
      <c r="I2" s="5">
        <f>IF(E2=MINIFS(E:E, A:A, A2), "Yes", "")</f>
        <v/>
      </c>
    </row>
    <row r="3" ht="15.75" customHeight="1" s="14">
      <c r="A3" s="5" t="n"/>
      <c r="B3" s="5" t="n"/>
      <c r="I3" s="5">
        <f>IF(E3=MINIFS(E:E, A:A, A3), "Yes", "")</f>
        <v/>
      </c>
    </row>
    <row r="4" ht="15.75" customHeight="1" s="14">
      <c r="A4" s="5" t="n"/>
      <c r="B4" s="5" t="n"/>
      <c r="I4" s="5">
        <f>IF(E4=MINIFS(E:E, A:A, A4), "Yes", "")</f>
        <v/>
      </c>
    </row>
    <row r="5" ht="15.75" customHeight="1" s="14">
      <c r="A5" s="5" t="n"/>
      <c r="B5" s="5" t="n"/>
      <c r="I5" s="5">
        <f>IF(E5=MINIFS(E:E, A:A, A5), "Yes", "")</f>
        <v/>
      </c>
    </row>
    <row r="6" ht="15.75" customHeight="1" s="14">
      <c r="A6" s="5" t="n"/>
      <c r="B6" s="5" t="n"/>
      <c r="I6" s="5">
        <f>IF(E6=MINIFS(E:E, A:A, A6), "Yes", "")</f>
        <v/>
      </c>
    </row>
    <row r="7" ht="15.75" customHeight="1" s="14">
      <c r="A7" s="5" t="n"/>
      <c r="B7" s="5" t="n"/>
      <c r="I7" s="5">
        <f>IF(E7=MINIFS(E:E, A:A, A7), "Yes", "")</f>
        <v/>
      </c>
    </row>
    <row r="8" ht="15.75" customHeight="1" s="14">
      <c r="A8" s="5" t="n"/>
      <c r="B8" s="5" t="n"/>
      <c r="I8" s="5">
        <f>IF(E8=MINIFS(E:E, A:A, A8), "Yes", "")</f>
        <v/>
      </c>
    </row>
    <row r="9" ht="15.75" customHeight="1" s="14">
      <c r="A9" s="5" t="n"/>
      <c r="B9" s="5" t="n"/>
      <c r="I9" s="5">
        <f>IF(E9=MINIFS(E:E, A:A, A9), "Yes", "")</f>
        <v/>
      </c>
    </row>
    <row r="10" ht="15.75" customHeight="1" s="14">
      <c r="A10" s="5" t="n"/>
      <c r="B10" s="5" t="n"/>
      <c r="I10" s="5">
        <f>IF(E10=MINIFS(E:E, A:A, A10), "Yes", "")</f>
        <v/>
      </c>
    </row>
    <row r="11" ht="15.75" customHeight="1" s="14">
      <c r="A11" s="5" t="n"/>
      <c r="B11" s="5" t="n"/>
      <c r="I11" s="5">
        <f>IF(E11=MINIFS(E:E, A:A, A11), "Yes", "")</f>
        <v/>
      </c>
    </row>
    <row r="12" ht="15.75" customHeight="1" s="14">
      <c r="A12" s="5" t="n"/>
      <c r="B12" s="5" t="n"/>
      <c r="I12" s="5">
        <f>IF(E12=MINIFS(E:E, A:A, A12), "Yes", "")</f>
        <v/>
      </c>
    </row>
    <row r="13" ht="15.75" customHeight="1" s="14">
      <c r="A13" s="5" t="n"/>
      <c r="B13" s="5" t="n"/>
      <c r="I13" s="5">
        <f>IF(E13=MINIFS(E:E, A:A, A13), "Yes", "")</f>
        <v/>
      </c>
    </row>
    <row r="14" ht="15.75" customHeight="1" s="14">
      <c r="A14" s="5" t="n"/>
      <c r="B14" s="5" t="n"/>
      <c r="I14" s="5">
        <f>IF(E14=MINIFS(E:E, A:A, A14), "Yes", "")</f>
        <v/>
      </c>
    </row>
    <row r="15" ht="15.75" customHeight="1" s="14">
      <c r="A15" s="5" t="n"/>
      <c r="B15" s="5" t="n"/>
      <c r="I15" s="5">
        <f>IF(E15=MINIFS(E:E, A:A, A15), "Yes", "")</f>
        <v/>
      </c>
    </row>
    <row r="16" ht="15.75" customHeight="1" s="14">
      <c r="A16" s="5" t="n"/>
      <c r="B16" s="5" t="n"/>
      <c r="I16" s="5">
        <f>IF(E16=MINIFS(E:E, A:A, A16), "Yes", "")</f>
        <v/>
      </c>
    </row>
    <row r="17" ht="15.75" customHeight="1" s="14">
      <c r="A17" s="5" t="n"/>
      <c r="B17" s="5" t="n"/>
      <c r="I17" s="5">
        <f>IF(E17=MINIFS(E:E, A:A, A17), "Yes", "")</f>
        <v/>
      </c>
    </row>
    <row r="18" ht="15.75" customHeight="1" s="14">
      <c r="A18" s="5" t="n"/>
      <c r="B18" s="5" t="n"/>
      <c r="I18" s="5">
        <f>IF(E18=MINIFS(E:E, A:A, A18), "Yes", "")</f>
        <v/>
      </c>
    </row>
    <row r="19" ht="15.75" customHeight="1" s="14">
      <c r="A19" s="5" t="n"/>
      <c r="B19" s="5" t="n"/>
      <c r="I19" s="5">
        <f>IF(E19=MINIFS(E:E, A:A, A19), "Yes", "")</f>
        <v/>
      </c>
    </row>
    <row r="20" ht="15.75" customHeight="1" s="14">
      <c r="A20" s="5" t="n"/>
      <c r="B20" s="5" t="n"/>
      <c r="I20" s="5">
        <f>IF(E20=MINIFS(E:E, A:A, A20), "Yes", "")</f>
        <v/>
      </c>
    </row>
    <row r="21" ht="15.75" customHeight="1" s="14">
      <c r="A21" s="5" t="n"/>
      <c r="B21" s="5" t="n"/>
      <c r="I21" s="5">
        <f>IF(E21=MINIFS(E:E, A:A, A21), "Yes", "")</f>
        <v/>
      </c>
    </row>
    <row r="22" ht="15.75" customHeight="1" s="14">
      <c r="A22" s="5" t="n"/>
      <c r="B22" s="5" t="n"/>
      <c r="I22" s="5">
        <f>IF(E22=MINIFS(E:E, A:A, A22), "Yes", "")</f>
        <v/>
      </c>
    </row>
    <row r="23" ht="15.75" customHeight="1" s="14">
      <c r="A23" s="5" t="n"/>
      <c r="B23" s="5" t="n"/>
      <c r="I23" s="5">
        <f>IF(E23=MINIFS(E:E, A:A, A23), "Yes", "")</f>
        <v/>
      </c>
    </row>
    <row r="24" ht="15.75" customHeight="1" s="14">
      <c r="A24" s="5" t="n"/>
      <c r="B24" s="5" t="n"/>
      <c r="I24" s="5">
        <f>IF(E24=MINIFS(E:E, A:A, A24), "Yes", "")</f>
        <v/>
      </c>
    </row>
    <row r="25" ht="15.75" customHeight="1" s="14">
      <c r="A25" s="5" t="n"/>
      <c r="B25" s="5" t="n"/>
      <c r="I25" s="5">
        <f>IF(E25=MINIFS(E:E, A:A, A25), "Yes", "")</f>
        <v/>
      </c>
    </row>
    <row r="26" ht="15.75" customHeight="1" s="14">
      <c r="A26" s="5" t="n"/>
      <c r="B26" s="5" t="n"/>
      <c r="I26" s="5">
        <f>IF(E26=MINIFS(E:E, A:A, A26), "Yes", "")</f>
        <v/>
      </c>
    </row>
    <row r="27" ht="15.75" customHeight="1" s="14">
      <c r="A27" s="5" t="n"/>
      <c r="B27" s="5" t="n"/>
      <c r="I27" s="5">
        <f>IF(E27=MINIFS(E:E, A:A, A27), "Yes", "")</f>
        <v/>
      </c>
    </row>
    <row r="28" ht="15.75" customHeight="1" s="14">
      <c r="A28" s="5" t="n"/>
      <c r="B28" s="5" t="n"/>
      <c r="I28" s="5">
        <f>IF(E28=MINIFS(E:E, A:A, A28), "Yes", "")</f>
        <v/>
      </c>
    </row>
    <row r="29" ht="15.75" customHeight="1" s="14">
      <c r="A29" s="5" t="n"/>
      <c r="B29" s="5" t="n"/>
      <c r="I29" s="5">
        <f>IF(E29=MINIFS(E:E, A:A, A29), "Yes", "")</f>
        <v/>
      </c>
    </row>
    <row r="30" ht="15.75" customHeight="1" s="14">
      <c r="A30" s="5" t="n"/>
      <c r="B30" s="5" t="n"/>
      <c r="I30" s="5">
        <f>IF(E30=MINIFS(E:E, A:A, A30), "Yes", "")</f>
        <v/>
      </c>
    </row>
    <row r="31" ht="15.75" customHeight="1" s="14">
      <c r="A31" s="5" t="n"/>
      <c r="B31" s="5" t="n"/>
      <c r="I31" s="5">
        <f>IF(E31=MINIFS(E:E, A:A, A31), "Yes", "")</f>
        <v/>
      </c>
    </row>
    <row r="32" ht="15.75" customHeight="1" s="14">
      <c r="A32" s="5" t="n"/>
      <c r="B32" s="5" t="n"/>
      <c r="I32" s="5">
        <f>IF(E32=MINIFS(E:E, A:A, A32), "Yes", "")</f>
        <v/>
      </c>
    </row>
    <row r="33" ht="15.75" customHeight="1" s="14">
      <c r="A33" s="5" t="n"/>
      <c r="B33" s="5" t="n"/>
      <c r="I33" s="5">
        <f>IF(E33=MINIFS(E:E, A:A, A33), "Yes", "")</f>
        <v/>
      </c>
    </row>
    <row r="34" ht="15.75" customHeight="1" s="14">
      <c r="A34" s="5" t="n"/>
      <c r="B34" s="5" t="n"/>
      <c r="I34" s="5">
        <f>IF(E34=MINIFS(E:E, A:A, A34), "Yes", "")</f>
        <v/>
      </c>
    </row>
    <row r="35" ht="15.75" customHeight="1" s="14">
      <c r="A35" s="5" t="n"/>
      <c r="B35" s="5" t="n"/>
      <c r="I35" s="5">
        <f>IF(E35=MINIFS(E:E, A:A, A35), "Yes", "")</f>
        <v/>
      </c>
    </row>
    <row r="36" ht="15.75" customHeight="1" s="14">
      <c r="A36" s="5" t="n"/>
      <c r="B36" s="5" t="n"/>
      <c r="I36" s="5">
        <f>IF(E36=MINIFS(E:E, A:A, A36), "Yes", "")</f>
        <v/>
      </c>
    </row>
    <row r="37" ht="15.75" customHeight="1" s="14">
      <c r="A37" s="5" t="n"/>
      <c r="B37" s="5" t="n"/>
      <c r="I37" s="5">
        <f>IF(E37=MINIFS(E:E, A:A, A37), "Yes", "")</f>
        <v/>
      </c>
    </row>
    <row r="38" ht="15.75" customHeight="1" s="14">
      <c r="A38" s="5" t="n"/>
      <c r="B38" s="5" t="n"/>
      <c r="I38" s="5">
        <f>IF(E38=MINIFS(E:E, A:A, A38), "Yes", "")</f>
        <v/>
      </c>
    </row>
    <row r="39" ht="15.75" customHeight="1" s="14">
      <c r="A39" s="5" t="n"/>
      <c r="B39" s="5" t="n"/>
      <c r="I39" s="5">
        <f>IF(E39=MINIFS(E:E, A:A, A39), "Yes", "")</f>
        <v/>
      </c>
    </row>
    <row r="40" ht="15.75" customHeight="1" s="14">
      <c r="A40" s="5" t="n"/>
      <c r="B40" s="5" t="n"/>
      <c r="I40" s="5">
        <f>IF(E40=MINIFS(E:E, A:A, A40), "Yes", "")</f>
        <v/>
      </c>
    </row>
    <row r="41" ht="15.75" customHeight="1" s="14">
      <c r="A41" s="5" t="n"/>
      <c r="B41" s="5" t="n"/>
      <c r="I41" s="5">
        <f>IF(E41=MINIFS(E:E, A:A, A41), "Yes", "")</f>
        <v/>
      </c>
    </row>
    <row r="42" ht="15.75" customHeight="1" s="14">
      <c r="A42" s="5" t="n"/>
      <c r="B42" s="5" t="n"/>
      <c r="I42" s="5">
        <f>IF(E42=MINIFS(E:E, A:A, A42), "Yes", "")</f>
        <v/>
      </c>
    </row>
    <row r="43" ht="15.75" customHeight="1" s="14">
      <c r="A43" s="5" t="n"/>
      <c r="B43" s="5" t="n"/>
      <c r="I43" s="5">
        <f>IF(E43=MINIFS(E:E, A:A, A43), "Yes", "")</f>
        <v/>
      </c>
    </row>
    <row r="44" ht="15.75" customHeight="1" s="14">
      <c r="A44" s="5" t="n"/>
      <c r="B44" s="5" t="n"/>
      <c r="I44" s="5">
        <f>IF(E44=MINIFS(E:E, A:A, A44), "Yes", "")</f>
        <v/>
      </c>
    </row>
    <row r="45" ht="15.75" customHeight="1" s="14">
      <c r="A45" s="5" t="n"/>
      <c r="B45" s="5" t="n"/>
      <c r="I45" s="5">
        <f>IF(E45=MINIFS(E:E, A:A, A45), "Yes", "")</f>
        <v/>
      </c>
    </row>
    <row r="46" ht="15.75" customHeight="1" s="14">
      <c r="A46" s="5" t="n"/>
      <c r="B46" s="5" t="n"/>
      <c r="I46" s="5">
        <f>IF(E46=MINIFS(E:E, A:A, A46), "Yes", "")</f>
        <v/>
      </c>
    </row>
    <row r="47" ht="15.75" customHeight="1" s="14">
      <c r="A47" s="5" t="n"/>
      <c r="B47" s="5" t="n"/>
      <c r="I47" s="5">
        <f>IF(E47=MINIFS(E:E, A:A, A47), "Yes", "")</f>
        <v/>
      </c>
    </row>
    <row r="48" ht="15.75" customHeight="1" s="14">
      <c r="A48" s="5" t="n"/>
      <c r="B48" s="5" t="n"/>
      <c r="I48" s="5">
        <f>IF(E48=MINIFS(E:E, A:A, A48), "Yes", "")</f>
        <v/>
      </c>
    </row>
    <row r="49" ht="15.75" customHeight="1" s="14">
      <c r="A49" s="5" t="n"/>
      <c r="B49" s="5" t="n"/>
      <c r="I49" s="5">
        <f>IF(E49=MINIFS(E:E, A:A, A49), "Yes", "")</f>
        <v/>
      </c>
    </row>
    <row r="50" ht="15.75" customHeight="1" s="14">
      <c r="A50" s="5" t="n"/>
      <c r="B50" s="5" t="n"/>
      <c r="I50" s="5">
        <f>IF(E50=MINIFS(E:E, A:A, A50), "Yes", "")</f>
        <v/>
      </c>
    </row>
    <row r="51" ht="15.75" customHeight="1" s="14">
      <c r="A51" s="5" t="n"/>
      <c r="B51" s="5" t="n"/>
      <c r="I51" s="5">
        <f>IF(E51=MINIFS(E:E, A:A, A51), "Yes", "")</f>
        <v/>
      </c>
    </row>
    <row r="52" ht="15.75" customHeight="1" s="14">
      <c r="A52" s="5" t="n"/>
      <c r="B52" s="5" t="n"/>
      <c r="I52" s="5">
        <f>IF(E52=MINIFS(E:E, A:A, A52), "Yes", "")</f>
        <v/>
      </c>
    </row>
    <row r="53" ht="15.75" customHeight="1" s="14">
      <c r="A53" s="5" t="n"/>
      <c r="B53" s="5" t="n"/>
      <c r="I53" s="5">
        <f>IF(E53=MINIFS(E:E, A:A, A53), "Yes", "")</f>
        <v/>
      </c>
    </row>
    <row r="54" ht="15.75" customHeight="1" s="14">
      <c r="A54" s="5" t="n"/>
      <c r="B54" s="5" t="n"/>
      <c r="I54" s="5">
        <f>IF(E54=MINIFS(E:E, A:A, A54), "Yes", "")</f>
        <v/>
      </c>
    </row>
    <row r="55" ht="15.75" customHeight="1" s="14">
      <c r="A55" s="5" t="n"/>
      <c r="B55" s="5" t="n"/>
      <c r="I55" s="5">
        <f>IF(E55=MINIFS(E:E, A:A, A55), "Yes", "")</f>
        <v/>
      </c>
    </row>
    <row r="56" ht="15.75" customHeight="1" s="14">
      <c r="A56" s="5" t="n"/>
      <c r="B56" s="5" t="n"/>
      <c r="I56" s="5">
        <f>IF(E56=MINIFS(E:E, A:A, A56), "Yes", "")</f>
        <v/>
      </c>
    </row>
    <row r="57" ht="15.75" customHeight="1" s="14">
      <c r="A57" s="5" t="n"/>
      <c r="B57" s="5" t="n"/>
      <c r="I57" s="5">
        <f>IF(E57=MINIFS(E:E, A:A, A57), "Yes", "")</f>
        <v/>
      </c>
    </row>
    <row r="58" ht="15.75" customHeight="1" s="14">
      <c r="A58" s="5" t="n"/>
      <c r="B58" s="5" t="n"/>
      <c r="I58" s="5">
        <f>IF(E58=MINIFS(E:E, A:A, A58), "Yes", "")</f>
        <v/>
      </c>
    </row>
    <row r="59" ht="15.75" customHeight="1" s="14">
      <c r="A59" s="5" t="n"/>
      <c r="B59" s="5" t="n"/>
      <c r="I59" s="5">
        <f>IF(E59=MINIFS(E:E, A:A, A59), "Yes", "")</f>
        <v/>
      </c>
    </row>
    <row r="60" ht="15.75" customHeight="1" s="14">
      <c r="A60" s="5" t="n"/>
      <c r="B60" s="5" t="n"/>
      <c r="I60" s="5">
        <f>IF(E60=MINIFS(E:E, A:A, A60), "Yes", "")</f>
        <v/>
      </c>
    </row>
    <row r="61" ht="15.75" customHeight="1" s="14">
      <c r="A61" s="5" t="n"/>
      <c r="B61" s="5" t="n"/>
      <c r="I61" s="5">
        <f>IF(E61=MINIFS(E:E, A:A, A61), "Yes", "")</f>
        <v/>
      </c>
    </row>
    <row r="62" ht="15.75" customHeight="1" s="14">
      <c r="A62" s="5" t="n"/>
      <c r="B62" s="5" t="n"/>
      <c r="I62" s="5">
        <f>IF(E62=MINIFS(E:E, A:A, A62), "Yes", "")</f>
        <v/>
      </c>
    </row>
    <row r="63" ht="15.75" customHeight="1" s="14">
      <c r="A63" s="5" t="n"/>
      <c r="B63" s="5" t="n"/>
      <c r="I63" s="5">
        <f>IF(E63=MINIFS(E:E, A:A, A63), "Yes", "")</f>
        <v/>
      </c>
    </row>
    <row r="64" ht="15.75" customHeight="1" s="14">
      <c r="A64" s="5" t="n"/>
      <c r="B64" s="5" t="n"/>
      <c r="I64" s="5">
        <f>IF(E64=MINIFS(E:E, A:A, A64), "Yes", "")</f>
        <v/>
      </c>
    </row>
    <row r="65" ht="15.75" customHeight="1" s="14">
      <c r="A65" s="5" t="n"/>
      <c r="B65" s="5" t="n"/>
      <c r="I65" s="5">
        <f>IF(E65=MINIFS(E:E, A:A, A65), "Yes", "")</f>
        <v/>
      </c>
    </row>
    <row r="66" ht="15.75" customHeight="1" s="14">
      <c r="A66" s="5" t="n"/>
      <c r="B66" s="5" t="n"/>
      <c r="I66" s="5">
        <f>IF(E66=MINIFS(E:E, A:A, A66), "Yes", "")</f>
        <v/>
      </c>
    </row>
    <row r="67" ht="15.75" customHeight="1" s="14">
      <c r="A67" s="5" t="n"/>
      <c r="B67" s="5" t="n"/>
      <c r="I67" s="5">
        <f>IF(E67=MINIFS(E:E, A:A, A67), "Yes", "")</f>
        <v/>
      </c>
    </row>
    <row r="68" ht="15.75" customHeight="1" s="14">
      <c r="A68" s="5" t="n"/>
      <c r="B68" s="5" t="n"/>
      <c r="I68" s="5">
        <f>IF(E68=MINIFS(E:E, A:A, A68), "Yes", "")</f>
        <v/>
      </c>
    </row>
    <row r="69" ht="15.75" customHeight="1" s="14">
      <c r="A69" s="5" t="n"/>
      <c r="B69" s="5" t="n"/>
      <c r="I69" s="5">
        <f>IF(E69=MINIFS(E:E, A:A, A69), "Yes", "")</f>
        <v/>
      </c>
    </row>
    <row r="70" ht="15.75" customHeight="1" s="14">
      <c r="A70" s="5" t="n"/>
      <c r="B70" s="5" t="n"/>
      <c r="I70" s="5">
        <f>IF(E70=MINIFS(E:E, A:A, A70), "Yes", "")</f>
        <v/>
      </c>
    </row>
    <row r="71" ht="15.75" customHeight="1" s="14">
      <c r="A71" s="5" t="n"/>
      <c r="B71" s="5" t="n"/>
      <c r="I71" s="5">
        <f>IF(E71=MINIFS(E:E, A:A, A71), "Yes", "")</f>
        <v/>
      </c>
    </row>
    <row r="72" ht="15.75" customHeight="1" s="14">
      <c r="A72" s="5" t="n"/>
      <c r="B72" s="5" t="n"/>
      <c r="I72" s="5">
        <f>IF(E72=MINIFS(E:E, A:A, A72), "Yes", "")</f>
        <v/>
      </c>
    </row>
    <row r="73" ht="15.75" customHeight="1" s="14">
      <c r="A73" s="5" t="n"/>
      <c r="B73" s="5" t="n"/>
      <c r="I73" s="5">
        <f>IF(E73=MINIFS(E:E, A:A, A73), "Yes", "")</f>
        <v/>
      </c>
    </row>
    <row r="74" ht="15.75" customHeight="1" s="14">
      <c r="A74" s="5" t="n"/>
      <c r="B74" s="5" t="n"/>
      <c r="I74" s="5">
        <f>IF(E74=MINIFS(E:E, A:A, A74), "Yes", "")</f>
        <v/>
      </c>
    </row>
    <row r="75" ht="15.75" customHeight="1" s="14">
      <c r="A75" s="5" t="n"/>
      <c r="B75" s="5" t="n"/>
      <c r="I75" s="5">
        <f>IF(E75=MINIFS(E:E, A:A, A75), "Yes", "")</f>
        <v/>
      </c>
    </row>
    <row r="76" ht="15.75" customHeight="1" s="14">
      <c r="A76" s="5" t="n"/>
      <c r="B76" s="5" t="n"/>
      <c r="I76" s="5">
        <f>IF(E76=MINIFS(E:E, A:A, A76), "Yes", "")</f>
        <v/>
      </c>
    </row>
    <row r="77" ht="15.75" customHeight="1" s="14">
      <c r="A77" s="5" t="n"/>
      <c r="B77" s="5" t="n"/>
      <c r="I77" s="5">
        <f>IF(E77=MINIFS(E:E, A:A, A77), "Yes", "")</f>
        <v/>
      </c>
    </row>
    <row r="78" ht="15.75" customHeight="1" s="14">
      <c r="A78" s="5" t="n"/>
      <c r="B78" s="5" t="n"/>
      <c r="I78" s="5">
        <f>IF(E78=MINIFS(E:E, A:A, A78), "Yes", "")</f>
        <v/>
      </c>
    </row>
    <row r="79" ht="15.75" customHeight="1" s="14">
      <c r="A79" s="5" t="n"/>
      <c r="B79" s="5" t="n"/>
      <c r="I79" s="5">
        <f>IF(E79=MINIFS(E:E, A:A, A79), "Yes", "")</f>
        <v/>
      </c>
    </row>
    <row r="80" ht="15.75" customHeight="1" s="14">
      <c r="A80" s="5" t="n"/>
      <c r="B80" s="5" t="n"/>
      <c r="I80" s="5">
        <f>IF(E80=MINIFS(E:E, A:A, A80), "Yes", "")</f>
        <v/>
      </c>
    </row>
    <row r="81" ht="15.75" customHeight="1" s="14">
      <c r="A81" s="5" t="n"/>
      <c r="B81" s="5" t="n"/>
      <c r="I81" s="5">
        <f>IF(E81=MINIFS(E:E, A:A, A81), "Yes", "")</f>
        <v/>
      </c>
    </row>
    <row r="82" ht="15.75" customHeight="1" s="14">
      <c r="A82" s="5" t="n"/>
      <c r="B82" s="5" t="n"/>
      <c r="I82" s="5">
        <f>IF(E82=MINIFS(E:E, A:A, A82), "Yes", "")</f>
        <v/>
      </c>
    </row>
    <row r="83" ht="15.75" customHeight="1" s="14">
      <c r="A83" s="5" t="n"/>
      <c r="B83" s="5" t="n"/>
      <c r="I83" s="5">
        <f>IF(E83=MINIFS(E:E, A:A, A83), "Yes", "")</f>
        <v/>
      </c>
    </row>
    <row r="84" ht="15.75" customHeight="1" s="14">
      <c r="A84" s="5" t="n"/>
      <c r="B84" s="5" t="n"/>
      <c r="I84" s="5">
        <f>IF(E84=MINIFS(E:E, A:A, A84), "Yes", "")</f>
        <v/>
      </c>
    </row>
    <row r="85" ht="15.75" customHeight="1" s="14">
      <c r="A85" s="5" t="n"/>
      <c r="B85" s="5" t="n"/>
      <c r="I85" s="5">
        <f>IF(E85=MINIFS(E:E, A:A, A85), "Yes", "")</f>
        <v/>
      </c>
    </row>
    <row r="86" ht="15.75" customHeight="1" s="14">
      <c r="A86" s="5" t="n"/>
      <c r="B86" s="5" t="n"/>
      <c r="I86" s="5">
        <f>IF(E86=MINIFS(E:E, A:A, A86), "Yes", "")</f>
        <v/>
      </c>
    </row>
    <row r="87" ht="15.75" customHeight="1" s="14">
      <c r="A87" s="5" t="n"/>
      <c r="B87" s="5" t="n"/>
      <c r="I87" s="5">
        <f>IF(E87=MINIFS(E:E, A:A, A87), "Yes", "")</f>
        <v/>
      </c>
    </row>
    <row r="88" ht="15.75" customHeight="1" s="14">
      <c r="A88" s="5" t="n"/>
      <c r="B88" s="5" t="n"/>
      <c r="I88" s="5">
        <f>IF(E88=MINIFS(E:E, A:A, A88), "Yes", "")</f>
        <v/>
      </c>
    </row>
    <row r="89" ht="15.75" customHeight="1" s="14">
      <c r="A89" s="5" t="n"/>
      <c r="B89" s="5" t="n"/>
      <c r="I89" s="5">
        <f>IF(E89=MINIFS(E:E, A:A, A89), "Yes", "")</f>
        <v/>
      </c>
    </row>
    <row r="90" ht="15.75" customHeight="1" s="14">
      <c r="A90" s="5" t="n"/>
      <c r="B90" s="5" t="n"/>
      <c r="I90" s="5">
        <f>IF(E90=MINIFS(E:E, A:A, A90), "Yes", "")</f>
        <v/>
      </c>
    </row>
    <row r="91" ht="15.75" customHeight="1" s="14">
      <c r="A91" s="5" t="n"/>
      <c r="B91" s="5" t="n"/>
      <c r="I91" s="5">
        <f>IF(E91=MINIFS(E:E, A:A, A91), "Yes", "")</f>
        <v/>
      </c>
    </row>
    <row r="92" ht="15.75" customHeight="1" s="14">
      <c r="A92" s="5" t="n"/>
      <c r="B92" s="5" t="n"/>
      <c r="I92" s="5">
        <f>IF(E92=MINIFS(E:E, A:A, A92), "Yes", "")</f>
        <v/>
      </c>
    </row>
    <row r="93" ht="15.75" customHeight="1" s="14">
      <c r="A93" s="5" t="n"/>
      <c r="B93" s="5" t="n"/>
      <c r="I93" s="5">
        <f>IF(E93=MINIFS(E:E, A:A, A93), "Yes", "")</f>
        <v/>
      </c>
    </row>
    <row r="94" ht="15.75" customHeight="1" s="14">
      <c r="A94" s="5" t="n"/>
      <c r="B94" s="5" t="n"/>
      <c r="I94" s="5">
        <f>IF(E94=MINIFS(E:E, A:A, A94), "Yes", "")</f>
        <v/>
      </c>
    </row>
    <row r="95" ht="15.75" customHeight="1" s="14">
      <c r="A95" s="5" t="n"/>
      <c r="B95" s="5" t="n"/>
      <c r="I95" s="5">
        <f>IF(E95=MINIFS(E:E, A:A, A95), "Yes", "")</f>
        <v/>
      </c>
    </row>
    <row r="96" ht="15.75" customHeight="1" s="14">
      <c r="A96" s="5" t="n"/>
      <c r="B96" s="5" t="n"/>
      <c r="I96" s="5">
        <f>IF(E96=MINIFS(E:E, A:A, A96), "Yes", "")</f>
        <v/>
      </c>
    </row>
    <row r="97" ht="15.75" customHeight="1" s="14">
      <c r="A97" s="5" t="n"/>
      <c r="B97" s="5" t="n"/>
      <c r="I97" s="5">
        <f>IF(E97=MINIFS(E:E, A:A, A97), "Yes", "")</f>
        <v/>
      </c>
    </row>
    <row r="98" ht="15.75" customHeight="1" s="14">
      <c r="A98" s="5" t="n"/>
      <c r="B98" s="5" t="n"/>
      <c r="I98" s="5">
        <f>IF(E98=MINIFS(E:E, A:A, A98), "Yes", "")</f>
        <v/>
      </c>
    </row>
    <row r="99" ht="15.75" customHeight="1" s="14">
      <c r="A99" s="5" t="n"/>
      <c r="B99" s="5" t="n"/>
      <c r="I99" s="5">
        <f>IF(E99=MINIFS(E:E, A:A, A99), "Yes", "")</f>
        <v/>
      </c>
    </row>
    <row r="100" ht="15.75" customHeight="1" s="14">
      <c r="A100" s="5" t="n"/>
      <c r="B100" s="5" t="n"/>
      <c r="I100" s="5">
        <f>IF(E100=MINIFS(E:E, A:A, A100), "Yes", "")</f>
        <v/>
      </c>
    </row>
    <row r="101" ht="15.75" customHeight="1" s="14">
      <c r="A101" s="5" t="n"/>
      <c r="B101" s="5" t="n"/>
      <c r="I101" s="5">
        <f>IF(E101=MINIFS(E:E, A:A, A101), "Yes", "")</f>
        <v/>
      </c>
    </row>
    <row r="102" ht="15.75" customHeight="1" s="14">
      <c r="A102" s="5" t="n"/>
      <c r="B102" s="5" t="n"/>
      <c r="I102" s="5">
        <f>IF(E102=MINIFS(E:E, A:A, A102), "Yes", "")</f>
        <v/>
      </c>
    </row>
    <row r="103" ht="15.75" customHeight="1" s="14">
      <c r="A103" s="5" t="n"/>
      <c r="B103" s="5" t="n"/>
      <c r="I103" s="5">
        <f>IF(E103=MINIFS(E:E, A:A, A103), "Yes", "")</f>
        <v/>
      </c>
    </row>
    <row r="104" ht="15.75" customHeight="1" s="14">
      <c r="A104" s="5" t="n"/>
      <c r="B104" s="5" t="n"/>
      <c r="I104" s="5">
        <f>IF(E104=MINIFS(E:E, A:A, A104), "Yes", "")</f>
        <v/>
      </c>
    </row>
    <row r="105" ht="15.75" customHeight="1" s="14">
      <c r="A105" s="5" t="n"/>
      <c r="B105" s="5" t="n"/>
      <c r="I105" s="5">
        <f>IF(E105=MINIFS(E:E, A:A, A105), "Yes", "")</f>
        <v/>
      </c>
    </row>
    <row r="106" ht="15.75" customHeight="1" s="14">
      <c r="A106" s="5" t="n"/>
      <c r="B106" s="5" t="n"/>
      <c r="I106" s="5">
        <f>IF(E106=MINIFS(E:E, A:A, A106), "Yes", "")</f>
        <v/>
      </c>
    </row>
    <row r="107" ht="15.75" customHeight="1" s="14">
      <c r="A107" s="5" t="n"/>
      <c r="B107" s="5" t="n"/>
      <c r="I107" s="5">
        <f>IF(E107=MINIFS(E:E, A:A, A107), "Yes", "")</f>
        <v/>
      </c>
    </row>
    <row r="108" ht="15.75" customHeight="1" s="14">
      <c r="A108" s="5" t="n"/>
      <c r="B108" s="5" t="n"/>
      <c r="I108" s="5">
        <f>IF(E108=MINIFS(E:E, A:A, A108), "Yes", "")</f>
        <v/>
      </c>
    </row>
    <row r="109" ht="15.75" customHeight="1" s="14">
      <c r="A109" s="5" t="n"/>
      <c r="B109" s="5" t="n"/>
      <c r="I109" s="5">
        <f>IF(E109=MINIFS(E:E, A:A, A109), "Yes", "")</f>
        <v/>
      </c>
    </row>
    <row r="110" ht="15.75" customHeight="1" s="14">
      <c r="A110" s="5" t="n"/>
      <c r="B110" s="5" t="n"/>
      <c r="I110" s="5">
        <f>IF(E110=MINIFS(E:E, A:A, A110), "Yes", "")</f>
        <v/>
      </c>
    </row>
    <row r="111" ht="15.75" customHeight="1" s="14">
      <c r="A111" s="5" t="n"/>
      <c r="B111" s="5" t="n"/>
      <c r="I111" s="5">
        <f>IF(E111=MINIFS(E:E, A:A, A111), "Yes", "")</f>
        <v/>
      </c>
    </row>
    <row r="112" ht="15.75" customHeight="1" s="14">
      <c r="A112" s="5" t="n"/>
      <c r="B112" s="5" t="n"/>
      <c r="I112" s="5">
        <f>IF(E112=MINIFS(E:E, A:A, A112), "Yes", "")</f>
        <v/>
      </c>
    </row>
    <row r="113" ht="15.75" customHeight="1" s="14">
      <c r="A113" s="5" t="n"/>
      <c r="B113" s="5" t="n"/>
      <c r="I113" s="5">
        <f>IF(E113=MINIFS(E:E, A:A, A113), "Yes", "")</f>
        <v/>
      </c>
    </row>
    <row r="114" ht="15.75" customHeight="1" s="14">
      <c r="A114" s="5" t="n"/>
      <c r="B114" s="5" t="n"/>
      <c r="I114" s="5">
        <f>IF(E114=MINIFS(E:E, A:A, A114), "Yes", "")</f>
        <v/>
      </c>
    </row>
    <row r="115" ht="15.75" customHeight="1" s="14">
      <c r="A115" s="5" t="n"/>
      <c r="B115" s="5" t="n"/>
      <c r="I115" s="5">
        <f>IF(E115=MINIFS(E:E, A:A, A115), "Yes", "")</f>
        <v/>
      </c>
    </row>
    <row r="116" ht="15.75" customHeight="1" s="14">
      <c r="A116" s="5" t="n"/>
      <c r="B116" s="5" t="n"/>
      <c r="I116" s="5">
        <f>IF(E116=MINIFS(E:E, A:A, A116), "Yes", "")</f>
        <v/>
      </c>
    </row>
    <row r="117" ht="15.75" customHeight="1" s="14">
      <c r="A117" s="5" t="n"/>
      <c r="B117" s="5" t="n"/>
      <c r="I117" s="5">
        <f>IF(E117=MINIFS(E:E, A:A, A117), "Yes", "")</f>
        <v/>
      </c>
    </row>
    <row r="118" ht="15.75" customHeight="1" s="14">
      <c r="A118" s="5" t="n"/>
      <c r="B118" s="5" t="n"/>
      <c r="I118" s="5">
        <f>IF(E118=MINIFS(E:E, A:A, A118), "Yes", "")</f>
        <v/>
      </c>
    </row>
    <row r="119" ht="15.75" customHeight="1" s="14">
      <c r="A119" s="5" t="n"/>
      <c r="B119" s="5" t="n"/>
      <c r="I119" s="5">
        <f>IF(E119=MINIFS(E:E, A:A, A119), "Yes", "")</f>
        <v/>
      </c>
    </row>
    <row r="120" ht="15.75" customHeight="1" s="14">
      <c r="A120" s="5" t="n"/>
      <c r="B120" s="5" t="n"/>
      <c r="I120" s="5">
        <f>IF(E120=MINIFS(E:E, A:A, A120), "Yes", "")</f>
        <v/>
      </c>
    </row>
    <row r="121" ht="15.75" customHeight="1" s="14">
      <c r="A121" s="5" t="n"/>
      <c r="B121" s="5" t="n"/>
      <c r="I121" s="5">
        <f>IF(E121=MINIFS(E:E, A:A, A121), "Yes", "")</f>
        <v/>
      </c>
    </row>
    <row r="122" ht="15.75" customHeight="1" s="14">
      <c r="A122" s="5" t="n"/>
      <c r="B122" s="5" t="n"/>
      <c r="I122" s="5">
        <f>IF(E122=MINIFS(E:E, A:A, A122), "Yes", "")</f>
        <v/>
      </c>
    </row>
    <row r="123" ht="15.75" customHeight="1" s="14">
      <c r="A123" s="5" t="n"/>
      <c r="B123" s="5" t="n"/>
      <c r="I123" s="5">
        <f>IF(E123=MINIFS(E:E, A:A, A123), "Yes", "")</f>
        <v/>
      </c>
    </row>
    <row r="124" ht="15.75" customHeight="1" s="14">
      <c r="A124" s="5" t="n"/>
      <c r="B124" s="5" t="n"/>
      <c r="I124" s="5">
        <f>IF(E124=MINIFS(E:E, A:A, A124), "Yes", "")</f>
        <v/>
      </c>
    </row>
    <row r="125" ht="15.75" customHeight="1" s="14">
      <c r="A125" s="5" t="n"/>
      <c r="B125" s="5" t="n"/>
      <c r="I125" s="5">
        <f>IF(E125=MINIFS(E:E, A:A, A125), "Yes", "")</f>
        <v/>
      </c>
    </row>
    <row r="126" ht="15.75" customHeight="1" s="14">
      <c r="A126" s="5" t="n"/>
      <c r="B126" s="5" t="n"/>
      <c r="I126" s="5">
        <f>IF(E126=MINIFS(E:E, A:A, A126), "Yes", "")</f>
        <v/>
      </c>
    </row>
    <row r="127" ht="15.75" customHeight="1" s="14">
      <c r="A127" s="5" t="n"/>
      <c r="B127" s="5" t="n"/>
      <c r="I127" s="5">
        <f>IF(E127=MINIFS(E:E, A:A, A127), "Yes", "")</f>
        <v/>
      </c>
    </row>
    <row r="128" ht="15.75" customHeight="1" s="14">
      <c r="A128" s="5" t="n"/>
      <c r="B128" s="5" t="n"/>
      <c r="I128" s="5">
        <f>IF(E128=MINIFS(E:E, A:A, A128), "Yes", "")</f>
        <v/>
      </c>
    </row>
    <row r="129" ht="15.75" customHeight="1" s="14">
      <c r="A129" s="5" t="n"/>
      <c r="B129" s="5" t="n"/>
      <c r="I129" s="5">
        <f>IF(E129=MINIFS(E:E, A:A, A129), "Yes", "")</f>
        <v/>
      </c>
    </row>
    <row r="130" ht="15.75" customHeight="1" s="14">
      <c r="A130" s="5" t="n"/>
      <c r="B130" s="5" t="n"/>
      <c r="I130" s="5">
        <f>IF(E130=MINIFS(E:E, A:A, A130), "Yes", "")</f>
        <v/>
      </c>
    </row>
    <row r="131" ht="15.75" customHeight="1" s="14">
      <c r="A131" s="5" t="n"/>
      <c r="B131" s="5" t="n"/>
      <c r="I131" s="5">
        <f>IF(E131=MINIFS(E:E, A:A, A131), "Yes", "")</f>
        <v/>
      </c>
    </row>
    <row r="132" ht="15.75" customHeight="1" s="14">
      <c r="A132" s="5" t="n"/>
      <c r="B132" s="5" t="n"/>
      <c r="I132" s="5">
        <f>IF(E132=MINIFS(E:E, A:A, A132), "Yes", "")</f>
        <v/>
      </c>
    </row>
    <row r="133" ht="15.75" customHeight="1" s="14">
      <c r="A133" s="5" t="n"/>
      <c r="B133" s="5" t="n"/>
      <c r="I133" s="5">
        <f>IF(E133=MINIFS(E:E, A:A, A133), "Yes", "")</f>
        <v/>
      </c>
    </row>
    <row r="134" ht="15.75" customHeight="1" s="14">
      <c r="A134" s="5" t="n"/>
      <c r="B134" s="5" t="n"/>
      <c r="I134" s="5">
        <f>IF(E134=MINIFS(E:E, A:A, A134), "Yes", "")</f>
        <v/>
      </c>
    </row>
    <row r="135" ht="15.75" customHeight="1" s="14">
      <c r="A135" s="5" t="n"/>
      <c r="B135" s="5" t="n"/>
      <c r="I135" s="5">
        <f>IF(E135=MINIFS(E:E, A:A, A135), "Yes", "")</f>
        <v/>
      </c>
    </row>
    <row r="136" ht="15.75" customHeight="1" s="14">
      <c r="A136" s="5" t="n"/>
      <c r="B136" s="5" t="n"/>
      <c r="I136" s="5">
        <f>IF(E136=MINIFS(E:E, A:A, A136), "Yes", "")</f>
        <v/>
      </c>
    </row>
    <row r="137" ht="15.75" customHeight="1" s="14">
      <c r="A137" s="5" t="n"/>
      <c r="B137" s="5" t="n"/>
      <c r="I137" s="5">
        <f>IF(E137=MINIFS(E:E, A:A, A137), "Yes", "")</f>
        <v/>
      </c>
    </row>
    <row r="138" ht="15.75" customHeight="1" s="14">
      <c r="A138" s="5" t="n"/>
      <c r="B138" s="5" t="n"/>
      <c r="I138" s="5">
        <f>IF(E138=MINIFS(E:E, A:A, A138), "Yes", "")</f>
        <v/>
      </c>
    </row>
    <row r="139" ht="15.75" customHeight="1" s="14">
      <c r="A139" s="5" t="n"/>
      <c r="B139" s="5" t="n"/>
      <c r="I139" s="5">
        <f>IF(E139=MINIFS(E:E, A:A, A139), "Yes", "")</f>
        <v/>
      </c>
    </row>
    <row r="140" ht="15.75" customHeight="1" s="14">
      <c r="A140" s="5" t="n"/>
      <c r="B140" s="5" t="n"/>
      <c r="I140" s="5">
        <f>IF(E140=MINIFS(E:E, A:A, A140), "Yes", "")</f>
        <v/>
      </c>
    </row>
    <row r="141" ht="15.75" customHeight="1" s="14">
      <c r="A141" s="5" t="n"/>
      <c r="B141" s="5" t="n"/>
      <c r="I141" s="5">
        <f>IF(E141=MINIFS(E:E, A:A, A141), "Yes", "")</f>
        <v/>
      </c>
    </row>
    <row r="142" ht="15.75" customHeight="1" s="14">
      <c r="A142" s="5" t="n"/>
      <c r="B142" s="5" t="n"/>
      <c r="I142" s="5">
        <f>IF(E142=MINIFS(E:E, A:A, A142), "Yes", "")</f>
        <v/>
      </c>
    </row>
    <row r="143" ht="15.75" customHeight="1" s="14">
      <c r="A143" s="5" t="n"/>
      <c r="B143" s="5" t="n"/>
      <c r="I143" s="5">
        <f>IF(E143=MINIFS(E:E, A:A, A143), "Yes", "")</f>
        <v/>
      </c>
    </row>
    <row r="144" ht="15.75" customHeight="1" s="14">
      <c r="A144" s="5" t="n"/>
      <c r="B144" s="5" t="n"/>
      <c r="I144" s="5">
        <f>IF(E144=MINIFS(E:E, A:A, A144), "Yes", "")</f>
        <v/>
      </c>
    </row>
    <row r="145" ht="15.75" customHeight="1" s="14">
      <c r="A145" s="5" t="n"/>
      <c r="B145" s="5" t="n"/>
      <c r="I145" s="5">
        <f>IF(E145=MINIFS(E:E, A:A, A145), "Yes", "")</f>
        <v/>
      </c>
    </row>
    <row r="146" ht="15.75" customHeight="1" s="14">
      <c r="A146" s="5" t="n"/>
      <c r="B146" s="5" t="n"/>
      <c r="I146" s="5">
        <f>IF(E146=MINIFS(E:E, A:A, A146), "Yes", "")</f>
        <v/>
      </c>
    </row>
    <row r="147" ht="15.75" customHeight="1" s="14">
      <c r="A147" s="5" t="n"/>
      <c r="B147" s="5" t="n"/>
      <c r="I147" s="5">
        <f>IF(E147=MINIFS(E:E, A:A, A147), "Yes", "")</f>
        <v/>
      </c>
    </row>
    <row r="148" ht="15.75" customHeight="1" s="14">
      <c r="A148" s="5" t="n"/>
      <c r="B148" s="5" t="n"/>
      <c r="I148" s="5">
        <f>IF(E148=MINIFS(E:E, A:A, A148), "Yes", "")</f>
        <v/>
      </c>
    </row>
    <row r="149" ht="15.75" customHeight="1" s="14">
      <c r="A149" s="5" t="n"/>
      <c r="B149" s="5" t="n"/>
      <c r="I149" s="5">
        <f>IF(E149=MINIFS(E:E, A:A, A149), "Yes", "")</f>
        <v/>
      </c>
    </row>
    <row r="150" ht="15.75" customHeight="1" s="14">
      <c r="A150" s="5" t="n"/>
      <c r="B150" s="5" t="n"/>
      <c r="I150" s="5">
        <f>IF(E150=MINIFS(E:E, A:A, A150), "Yes", "")</f>
        <v/>
      </c>
    </row>
    <row r="151" ht="15.75" customHeight="1" s="14">
      <c r="A151" s="5" t="n"/>
      <c r="B151" s="5" t="n"/>
      <c r="I151" s="5">
        <f>IF(E151=MINIFS(E:E, A:A, A151), "Yes", "")</f>
        <v/>
      </c>
    </row>
    <row r="152" ht="15.75" customHeight="1" s="14">
      <c r="A152" s="5" t="n"/>
      <c r="B152" s="5" t="n"/>
      <c r="I152" s="5">
        <f>IF(E152=MINIFS(E:E, A:A, A152), "Yes", "")</f>
        <v/>
      </c>
    </row>
    <row r="153" ht="15.75" customHeight="1" s="14">
      <c r="A153" s="5" t="n"/>
      <c r="B153" s="5" t="n"/>
      <c r="I153" s="5">
        <f>IF(E153=MINIFS(E:E, A:A, A153), "Yes", "")</f>
        <v/>
      </c>
    </row>
    <row r="154" ht="15.75" customHeight="1" s="14">
      <c r="A154" s="5" t="n"/>
      <c r="B154" s="5" t="n"/>
      <c r="I154" s="5">
        <f>IF(E154=MINIFS(E:E, A:A, A154), "Yes", "")</f>
        <v/>
      </c>
    </row>
    <row r="155" ht="15.75" customHeight="1" s="14">
      <c r="A155" s="5" t="n"/>
      <c r="B155" s="5" t="n"/>
      <c r="I155" s="5">
        <f>IF(E155=MINIFS(E:E, A:A, A155), "Yes", "")</f>
        <v/>
      </c>
    </row>
    <row r="156" ht="15.75" customHeight="1" s="14">
      <c r="A156" s="5" t="n"/>
      <c r="B156" s="5" t="n"/>
      <c r="I156" s="5">
        <f>IF(E156=MINIFS(E:E, A:A, A156), "Yes", "")</f>
        <v/>
      </c>
    </row>
    <row r="157" ht="15.75" customHeight="1" s="14">
      <c r="A157" s="5" t="n"/>
      <c r="B157" s="5" t="n"/>
      <c r="I157" s="5">
        <f>IF(E157=MINIFS(E:E, A:A, A157), "Yes", "")</f>
        <v/>
      </c>
    </row>
    <row r="158" ht="15.75" customHeight="1" s="14">
      <c r="A158" s="5" t="n"/>
      <c r="B158" s="5" t="n"/>
      <c r="I158" s="5">
        <f>IF(E158=MINIFS(E:E, A:A, A158), "Yes", "")</f>
        <v/>
      </c>
    </row>
    <row r="159" ht="15.75" customHeight="1" s="14">
      <c r="A159" s="5" t="n"/>
      <c r="B159" s="5" t="n"/>
      <c r="I159" s="5">
        <f>IF(E159=MINIFS(E:E, A:A, A159), "Yes", "")</f>
        <v/>
      </c>
    </row>
    <row r="160" ht="15.75" customHeight="1" s="14">
      <c r="A160" s="5" t="n"/>
      <c r="B160" s="5" t="n"/>
      <c r="I160" s="5">
        <f>IF(E160=MINIFS(E:E, A:A, A160), "Yes", "")</f>
        <v/>
      </c>
    </row>
    <row r="161" ht="15.75" customHeight="1" s="14">
      <c r="A161" s="5" t="n"/>
      <c r="B161" s="5" t="n"/>
      <c r="I161" s="5">
        <f>IF(E161=MINIFS(E:E, A:A, A161), "Yes", "")</f>
        <v/>
      </c>
    </row>
    <row r="162" ht="15.75" customHeight="1" s="14">
      <c r="A162" s="5" t="n"/>
      <c r="B162" s="5" t="n"/>
      <c r="I162" s="5">
        <f>IF(E162=MINIFS(E:E, A:A, A162), "Yes", "")</f>
        <v/>
      </c>
    </row>
    <row r="163" ht="15.75" customHeight="1" s="14">
      <c r="A163" s="5" t="n"/>
      <c r="B163" s="5" t="n"/>
      <c r="I163" s="5">
        <f>IF(E163=MINIFS(E:E, A:A, A163), "Yes", "")</f>
        <v/>
      </c>
    </row>
    <row r="164" ht="15.75" customHeight="1" s="14">
      <c r="A164" s="5" t="n"/>
      <c r="B164" s="5" t="n"/>
      <c r="I164" s="5">
        <f>IF(E164=MINIFS(E:E, A:A, A164), "Yes", "")</f>
        <v/>
      </c>
    </row>
    <row r="165" ht="15.75" customHeight="1" s="14">
      <c r="A165" s="5" t="n"/>
      <c r="B165" s="5" t="n"/>
      <c r="I165" s="5">
        <f>IF(E165=MINIFS(E:E, A:A, A165), "Yes", "")</f>
        <v/>
      </c>
    </row>
    <row r="166" ht="15.75" customHeight="1" s="14">
      <c r="A166" s="5" t="n"/>
      <c r="B166" s="5" t="n"/>
      <c r="I166" s="5">
        <f>IF(E166=MINIFS(E:E, A:A, A166), "Yes", "")</f>
        <v/>
      </c>
    </row>
    <row r="167" ht="15.75" customHeight="1" s="14">
      <c r="A167" s="5" t="n"/>
      <c r="B167" s="5" t="n"/>
      <c r="I167" s="5">
        <f>IF(E167=MINIFS(E:E, A:A, A167), "Yes", "")</f>
        <v/>
      </c>
    </row>
    <row r="168" ht="15.75" customHeight="1" s="14">
      <c r="A168" s="5" t="n"/>
      <c r="B168" s="5" t="n"/>
      <c r="I168" s="5">
        <f>IF(E168=MINIFS(E:E, A:A, A168), "Yes", "")</f>
        <v/>
      </c>
    </row>
    <row r="169" ht="15.75" customHeight="1" s="14">
      <c r="A169" s="5" t="n"/>
      <c r="B169" s="5" t="n"/>
      <c r="I169" s="5">
        <f>IF(E169=MINIFS(E:E, A:A, A169), "Yes", "")</f>
        <v/>
      </c>
    </row>
    <row r="170" ht="15.75" customHeight="1" s="14">
      <c r="A170" s="5" t="n"/>
      <c r="B170" s="5" t="n"/>
      <c r="I170" s="5">
        <f>IF(E170=MINIFS(E:E, A:A, A170), "Yes", "")</f>
        <v/>
      </c>
    </row>
    <row r="171" ht="15.75" customHeight="1" s="14">
      <c r="A171" s="5" t="n"/>
      <c r="B171" s="5" t="n"/>
      <c r="I171" s="5">
        <f>IF(E171=MINIFS(E:E, A:A, A171), "Yes", "")</f>
        <v/>
      </c>
    </row>
    <row r="172" ht="15.75" customHeight="1" s="14">
      <c r="A172" s="5" t="n"/>
      <c r="B172" s="5" t="n"/>
      <c r="I172" s="5">
        <f>IF(E172=MINIFS(E:E, A:A, A172), "Yes", "")</f>
        <v/>
      </c>
    </row>
    <row r="173" ht="15.75" customHeight="1" s="14">
      <c r="A173" s="5" t="n"/>
      <c r="B173" s="5" t="n"/>
      <c r="I173" s="5">
        <f>IF(E173=MINIFS(E:E, A:A, A173), "Yes", "")</f>
        <v/>
      </c>
    </row>
    <row r="174" ht="15.75" customHeight="1" s="14">
      <c r="A174" s="5" t="n"/>
      <c r="B174" s="5" t="n"/>
      <c r="I174" s="5">
        <f>IF(E174=MINIFS(E:E, A:A, A174), "Yes", "")</f>
        <v/>
      </c>
    </row>
    <row r="175" ht="15.75" customHeight="1" s="14">
      <c r="A175" s="5" t="n"/>
      <c r="B175" s="5" t="n"/>
      <c r="I175" s="5">
        <f>IF(E175=MINIFS(E:E, A:A, A175), "Yes", "")</f>
        <v/>
      </c>
    </row>
    <row r="176" ht="15.75" customHeight="1" s="14">
      <c r="A176" s="5" t="n"/>
      <c r="B176" s="5" t="n"/>
      <c r="I176" s="5">
        <f>IF(E176=MINIFS(E:E, A:A, A176), "Yes", "")</f>
        <v/>
      </c>
    </row>
    <row r="177" ht="15.75" customHeight="1" s="14">
      <c r="A177" s="5" t="n"/>
      <c r="B177" s="5" t="n"/>
      <c r="I177" s="5">
        <f>IF(E177=MINIFS(E:E, A:A, A177), "Yes", "")</f>
        <v/>
      </c>
    </row>
    <row r="178" ht="15.75" customHeight="1" s="14">
      <c r="A178" s="5" t="n"/>
      <c r="B178" s="5" t="n"/>
      <c r="I178" s="5">
        <f>IF(E178=MINIFS(E:E, A:A, A178), "Yes", "")</f>
        <v/>
      </c>
    </row>
    <row r="179" ht="15.75" customHeight="1" s="14">
      <c r="A179" s="5" t="n"/>
      <c r="B179" s="5" t="n"/>
      <c r="I179" s="5">
        <f>IF(E179=MINIFS(E:E, A:A, A179), "Yes", "")</f>
        <v/>
      </c>
    </row>
    <row r="180" ht="15.75" customHeight="1" s="14">
      <c r="A180" s="5" t="n"/>
      <c r="B180" s="5" t="n"/>
      <c r="I180" s="5">
        <f>IF(E180=MINIFS(E:E, A:A, A180), "Yes", "")</f>
        <v/>
      </c>
    </row>
    <row r="181" ht="15.75" customHeight="1" s="14">
      <c r="A181" s="5" t="n"/>
      <c r="B181" s="5" t="n"/>
      <c r="I181" s="5">
        <f>IF(E181=MINIFS(E:E, A:A, A181), "Yes", "")</f>
        <v/>
      </c>
    </row>
    <row r="182" ht="15.75" customHeight="1" s="14">
      <c r="A182" s="5" t="n"/>
      <c r="B182" s="5" t="n"/>
      <c r="I182" s="5">
        <f>IF(E182=MINIFS(E:E, A:A, A182), "Yes", "")</f>
        <v/>
      </c>
    </row>
    <row r="183" ht="15.75" customHeight="1" s="14">
      <c r="A183" s="5" t="n"/>
      <c r="B183" s="5" t="n"/>
      <c r="I183" s="5">
        <f>IF(E183=MINIFS(E:E, A:A, A183), "Yes", "")</f>
        <v/>
      </c>
    </row>
    <row r="184" ht="15.75" customHeight="1" s="14">
      <c r="A184" s="5" t="n"/>
      <c r="B184" s="5" t="n"/>
      <c r="I184" s="5">
        <f>IF(E184=MINIFS(E:E, A:A, A184), "Yes", "")</f>
        <v/>
      </c>
    </row>
    <row r="185" ht="15.75" customHeight="1" s="14">
      <c r="A185" s="5" t="n"/>
      <c r="B185" s="5" t="n"/>
      <c r="I185" s="5">
        <f>IF(E185=MINIFS(E:E, A:A, A185), "Yes", "")</f>
        <v/>
      </c>
    </row>
    <row r="186" ht="15.75" customHeight="1" s="14">
      <c r="A186" s="5" t="n"/>
      <c r="B186" s="5" t="n"/>
      <c r="I186" s="5">
        <f>IF(E186=MINIFS(E:E, A:A, A186), "Yes", "")</f>
        <v/>
      </c>
    </row>
    <row r="187" ht="15.75" customHeight="1" s="14">
      <c r="A187" s="5" t="n"/>
      <c r="B187" s="5" t="n"/>
      <c r="I187" s="5">
        <f>IF(E187=MINIFS(E:E, A:A, A187), "Yes", "")</f>
        <v/>
      </c>
    </row>
    <row r="188" ht="15.75" customHeight="1" s="14">
      <c r="A188" s="5" t="n"/>
      <c r="B188" s="5" t="n"/>
      <c r="I188" s="5">
        <f>IF(E188=MINIFS(E:E, A:A, A188), "Yes", "")</f>
        <v/>
      </c>
    </row>
    <row r="189" ht="15.75" customHeight="1" s="14">
      <c r="A189" s="5" t="n"/>
      <c r="B189" s="5" t="n"/>
      <c r="I189" s="5">
        <f>IF(E189=MINIFS(E:E, A:A, A189), "Yes", "")</f>
        <v/>
      </c>
    </row>
    <row r="190" ht="15.75" customHeight="1" s="14">
      <c r="A190" s="5" t="n"/>
      <c r="B190" s="5" t="n"/>
      <c r="I190" s="5">
        <f>IF(E190=MINIFS(E:E, A:A, A190), "Yes", "")</f>
        <v/>
      </c>
    </row>
    <row r="191" ht="15.75" customHeight="1" s="14">
      <c r="A191" s="5" t="n"/>
      <c r="B191" s="5" t="n"/>
      <c r="I191" s="5">
        <f>IF(E191=MINIFS(E:E, A:A, A191), "Yes", "")</f>
        <v/>
      </c>
    </row>
    <row r="192" ht="15.75" customHeight="1" s="14">
      <c r="A192" s="5" t="n"/>
      <c r="B192" s="5" t="n"/>
      <c r="I192" s="5">
        <f>IF(E192=MINIFS(E:E, A:A, A192), "Yes", "")</f>
        <v/>
      </c>
    </row>
    <row r="193" ht="15.75" customHeight="1" s="14">
      <c r="A193" s="5" t="n"/>
      <c r="B193" s="5" t="n"/>
      <c r="I193" s="5">
        <f>IF(E193=MINIFS(E:E, A:A, A193), "Yes", "")</f>
        <v/>
      </c>
    </row>
    <row r="194" ht="15.75" customHeight="1" s="14">
      <c r="A194" s="5" t="n"/>
      <c r="B194" s="5" t="n"/>
      <c r="I194" s="5">
        <f>IF(E194=MINIFS(E:E, A:A, A194), "Yes", "")</f>
        <v/>
      </c>
    </row>
    <row r="195" ht="15.75" customHeight="1" s="14">
      <c r="A195" s="5" t="n"/>
      <c r="B195" s="5" t="n"/>
      <c r="I195" s="5">
        <f>IF(E195=MINIFS(E:E, A:A, A195), "Yes", "")</f>
        <v/>
      </c>
    </row>
    <row r="196" ht="15.75" customHeight="1" s="14">
      <c r="A196" s="5" t="n"/>
      <c r="B196" s="5" t="n"/>
      <c r="I196" s="5">
        <f>IF(E196=MINIFS(E:E, A:A, A196), "Yes", "")</f>
        <v/>
      </c>
    </row>
    <row r="197" ht="15.75" customHeight="1" s="14">
      <c r="A197" s="5" t="n"/>
      <c r="B197" s="5" t="n"/>
      <c r="I197" s="5">
        <f>IF(E197=MINIFS(E:E, A:A, A197), "Yes", "")</f>
        <v/>
      </c>
    </row>
    <row r="198" ht="15.75" customHeight="1" s="14">
      <c r="A198" s="5" t="n"/>
      <c r="B198" s="5" t="n"/>
      <c r="I198" s="5">
        <f>IF(E198=MINIFS(E:E, A:A, A198), "Yes", "")</f>
        <v/>
      </c>
    </row>
    <row r="199" ht="15.75" customHeight="1" s="14">
      <c r="A199" s="5" t="n"/>
      <c r="B199" s="5" t="n"/>
      <c r="I199" s="5">
        <f>IF(E199=MINIFS(E:E, A:A, A199), "Yes", "")</f>
        <v/>
      </c>
    </row>
    <row r="200" ht="15.75" customHeight="1" s="14">
      <c r="A200" s="5" t="n"/>
      <c r="B200" s="5" t="n"/>
      <c r="I200" s="5">
        <f>IF(E200=MINIFS(E:E, A:A, A200), "Yes", "")</f>
        <v/>
      </c>
    </row>
    <row r="201" ht="15.75" customHeight="1" s="14">
      <c r="A201" s="5" t="n"/>
      <c r="B201" s="5" t="n"/>
      <c r="I201" s="5">
        <f>IF(E201=MINIFS(E:E, A:A, A201), "Yes", "")</f>
        <v/>
      </c>
    </row>
    <row r="202" ht="15.75" customHeight="1" s="14">
      <c r="A202" s="5" t="n"/>
      <c r="B202" s="5" t="n"/>
      <c r="I202" s="5">
        <f>IF(E202=MINIFS(E:E, A:A, A202), "Yes", "")</f>
        <v/>
      </c>
    </row>
    <row r="203" ht="15.75" customHeight="1" s="14">
      <c r="A203" s="5" t="n"/>
      <c r="B203" s="5" t="n"/>
      <c r="I203" s="5">
        <f>IF(E203=MINIFS(E:E, A:A, A203), "Yes", "")</f>
        <v/>
      </c>
    </row>
    <row r="204" ht="15.75" customHeight="1" s="14">
      <c r="A204" s="5" t="n"/>
      <c r="B204" s="5" t="n"/>
      <c r="I204" s="5">
        <f>IF(E204=MINIFS(E:E, A:A, A204), "Yes", "")</f>
        <v/>
      </c>
    </row>
    <row r="205" ht="15.75" customHeight="1" s="14">
      <c r="A205" s="5" t="n"/>
      <c r="B205" s="5" t="n"/>
      <c r="I205" s="5">
        <f>IF(E205=MINIFS(E:E, A:A, A205), "Yes", "")</f>
        <v/>
      </c>
    </row>
    <row r="206" ht="15.75" customHeight="1" s="14">
      <c r="A206" s="5" t="n"/>
      <c r="B206" s="5" t="n"/>
      <c r="I206" s="5">
        <f>IF(E206=MINIFS(E:E, A:A, A206), "Yes", "")</f>
        <v/>
      </c>
    </row>
    <row r="207" ht="15.75" customHeight="1" s="14">
      <c r="A207" s="5" t="n"/>
      <c r="B207" s="5" t="n"/>
      <c r="I207" s="5">
        <f>IF(E207=MINIFS(E:E, A:A, A207), "Yes", "")</f>
        <v/>
      </c>
    </row>
    <row r="208" ht="15.75" customHeight="1" s="14">
      <c r="A208" s="5" t="n"/>
      <c r="B208" s="5" t="n"/>
      <c r="I208" s="5">
        <f>IF(E208=MINIFS(E:E, A:A, A208), "Yes", "")</f>
        <v/>
      </c>
    </row>
    <row r="209" ht="15.75" customHeight="1" s="14">
      <c r="A209" s="5" t="n"/>
      <c r="B209" s="5" t="n"/>
      <c r="I209" s="5">
        <f>IF(E209=MINIFS(E:E, A:A, A209), "Yes", "")</f>
        <v/>
      </c>
    </row>
    <row r="210" ht="15.75" customHeight="1" s="14">
      <c r="A210" s="5" t="n"/>
      <c r="B210" s="5" t="n"/>
      <c r="I210" s="5">
        <f>IF(E210=MINIFS(E:E, A:A, A210), "Yes", "")</f>
        <v/>
      </c>
    </row>
    <row r="211" ht="15.75" customHeight="1" s="14">
      <c r="A211" s="5" t="n"/>
      <c r="B211" s="5" t="n"/>
      <c r="I211" s="5">
        <f>IF(E211=MINIFS(E:E, A:A, A211), "Yes", "")</f>
        <v/>
      </c>
    </row>
    <row r="212" ht="15.75" customHeight="1" s="14">
      <c r="A212" s="5" t="n"/>
      <c r="B212" s="5" t="n"/>
      <c r="I212" s="5">
        <f>IF(E212=MINIFS(E:E, A:A, A212), "Yes", "")</f>
        <v/>
      </c>
    </row>
    <row r="213" ht="15.75" customHeight="1" s="14">
      <c r="A213" s="5" t="n"/>
      <c r="B213" s="5" t="n"/>
      <c r="I213" s="5">
        <f>IF(E213=MINIFS(E:E, A:A, A213), "Yes", "")</f>
        <v/>
      </c>
    </row>
    <row r="214" ht="15.75" customHeight="1" s="14">
      <c r="A214" s="5" t="n"/>
      <c r="B214" s="5" t="n"/>
      <c r="I214" s="5">
        <f>IF(E214=MINIFS(E:E, A:A, A214), "Yes", "")</f>
        <v/>
      </c>
    </row>
    <row r="215" ht="15.75" customHeight="1" s="14">
      <c r="A215" s="5" t="n"/>
      <c r="B215" s="5" t="n"/>
      <c r="I215" s="5">
        <f>IF(E215=MINIFS(E:E, A:A, A215), "Yes", "")</f>
        <v/>
      </c>
    </row>
    <row r="216" ht="15.75" customHeight="1" s="14">
      <c r="A216" s="5" t="n"/>
      <c r="B216" s="5" t="n"/>
      <c r="I216" s="5">
        <f>IF(E216=MINIFS(E:E, A:A, A216), "Yes", "")</f>
        <v/>
      </c>
    </row>
    <row r="217" ht="15.75" customHeight="1" s="14">
      <c r="A217" s="5" t="n"/>
      <c r="B217" s="5" t="n"/>
      <c r="I217" s="5">
        <f>IF(E217=MINIFS(E:E, A:A, A217), "Yes", "")</f>
        <v/>
      </c>
    </row>
    <row r="218" ht="15.75" customHeight="1" s="14">
      <c r="A218" s="5" t="n"/>
      <c r="B218" s="5" t="n"/>
      <c r="I218" s="5">
        <f>IF(E218=MINIFS(E:E, A:A, A218), "Yes", "")</f>
        <v/>
      </c>
    </row>
    <row r="219" ht="15.75" customHeight="1" s="14">
      <c r="A219" s="5" t="n"/>
      <c r="B219" s="5" t="n"/>
      <c r="I219" s="5">
        <f>IF(E219=MINIFS(E:E, A:A, A219), "Yes", "")</f>
        <v/>
      </c>
    </row>
    <row r="220" ht="15.75" customHeight="1" s="14">
      <c r="A220" s="5" t="n"/>
      <c r="B220" s="5" t="n"/>
      <c r="I220" s="5">
        <f>IF(E220=MINIFS(E:E, A:A, A220), "Yes", "")</f>
        <v/>
      </c>
    </row>
    <row r="221" ht="15.75" customHeight="1" s="14">
      <c r="A221" s="5" t="n"/>
      <c r="B221" s="5" t="n"/>
      <c r="I221" s="5">
        <f>IF(E221=MINIFS(E:E, A:A, A221), "Yes", "")</f>
        <v/>
      </c>
    </row>
    <row r="222" ht="15.75" customHeight="1" s="14">
      <c r="A222" s="5" t="n"/>
      <c r="B222" s="5" t="n"/>
      <c r="I222" s="5">
        <f>IF(E222=MINIFS(E:E, A:A, A222), "Yes", "")</f>
        <v/>
      </c>
    </row>
    <row r="223" ht="15.75" customHeight="1" s="14">
      <c r="A223" s="5" t="n"/>
      <c r="B223" s="5" t="n"/>
      <c r="I223" s="5">
        <f>IF(E223=MINIFS(E:E, A:A, A223), "Yes", "")</f>
        <v/>
      </c>
    </row>
    <row r="224" ht="15.75" customHeight="1" s="14">
      <c r="A224" s="5" t="n"/>
      <c r="B224" s="5" t="n"/>
      <c r="I224" s="5">
        <f>IF(E224=MINIFS(E:E, A:A, A224), "Yes", "")</f>
        <v/>
      </c>
    </row>
    <row r="225" ht="15.75" customHeight="1" s="14">
      <c r="A225" s="5" t="n"/>
      <c r="B225" s="5" t="n"/>
      <c r="I225" s="5">
        <f>IF(E225=MINIFS(E:E, A:A, A225), "Yes", "")</f>
        <v/>
      </c>
    </row>
    <row r="226" ht="15.75" customHeight="1" s="14">
      <c r="A226" s="5" t="n"/>
      <c r="B226" s="5" t="n"/>
      <c r="I226" s="5">
        <f>IF(E226=MINIFS(E:E, A:A, A226), "Yes", "")</f>
        <v/>
      </c>
    </row>
    <row r="227" ht="15.75" customHeight="1" s="14">
      <c r="A227" s="5" t="n"/>
      <c r="B227" s="5" t="n"/>
      <c r="I227" s="5">
        <f>IF(E227=MINIFS(E:E, A:A, A227), "Yes", "")</f>
        <v/>
      </c>
    </row>
    <row r="228" ht="15.75" customHeight="1" s="14">
      <c r="A228" s="5" t="n"/>
      <c r="B228" s="5" t="n"/>
      <c r="I228" s="5">
        <f>IF(E228=MINIFS(E:E, A:A, A228), "Yes", "")</f>
        <v/>
      </c>
    </row>
    <row r="229" ht="15.75" customHeight="1" s="14">
      <c r="A229" s="5" t="n"/>
      <c r="B229" s="5" t="n"/>
      <c r="I229" s="5">
        <f>IF(E229=MINIFS(E:E, A:A, A229), "Yes", "")</f>
        <v/>
      </c>
    </row>
    <row r="230" ht="15.75" customHeight="1" s="14">
      <c r="A230" s="5" t="n"/>
      <c r="B230" s="5" t="n"/>
      <c r="I230" s="5">
        <f>IF(E230=MINIFS(E:E, A:A, A230), "Yes", "")</f>
        <v/>
      </c>
    </row>
    <row r="231" ht="15.75" customHeight="1" s="14">
      <c r="A231" s="5" t="n"/>
      <c r="B231" s="5" t="n"/>
      <c r="I231" s="5">
        <f>IF(E231=MINIFS(E:E, A:A, A231), "Yes", "")</f>
        <v/>
      </c>
    </row>
    <row r="232" ht="15.75" customHeight="1" s="14">
      <c r="A232" s="5" t="n"/>
      <c r="B232" s="5" t="n"/>
      <c r="I232" s="5">
        <f>IF(E232=MINIFS(E:E, A:A, A232), "Yes", "")</f>
        <v/>
      </c>
    </row>
    <row r="233" ht="15.75" customHeight="1" s="14">
      <c r="A233" s="5" t="n"/>
      <c r="B233" s="5" t="n"/>
      <c r="I233" s="5">
        <f>IF(E233=MINIFS(E:E, A:A, A233), "Yes", "")</f>
        <v/>
      </c>
    </row>
    <row r="234" ht="15.75" customHeight="1" s="14">
      <c r="A234" s="5" t="n"/>
      <c r="B234" s="5" t="n"/>
      <c r="I234" s="5">
        <f>IF(E234=MINIFS(E:E, A:A, A234), "Yes", "")</f>
        <v/>
      </c>
    </row>
    <row r="235" ht="15.75" customHeight="1" s="14">
      <c r="A235" s="5" t="n"/>
      <c r="B235" s="5" t="n"/>
      <c r="I235" s="5">
        <f>IF(E235=MINIFS(E:E, A:A, A235), "Yes", "")</f>
        <v/>
      </c>
    </row>
    <row r="236" ht="15.75" customHeight="1" s="14">
      <c r="A236" s="5" t="n"/>
      <c r="B236" s="5" t="n"/>
      <c r="I236" s="5">
        <f>IF(E236=MINIFS(E:E, A:A, A236), "Yes", "")</f>
        <v/>
      </c>
    </row>
    <row r="237" ht="15.75" customHeight="1" s="14">
      <c r="A237" s="5" t="n"/>
      <c r="B237" s="5" t="n"/>
      <c r="I237" s="5">
        <f>IF(E237=MINIFS(E:E, A:A, A237), "Yes", "")</f>
        <v/>
      </c>
    </row>
    <row r="238" ht="15.75" customHeight="1" s="14">
      <c r="A238" s="5" t="n"/>
      <c r="B238" s="5" t="n"/>
      <c r="I238" s="5">
        <f>IF(E238=MINIFS(E:E, A:A, A238), "Yes", "")</f>
        <v/>
      </c>
    </row>
    <row r="239" ht="15.75" customHeight="1" s="14">
      <c r="A239" s="5" t="n"/>
      <c r="B239" s="5" t="n"/>
      <c r="I239" s="5">
        <f>IF(E239=MINIFS(E:E, A:A, A239), "Yes", "")</f>
        <v/>
      </c>
    </row>
    <row r="240" ht="15.75" customHeight="1" s="14">
      <c r="A240" s="5" t="n"/>
      <c r="B240" s="5" t="n"/>
      <c r="I240" s="5">
        <f>IF(E240=MINIFS(E:E, A:A, A240), "Yes", "")</f>
        <v/>
      </c>
    </row>
    <row r="241" ht="15.75" customHeight="1" s="14">
      <c r="A241" s="5" t="n"/>
      <c r="B241" s="5" t="n"/>
      <c r="I241" s="5">
        <f>IF(E241=MINIFS(E:E, A:A, A241), "Yes", "")</f>
        <v/>
      </c>
    </row>
    <row r="242" ht="15.75" customHeight="1" s="14">
      <c r="A242" s="5" t="n"/>
      <c r="B242" s="5" t="n"/>
      <c r="I242" s="5">
        <f>IF(E242=MINIFS(E:E, A:A, A242), "Yes", "")</f>
        <v/>
      </c>
    </row>
    <row r="243" ht="15.75" customHeight="1" s="14">
      <c r="A243" s="5" t="n"/>
      <c r="B243" s="5" t="n"/>
      <c r="I243" s="5">
        <f>IF(E243=MINIFS(E:E, A:A, A243), "Yes", "")</f>
        <v/>
      </c>
    </row>
    <row r="244" ht="15.75" customHeight="1" s="14">
      <c r="A244" s="5" t="n"/>
      <c r="B244" s="5" t="n"/>
      <c r="I244" s="5">
        <f>IF(E244=MINIFS(E:E, A:A, A244), "Yes", "")</f>
        <v/>
      </c>
    </row>
    <row r="245" ht="15.75" customHeight="1" s="14">
      <c r="A245" s="5" t="n"/>
      <c r="B245" s="5" t="n"/>
      <c r="I245" s="5">
        <f>IF(E245=MINIFS(E:E, A:A, A245), "Yes", "")</f>
        <v/>
      </c>
    </row>
    <row r="246" ht="15.75" customHeight="1" s="14">
      <c r="A246" s="5" t="n"/>
      <c r="B246" s="5" t="n"/>
      <c r="I246" s="5">
        <f>IF(E246=MINIFS(E:E, A:A, A246), "Yes", "")</f>
        <v/>
      </c>
    </row>
    <row r="247" ht="15.75" customHeight="1" s="14">
      <c r="A247" s="5" t="n"/>
      <c r="B247" s="5" t="n"/>
      <c r="I247" s="5">
        <f>IF(E247=MINIFS(E:E, A:A, A247), "Yes", "")</f>
        <v/>
      </c>
    </row>
    <row r="248" ht="15.75" customHeight="1" s="14">
      <c r="A248" s="5" t="n"/>
      <c r="B248" s="5" t="n"/>
      <c r="I248" s="5">
        <f>IF(E248=MINIFS(E:E, A:A, A248), "Yes", "")</f>
        <v/>
      </c>
    </row>
    <row r="249" ht="15.75" customHeight="1" s="14">
      <c r="A249" s="5" t="n"/>
      <c r="B249" s="5" t="n"/>
      <c r="I249" s="5">
        <f>IF(E249=MINIFS(E:E, A:A, A249), "Yes", "")</f>
        <v/>
      </c>
    </row>
    <row r="250" ht="15.75" customHeight="1" s="14">
      <c r="A250" s="5" t="n"/>
      <c r="B250" s="5" t="n"/>
      <c r="I250" s="5">
        <f>IF(E250=MINIFS(E:E, A:A, A250), "Yes", "")</f>
        <v/>
      </c>
    </row>
    <row r="251" ht="15.75" customHeight="1" s="14">
      <c r="A251" s="5" t="n"/>
      <c r="B251" s="5" t="n"/>
      <c r="I251" s="5">
        <f>IF(E251=MINIFS(E:E, A:A, A251), "Yes", "")</f>
        <v/>
      </c>
    </row>
    <row r="252" ht="15.75" customHeight="1" s="14">
      <c r="A252" s="5" t="n"/>
      <c r="B252" s="5" t="n"/>
      <c r="I252" s="5">
        <f>IF(E252=MINIFS(E:E, A:A, A252), "Yes", "")</f>
        <v/>
      </c>
    </row>
    <row r="253" ht="15.75" customHeight="1" s="14">
      <c r="A253" s="5" t="n"/>
      <c r="B253" s="5" t="n"/>
      <c r="I253" s="5">
        <f>IF(E253=MINIFS(E:E, A:A, A253), "Yes", "")</f>
        <v/>
      </c>
    </row>
    <row r="254" ht="15.75" customHeight="1" s="14">
      <c r="A254" s="5" t="n"/>
      <c r="B254" s="5" t="n"/>
      <c r="I254" s="5">
        <f>IF(E254=MINIFS(E:E, A:A, A254), "Yes", "")</f>
        <v/>
      </c>
    </row>
    <row r="255" ht="15.75" customHeight="1" s="14">
      <c r="A255" s="5" t="n"/>
      <c r="B255" s="5" t="n"/>
      <c r="I255" s="5">
        <f>IF(E255=MINIFS(E:E, A:A, A255), "Yes", "")</f>
        <v/>
      </c>
    </row>
    <row r="256" ht="15.75" customHeight="1" s="14">
      <c r="A256" s="5" t="n"/>
      <c r="B256" s="5" t="n"/>
      <c r="I256" s="5">
        <f>IF(E256=MINIFS(E:E, A:A, A256), "Yes", "")</f>
        <v/>
      </c>
    </row>
    <row r="257" ht="15.75" customHeight="1" s="14">
      <c r="A257" s="5" t="n"/>
      <c r="B257" s="5" t="n"/>
      <c r="I257" s="5">
        <f>IF(E257=MINIFS(E:E, A:A, A257), "Yes", "")</f>
        <v/>
      </c>
    </row>
    <row r="258" ht="15.75" customHeight="1" s="14">
      <c r="A258" s="5" t="n"/>
      <c r="B258" s="5" t="n"/>
      <c r="I258" s="5">
        <f>IF(E258=MINIFS(E:E, A:A, A258), "Yes", "")</f>
        <v/>
      </c>
    </row>
    <row r="259" ht="15.75" customHeight="1" s="14">
      <c r="A259" s="5" t="n"/>
      <c r="B259" s="5" t="n"/>
      <c r="I259" s="5">
        <f>IF(E259=MINIFS(E:E, A:A, A259), "Yes", "")</f>
        <v/>
      </c>
    </row>
    <row r="260" ht="15.75" customHeight="1" s="14">
      <c r="A260" s="5" t="n"/>
      <c r="B260" s="5" t="n"/>
      <c r="I260" s="5">
        <f>IF(E260=MINIFS(E:E, A:A, A260), "Yes", "")</f>
        <v/>
      </c>
    </row>
    <row r="261" ht="15.75" customHeight="1" s="14">
      <c r="A261" s="5" t="n"/>
      <c r="B261" s="5" t="n"/>
      <c r="I261" s="5">
        <f>IF(E261=MINIFS(E:E, A:A, A261), "Yes", "")</f>
        <v/>
      </c>
    </row>
    <row r="262" ht="15.75" customHeight="1" s="14">
      <c r="A262" s="5" t="n"/>
      <c r="B262" s="5" t="n"/>
      <c r="I262" s="5">
        <f>IF(E262=MINIFS(E:E, A:A, A262), "Yes", "")</f>
        <v/>
      </c>
    </row>
    <row r="263" ht="15.75" customHeight="1" s="14">
      <c r="A263" s="5" t="n"/>
      <c r="B263" s="5" t="n"/>
      <c r="I263" s="5">
        <f>IF(E263=MINIFS(E:E, A:A, A263), "Yes", "")</f>
        <v/>
      </c>
    </row>
    <row r="264" ht="15.75" customHeight="1" s="14">
      <c r="A264" s="5" t="n"/>
      <c r="B264" s="5" t="n"/>
      <c r="I264" s="5">
        <f>IF(E264=MINIFS(E:E, A:A, A264), "Yes", "")</f>
        <v/>
      </c>
    </row>
    <row r="265" ht="15.75" customHeight="1" s="14">
      <c r="A265" s="5" t="n"/>
      <c r="B265" s="5" t="n"/>
      <c r="I265" s="5">
        <f>IF(E265=MINIFS(E:E, A:A, A265), "Yes", "")</f>
        <v/>
      </c>
    </row>
    <row r="266" ht="15.75" customHeight="1" s="14">
      <c r="A266" s="5" t="n"/>
      <c r="B266" s="5" t="n"/>
      <c r="I266" s="5">
        <f>IF(E266=MINIFS(E:E, A:A, A266), "Yes", "")</f>
        <v/>
      </c>
    </row>
    <row r="267" ht="15.75" customHeight="1" s="14">
      <c r="A267" s="5" t="n"/>
      <c r="B267" s="5" t="n"/>
      <c r="I267" s="5">
        <f>IF(E267=MINIFS(E:E, A:A, A267), "Yes", "")</f>
        <v/>
      </c>
    </row>
    <row r="268" ht="15.75" customHeight="1" s="14">
      <c r="A268" s="5" t="n"/>
      <c r="B268" s="5" t="n"/>
      <c r="I268" s="5">
        <f>IF(E268=MINIFS(E:E, A:A, A268), "Yes", "")</f>
        <v/>
      </c>
    </row>
    <row r="269" ht="15.75" customHeight="1" s="14">
      <c r="A269" s="5" t="n"/>
      <c r="B269" s="5" t="n"/>
      <c r="I269" s="5">
        <f>IF(E269=MINIFS(E:E, A:A, A269), "Yes", "")</f>
        <v/>
      </c>
    </row>
    <row r="270" ht="15.75" customHeight="1" s="14">
      <c r="A270" s="5" t="n"/>
      <c r="B270" s="5" t="n"/>
      <c r="I270" s="5">
        <f>IF(E270=MINIFS(E:E, A:A, A270), "Yes", "")</f>
        <v/>
      </c>
    </row>
    <row r="271" ht="15.75" customHeight="1" s="14">
      <c r="A271" s="5" t="n"/>
      <c r="B271" s="5" t="n"/>
      <c r="I271" s="5">
        <f>IF(E271=MINIFS(E:E, A:A, A271), "Yes", "")</f>
        <v/>
      </c>
    </row>
    <row r="272" ht="15.75" customHeight="1" s="14">
      <c r="A272" s="5" t="n"/>
      <c r="B272" s="5" t="n"/>
      <c r="I272" s="5">
        <f>IF(E272=MINIFS(E:E, A:A, A272), "Yes", "")</f>
        <v/>
      </c>
    </row>
    <row r="273" ht="15.75" customHeight="1" s="14">
      <c r="A273" s="5" t="n"/>
      <c r="B273" s="5" t="n"/>
      <c r="I273" s="5">
        <f>IF(E273=MINIFS(E:E, A:A, A273), "Yes", "")</f>
        <v/>
      </c>
    </row>
    <row r="274" ht="15.75" customHeight="1" s="14">
      <c r="A274" s="5" t="n"/>
      <c r="B274" s="5" t="n"/>
      <c r="I274" s="5">
        <f>IF(E274=MINIFS(E:E, A:A, A274), "Yes", "")</f>
        <v/>
      </c>
    </row>
    <row r="275" ht="15.75" customHeight="1" s="14">
      <c r="A275" s="5" t="n"/>
      <c r="B275" s="5" t="n"/>
      <c r="I275" s="5">
        <f>IF(E275=MINIFS(E:E, A:A, A275), "Yes", "")</f>
        <v/>
      </c>
    </row>
    <row r="276" ht="15.75" customHeight="1" s="14">
      <c r="A276" s="5" t="n"/>
      <c r="B276" s="5" t="n"/>
      <c r="I276" s="5">
        <f>IF(E276=MINIFS(E:E, A:A, A276), "Yes", "")</f>
        <v/>
      </c>
    </row>
    <row r="277" ht="15.75" customHeight="1" s="14">
      <c r="A277" s="5" t="n"/>
      <c r="B277" s="5" t="n"/>
      <c r="I277" s="5">
        <f>IF(E277=MINIFS(E:E, A:A, A277), "Yes", "")</f>
        <v/>
      </c>
    </row>
    <row r="278" ht="15.75" customHeight="1" s="14">
      <c r="A278" s="5" t="n"/>
      <c r="B278" s="5" t="n"/>
      <c r="I278" s="5">
        <f>IF(E278=MINIFS(E:E, A:A, A278), "Yes", "")</f>
        <v/>
      </c>
    </row>
    <row r="279" ht="15.75" customHeight="1" s="14">
      <c r="A279" s="5" t="n"/>
      <c r="B279" s="5" t="n"/>
      <c r="I279" s="5">
        <f>IF(E279=MINIFS(E:E, A:A, A279), "Yes", "")</f>
        <v/>
      </c>
    </row>
    <row r="280" ht="15.75" customHeight="1" s="14">
      <c r="A280" s="5" t="n"/>
      <c r="B280" s="5" t="n"/>
      <c r="I280" s="5">
        <f>IF(E280=MINIFS(E:E, A:A, A280), "Yes", "")</f>
        <v/>
      </c>
    </row>
    <row r="281" ht="15.75" customHeight="1" s="14">
      <c r="A281" s="5" t="n"/>
      <c r="B281" s="5" t="n"/>
      <c r="I281" s="5">
        <f>IF(E281=MINIFS(E:E, A:A, A281), "Yes", "")</f>
        <v/>
      </c>
    </row>
    <row r="282" ht="15.75" customHeight="1" s="14">
      <c r="A282" s="5" t="n"/>
      <c r="B282" s="5" t="n"/>
      <c r="I282" s="5">
        <f>IF(E282=MINIFS(E:E, A:A, A282), "Yes", "")</f>
        <v/>
      </c>
    </row>
    <row r="283" ht="15.75" customHeight="1" s="14">
      <c r="A283" s="5" t="n"/>
      <c r="B283" s="5" t="n"/>
      <c r="I283" s="5">
        <f>IF(E283=MINIFS(E:E, A:A, A283), "Yes", "")</f>
        <v/>
      </c>
    </row>
    <row r="284" ht="15.75" customHeight="1" s="14">
      <c r="A284" s="5" t="n"/>
      <c r="B284" s="5" t="n"/>
      <c r="I284" s="5">
        <f>IF(E284=MINIFS(E:E, A:A, A284), "Yes", "")</f>
        <v/>
      </c>
    </row>
    <row r="285" ht="15.75" customHeight="1" s="14">
      <c r="A285" s="5" t="n"/>
      <c r="B285" s="5" t="n"/>
      <c r="I285" s="5">
        <f>IF(E285=MINIFS(E:E, A:A, A285), "Yes", "")</f>
        <v/>
      </c>
    </row>
    <row r="286" ht="15.75" customHeight="1" s="14">
      <c r="A286" s="5" t="n"/>
      <c r="B286" s="5" t="n"/>
      <c r="I286" s="5">
        <f>IF(E286=MINIFS(E:E, A:A, A286), "Yes", "")</f>
        <v/>
      </c>
    </row>
    <row r="287" ht="15.75" customHeight="1" s="14">
      <c r="A287" s="5" t="n"/>
      <c r="B287" s="5" t="n"/>
      <c r="I287" s="5">
        <f>IF(E287=MINIFS(E:E, A:A, A287), "Yes", "")</f>
        <v/>
      </c>
    </row>
    <row r="288" ht="15.75" customHeight="1" s="14">
      <c r="A288" s="5" t="n"/>
      <c r="B288" s="5" t="n"/>
      <c r="I288" s="5">
        <f>IF(E288=MINIFS(E:E, A:A, A288), "Yes", "")</f>
        <v/>
      </c>
    </row>
    <row r="289" ht="15.75" customHeight="1" s="14">
      <c r="A289" s="5" t="n"/>
      <c r="B289" s="5" t="n"/>
      <c r="I289" s="5">
        <f>IF(E289=MINIFS(E:E, A:A, A289), "Yes", "")</f>
        <v/>
      </c>
    </row>
    <row r="290" ht="15.75" customHeight="1" s="14">
      <c r="A290" s="5" t="n"/>
      <c r="B290" s="5" t="n"/>
      <c r="I290" s="5">
        <f>IF(E290=MINIFS(E:E, A:A, A290), "Yes", "")</f>
        <v/>
      </c>
    </row>
    <row r="291" ht="15.75" customHeight="1" s="14">
      <c r="A291" s="5" t="n"/>
      <c r="B291" s="5" t="n"/>
      <c r="I291" s="5">
        <f>IF(E291=MINIFS(E:E, A:A, A291), "Yes", "")</f>
        <v/>
      </c>
    </row>
    <row r="292" ht="15.75" customHeight="1" s="14">
      <c r="A292" s="5" t="n"/>
      <c r="B292" s="5" t="n"/>
      <c r="I292" s="5">
        <f>IF(E292=MINIFS(E:E, A:A, A292), "Yes", "")</f>
        <v/>
      </c>
    </row>
    <row r="293" ht="15.75" customHeight="1" s="14">
      <c r="A293" s="5" t="n"/>
      <c r="B293" s="5" t="n"/>
      <c r="I293" s="5">
        <f>IF(E293=MINIFS(E:E, A:A, A293), "Yes", "")</f>
        <v/>
      </c>
    </row>
    <row r="294" ht="15.75" customHeight="1" s="14">
      <c r="A294" s="5" t="n"/>
      <c r="B294" s="5" t="n"/>
      <c r="I294" s="5">
        <f>IF(E294=MINIFS(E:E, A:A, A294), "Yes", "")</f>
        <v/>
      </c>
    </row>
    <row r="295" ht="15.75" customHeight="1" s="14">
      <c r="A295" s="5" t="n"/>
      <c r="B295" s="5" t="n"/>
      <c r="I295" s="5">
        <f>IF(E295=MINIFS(E:E, A:A, A295), "Yes", "")</f>
        <v/>
      </c>
    </row>
    <row r="296" ht="15.75" customHeight="1" s="14">
      <c r="A296" s="5" t="n"/>
      <c r="B296" s="5" t="n"/>
      <c r="I296" s="5">
        <f>IF(E296=MINIFS(E:E, A:A, A296), "Yes", "")</f>
        <v/>
      </c>
    </row>
    <row r="297" ht="15.75" customHeight="1" s="14">
      <c r="A297" s="5" t="n"/>
      <c r="B297" s="5" t="n"/>
      <c r="I297" s="5">
        <f>IF(E297=MINIFS(E:E, A:A, A297), "Yes", "")</f>
        <v/>
      </c>
    </row>
    <row r="298" ht="15.75" customHeight="1" s="14">
      <c r="A298" s="5" t="n"/>
      <c r="B298" s="5" t="n"/>
      <c r="I298" s="5">
        <f>IF(E298=MINIFS(E:E, A:A, A298), "Yes", "")</f>
        <v/>
      </c>
    </row>
    <row r="299" ht="15.75" customHeight="1" s="14">
      <c r="A299" s="5" t="n"/>
      <c r="B299" s="5" t="n"/>
      <c r="I299" s="5">
        <f>IF(E299=MINIFS(E:E, A:A, A299), "Yes", "")</f>
        <v/>
      </c>
    </row>
    <row r="300" ht="15.75" customHeight="1" s="14">
      <c r="A300" s="5" t="n"/>
      <c r="B300" s="5" t="n"/>
      <c r="I300" s="5">
        <f>IF(E300=MINIFS(E:E, A:A, A300), "Yes", "")</f>
        <v/>
      </c>
    </row>
    <row r="301" ht="15.75" customHeight="1" s="14">
      <c r="A301" s="5" t="n"/>
      <c r="B301" s="5" t="n"/>
      <c r="I301" s="5">
        <f>IF(E301=MINIFS(E:E, A:A, A301), "Yes", "")</f>
        <v/>
      </c>
    </row>
    <row r="302" ht="15.75" customHeight="1" s="14">
      <c r="A302" s="5" t="n"/>
      <c r="B302" s="5" t="n"/>
      <c r="I302" s="5">
        <f>IF(E302=MINIFS(E:E, A:A, A302), "Yes", "")</f>
        <v/>
      </c>
    </row>
    <row r="303" ht="15.75" customHeight="1" s="14">
      <c r="A303" s="5" t="n"/>
      <c r="B303" s="5" t="n"/>
      <c r="I303" s="5">
        <f>IF(E303=MINIFS(E:E, A:A, A303), "Yes", "")</f>
        <v/>
      </c>
    </row>
    <row r="304" ht="15.75" customHeight="1" s="14">
      <c r="A304" s="5" t="n"/>
      <c r="B304" s="5" t="n"/>
      <c r="I304" s="5">
        <f>IF(E304=MINIFS(E:E, A:A, A304), "Yes", "")</f>
        <v/>
      </c>
    </row>
    <row r="305" ht="15.75" customHeight="1" s="14">
      <c r="A305" s="5" t="n"/>
      <c r="B305" s="5" t="n"/>
      <c r="I305" s="5">
        <f>IF(E305=MINIFS(E:E, A:A, A305), "Yes", "")</f>
        <v/>
      </c>
    </row>
    <row r="306" ht="15.75" customHeight="1" s="14">
      <c r="A306" s="5" t="n"/>
      <c r="B306" s="5" t="n"/>
      <c r="I306" s="5">
        <f>IF(E306=MINIFS(E:E, A:A, A306), "Yes", "")</f>
        <v/>
      </c>
    </row>
    <row r="307" ht="15.75" customHeight="1" s="14">
      <c r="A307" s="5" t="n"/>
      <c r="B307" s="5" t="n"/>
      <c r="I307" s="5">
        <f>IF(E307=MINIFS(E:E, A:A, A307), "Yes", "")</f>
        <v/>
      </c>
    </row>
    <row r="308" ht="15.75" customHeight="1" s="14">
      <c r="A308" s="5" t="n"/>
      <c r="B308" s="5" t="n"/>
      <c r="I308" s="5">
        <f>IF(E308=MINIFS(E:E, A:A, A308), "Yes", "")</f>
        <v/>
      </c>
    </row>
    <row r="309" ht="15.75" customHeight="1" s="14">
      <c r="A309" s="5" t="n"/>
      <c r="B309" s="5" t="n"/>
      <c r="I309" s="5">
        <f>IF(E309=MINIFS(E:E, A:A, A309), "Yes", "")</f>
        <v/>
      </c>
    </row>
    <row r="310" ht="15.75" customHeight="1" s="14">
      <c r="A310" s="5" t="n"/>
      <c r="B310" s="5" t="n"/>
      <c r="I310" s="5">
        <f>IF(E310=MINIFS(E:E, A:A, A310), "Yes", "")</f>
        <v/>
      </c>
    </row>
    <row r="311" ht="15.75" customHeight="1" s="14">
      <c r="A311" s="5" t="n"/>
      <c r="B311" s="5" t="n"/>
      <c r="I311" s="5">
        <f>IF(E311=MINIFS(E:E, A:A, A311), "Yes", "")</f>
        <v/>
      </c>
    </row>
    <row r="312" ht="15.75" customHeight="1" s="14">
      <c r="A312" s="5" t="n"/>
      <c r="B312" s="5" t="n"/>
      <c r="I312" s="5">
        <f>IF(E312=MINIFS(E:E, A:A, A312), "Yes", "")</f>
        <v/>
      </c>
    </row>
    <row r="313" ht="15.75" customHeight="1" s="14">
      <c r="A313" s="5" t="n"/>
      <c r="B313" s="5" t="n"/>
      <c r="I313" s="5">
        <f>IF(E313=MINIFS(E:E, A:A, A313), "Yes", "")</f>
        <v/>
      </c>
    </row>
    <row r="314" ht="15.75" customHeight="1" s="14">
      <c r="A314" s="5" t="n"/>
      <c r="B314" s="5" t="n"/>
      <c r="I314" s="5">
        <f>IF(E314=MINIFS(E:E, A:A, A314), "Yes", "")</f>
        <v/>
      </c>
    </row>
    <row r="315" ht="15.75" customHeight="1" s="14">
      <c r="A315" s="5" t="n"/>
      <c r="B315" s="5" t="n"/>
      <c r="I315" s="5">
        <f>IF(E315=MINIFS(E:E, A:A, A315), "Yes", "")</f>
        <v/>
      </c>
    </row>
    <row r="316" ht="15.75" customHeight="1" s="14">
      <c r="A316" s="5" t="n"/>
      <c r="B316" s="5" t="n"/>
      <c r="I316" s="5">
        <f>IF(E316=MINIFS(E:E, A:A, A316), "Yes", "")</f>
        <v/>
      </c>
    </row>
    <row r="317" ht="15.75" customHeight="1" s="14">
      <c r="A317" s="5" t="n"/>
      <c r="B317" s="5" t="n"/>
      <c r="I317" s="5">
        <f>IF(E317=MINIFS(E:E, A:A, A317), "Yes", "")</f>
        <v/>
      </c>
    </row>
    <row r="318" ht="15.75" customHeight="1" s="14">
      <c r="A318" s="5" t="n"/>
      <c r="B318" s="5" t="n"/>
      <c r="I318" s="5">
        <f>IF(E318=MINIFS(E:E, A:A, A318), "Yes", "")</f>
        <v/>
      </c>
    </row>
    <row r="319" ht="15.75" customHeight="1" s="14">
      <c r="A319" s="5" t="n"/>
      <c r="B319" s="5" t="n"/>
      <c r="I319" s="5">
        <f>IF(E319=MINIFS(E:E, A:A, A319), "Yes", "")</f>
        <v/>
      </c>
    </row>
    <row r="320" ht="15.75" customHeight="1" s="14">
      <c r="A320" s="5" t="n"/>
      <c r="B320" s="5" t="n"/>
      <c r="I320" s="5">
        <f>IF(E320=MINIFS(E:E, A:A, A320), "Yes", "")</f>
        <v/>
      </c>
    </row>
    <row r="321" ht="15.75" customHeight="1" s="14">
      <c r="A321" s="5" t="n"/>
      <c r="B321" s="5" t="n"/>
      <c r="I321" s="5">
        <f>IF(E321=MINIFS(E:E, A:A, A321), "Yes", "")</f>
        <v/>
      </c>
    </row>
    <row r="322" ht="15.75" customHeight="1" s="14">
      <c r="A322" s="5" t="n"/>
      <c r="B322" s="5" t="n"/>
      <c r="I322" s="5">
        <f>IF(E322=MINIFS(E:E, A:A, A322), "Yes", "")</f>
        <v/>
      </c>
    </row>
    <row r="323" ht="15.75" customHeight="1" s="14">
      <c r="A323" s="5" t="n"/>
      <c r="B323" s="5" t="n"/>
      <c r="I323" s="5">
        <f>IF(E323=MINIFS(E:E, A:A, A323), "Yes", "")</f>
        <v/>
      </c>
    </row>
    <row r="324" ht="15.75" customHeight="1" s="14">
      <c r="A324" s="5" t="n"/>
      <c r="B324" s="5" t="n"/>
      <c r="I324" s="5">
        <f>IF(E324=MINIFS(E:E, A:A, A324), "Yes", "")</f>
        <v/>
      </c>
    </row>
    <row r="325" ht="15.75" customHeight="1" s="14">
      <c r="A325" s="5" t="n"/>
      <c r="B325" s="5" t="n"/>
      <c r="I325" s="5">
        <f>IF(E325=MINIFS(E:E, A:A, A325), "Yes", "")</f>
        <v/>
      </c>
    </row>
    <row r="326" ht="15.75" customHeight="1" s="14">
      <c r="A326" s="5" t="n"/>
      <c r="B326" s="5" t="n"/>
      <c r="I326" s="5">
        <f>IF(E326=MINIFS(E:E, A:A, A326), "Yes", "")</f>
        <v/>
      </c>
    </row>
    <row r="327" ht="15.75" customHeight="1" s="14">
      <c r="A327" s="5" t="n"/>
      <c r="B327" s="5" t="n"/>
      <c r="I327" s="5">
        <f>IF(E327=MINIFS(E:E, A:A, A327), "Yes", "")</f>
        <v/>
      </c>
    </row>
    <row r="328" ht="15.75" customHeight="1" s="14">
      <c r="A328" s="5" t="n"/>
      <c r="B328" s="5" t="n"/>
      <c r="I328" s="5">
        <f>IF(E328=MINIFS(E:E, A:A, A328), "Yes", "")</f>
        <v/>
      </c>
    </row>
    <row r="329" ht="15.75" customHeight="1" s="14">
      <c r="A329" s="5" t="n"/>
      <c r="B329" s="5" t="n"/>
      <c r="I329" s="5">
        <f>IF(E329=MINIFS(E:E, A:A, A329), "Yes", "")</f>
        <v/>
      </c>
    </row>
    <row r="330" ht="15.75" customHeight="1" s="14">
      <c r="A330" s="5" t="n"/>
      <c r="B330" s="5" t="n"/>
      <c r="I330" s="5">
        <f>IF(E330=MINIFS(E:E, A:A, A330), "Yes", "")</f>
        <v/>
      </c>
    </row>
    <row r="331" ht="15.75" customHeight="1" s="14">
      <c r="A331" s="5" t="n"/>
      <c r="B331" s="5" t="n"/>
      <c r="I331" s="5">
        <f>IF(E331=MINIFS(E:E, A:A, A331), "Yes", "")</f>
        <v/>
      </c>
    </row>
    <row r="332" ht="15.75" customHeight="1" s="14">
      <c r="A332" s="5" t="n"/>
      <c r="B332" s="5" t="n"/>
      <c r="I332" s="5">
        <f>IF(E332=MINIFS(E:E, A:A, A332), "Yes", "")</f>
        <v/>
      </c>
    </row>
    <row r="333" ht="15.75" customHeight="1" s="14">
      <c r="A333" s="5" t="n"/>
      <c r="B333" s="5" t="n"/>
      <c r="I333" s="5">
        <f>IF(E333=MINIFS(E:E, A:A, A333), "Yes", "")</f>
        <v/>
      </c>
    </row>
    <row r="334" ht="15.75" customHeight="1" s="14">
      <c r="A334" s="5" t="n"/>
      <c r="B334" s="5" t="n"/>
      <c r="I334" s="5">
        <f>IF(E334=MINIFS(E:E, A:A, A334), "Yes", "")</f>
        <v/>
      </c>
    </row>
    <row r="335" ht="15.75" customHeight="1" s="14">
      <c r="A335" s="5" t="n"/>
      <c r="B335" s="5" t="n"/>
      <c r="I335" s="5">
        <f>IF(E335=MINIFS(E:E, A:A, A335), "Yes", "")</f>
        <v/>
      </c>
    </row>
    <row r="336" ht="15.75" customHeight="1" s="14">
      <c r="A336" s="5" t="n"/>
      <c r="B336" s="5" t="n"/>
      <c r="I336" s="5">
        <f>IF(E336=MINIFS(E:E, A:A, A336), "Yes", "")</f>
        <v/>
      </c>
    </row>
    <row r="337" ht="15.75" customHeight="1" s="14">
      <c r="A337" s="5" t="n"/>
      <c r="B337" s="5" t="n"/>
      <c r="I337" s="5">
        <f>IF(E337=MINIFS(E:E, A:A, A337), "Yes", "")</f>
        <v/>
      </c>
    </row>
    <row r="338" ht="15.75" customHeight="1" s="14">
      <c r="A338" s="5" t="n"/>
      <c r="B338" s="5" t="n"/>
      <c r="I338" s="5">
        <f>IF(E338=MINIFS(E:E, A:A, A338), "Yes", "")</f>
        <v/>
      </c>
    </row>
    <row r="339" ht="15.75" customHeight="1" s="14">
      <c r="A339" s="5" t="n"/>
      <c r="B339" s="5" t="n"/>
      <c r="I339" s="5">
        <f>IF(E339=MINIFS(E:E, A:A, A339), "Yes", "")</f>
        <v/>
      </c>
    </row>
    <row r="340" ht="15.75" customHeight="1" s="14">
      <c r="A340" s="5" t="n"/>
      <c r="B340" s="5" t="n"/>
      <c r="I340" s="5">
        <f>IF(E340=MINIFS(E:E, A:A, A340), "Yes", "")</f>
        <v/>
      </c>
    </row>
    <row r="341" ht="15.75" customHeight="1" s="14">
      <c r="A341" s="5" t="n"/>
      <c r="B341" s="5" t="n"/>
      <c r="I341" s="5">
        <f>IF(E341=MINIFS(E:E, A:A, A341), "Yes", "")</f>
        <v/>
      </c>
    </row>
    <row r="342" ht="15.75" customHeight="1" s="14">
      <c r="A342" s="5" t="n"/>
      <c r="B342" s="5" t="n"/>
      <c r="I342" s="5">
        <f>IF(E342=MINIFS(E:E, A:A, A342), "Yes", "")</f>
        <v/>
      </c>
    </row>
    <row r="343" ht="15.75" customHeight="1" s="14">
      <c r="A343" s="5" t="n"/>
      <c r="B343" s="5" t="n"/>
      <c r="I343" s="5">
        <f>IF(E343=MINIFS(E:E, A:A, A343), "Yes", "")</f>
        <v/>
      </c>
    </row>
    <row r="344" ht="15.75" customHeight="1" s="14">
      <c r="A344" s="5" t="n"/>
      <c r="B344" s="5" t="n"/>
      <c r="I344" s="5">
        <f>IF(E344=MINIFS(E:E, A:A, A344), "Yes", "")</f>
        <v/>
      </c>
    </row>
    <row r="345" ht="15.75" customHeight="1" s="14">
      <c r="A345" s="5" t="n"/>
      <c r="B345" s="5" t="n"/>
      <c r="I345" s="5">
        <f>IF(E345=MINIFS(E:E, A:A, A345), "Yes", "")</f>
        <v/>
      </c>
    </row>
    <row r="346" ht="15.75" customHeight="1" s="14">
      <c r="A346" s="5" t="n"/>
      <c r="B346" s="5" t="n"/>
      <c r="I346" s="5">
        <f>IF(E346=MINIFS(E:E, A:A, A346), "Yes", "")</f>
        <v/>
      </c>
    </row>
    <row r="347" ht="15.75" customHeight="1" s="14">
      <c r="A347" s="5" t="n"/>
      <c r="B347" s="5" t="n"/>
      <c r="I347" s="5">
        <f>IF(E347=MINIFS(E:E, A:A, A347), "Yes", "")</f>
        <v/>
      </c>
    </row>
    <row r="348" ht="15.75" customHeight="1" s="14">
      <c r="A348" s="5" t="n"/>
      <c r="B348" s="5" t="n"/>
      <c r="I348" s="5">
        <f>IF(E348=MINIFS(E:E, A:A, A348), "Yes", "")</f>
        <v/>
      </c>
    </row>
    <row r="349" ht="15.75" customHeight="1" s="14">
      <c r="A349" s="5" t="n"/>
      <c r="B349" s="5" t="n"/>
      <c r="I349" s="5">
        <f>IF(E349=MINIFS(E:E, A:A, A349), "Yes", "")</f>
        <v/>
      </c>
    </row>
    <row r="350" ht="15.75" customHeight="1" s="14">
      <c r="A350" s="5" t="n"/>
      <c r="B350" s="5" t="n"/>
      <c r="I350" s="5">
        <f>IF(E350=MINIFS(E:E, A:A, A350), "Yes", "")</f>
        <v/>
      </c>
    </row>
    <row r="351" ht="15.75" customHeight="1" s="14">
      <c r="A351" s="5" t="n"/>
      <c r="B351" s="5" t="n"/>
      <c r="I351" s="5">
        <f>IF(E351=MINIFS(E:E, A:A, A351), "Yes", "")</f>
        <v/>
      </c>
    </row>
    <row r="352" ht="15.75" customHeight="1" s="14">
      <c r="A352" s="5" t="n"/>
      <c r="B352" s="5" t="n"/>
      <c r="I352" s="5">
        <f>IF(E352=MINIFS(E:E, A:A, A352), "Yes", "")</f>
        <v/>
      </c>
    </row>
    <row r="353" ht="15.75" customHeight="1" s="14">
      <c r="A353" s="5" t="n"/>
      <c r="B353" s="5" t="n"/>
      <c r="I353" s="5">
        <f>IF(E353=MINIFS(E:E, A:A, A353), "Yes", "")</f>
        <v/>
      </c>
    </row>
    <row r="354" ht="15.75" customHeight="1" s="14">
      <c r="A354" s="5" t="n"/>
      <c r="B354" s="5" t="n"/>
      <c r="I354" s="5">
        <f>IF(E354=MINIFS(E:E, A:A, A354), "Yes", "")</f>
        <v/>
      </c>
    </row>
    <row r="355" ht="15.75" customHeight="1" s="14">
      <c r="A355" s="5" t="n"/>
      <c r="B355" s="5" t="n"/>
      <c r="I355" s="5">
        <f>IF(E355=MINIFS(E:E, A:A, A355), "Yes", "")</f>
        <v/>
      </c>
    </row>
    <row r="356" ht="15.75" customHeight="1" s="14">
      <c r="A356" s="5" t="n"/>
      <c r="B356" s="5" t="n"/>
      <c r="I356" s="5">
        <f>IF(E356=MINIFS(E:E, A:A, A356), "Yes", "")</f>
        <v/>
      </c>
    </row>
    <row r="357" ht="15.75" customHeight="1" s="14">
      <c r="A357" s="5" t="n"/>
      <c r="B357" s="5" t="n"/>
      <c r="I357" s="5">
        <f>IF(E357=MINIFS(E:E, A:A, A357), "Yes", "")</f>
        <v/>
      </c>
    </row>
    <row r="358" ht="15.75" customHeight="1" s="14">
      <c r="A358" s="5" t="n"/>
      <c r="B358" s="5" t="n"/>
      <c r="I358" s="5">
        <f>IF(E358=MINIFS(E:E, A:A, A358), "Yes", "")</f>
        <v/>
      </c>
    </row>
    <row r="359" ht="15.75" customHeight="1" s="14">
      <c r="A359" s="5" t="n"/>
      <c r="B359" s="5" t="n"/>
      <c r="I359" s="5">
        <f>IF(E359=MINIFS(E:E, A:A, A359), "Yes", "")</f>
        <v/>
      </c>
    </row>
    <row r="360" ht="15.75" customHeight="1" s="14">
      <c r="A360" s="5" t="n"/>
      <c r="B360" s="5" t="n"/>
      <c r="I360" s="5">
        <f>IF(E360=MINIFS(E:E, A:A, A360), "Yes", "")</f>
        <v/>
      </c>
    </row>
    <row r="361" ht="15.75" customHeight="1" s="14">
      <c r="A361" s="5" t="n"/>
      <c r="B361" s="5" t="n"/>
      <c r="I361" s="5">
        <f>IF(E361=MINIFS(E:E, A:A, A361), "Yes", "")</f>
        <v/>
      </c>
    </row>
    <row r="362" ht="15.75" customHeight="1" s="14">
      <c r="A362" s="5" t="n"/>
      <c r="B362" s="5" t="n"/>
      <c r="I362" s="5">
        <f>IF(E362=MINIFS(E:E, A:A, A362), "Yes", "")</f>
        <v/>
      </c>
    </row>
    <row r="363" ht="15.75" customHeight="1" s="14">
      <c r="A363" s="5" t="n"/>
      <c r="B363" s="5" t="n"/>
      <c r="I363" s="5">
        <f>IF(E363=MINIFS(E:E, A:A, A363), "Yes", "")</f>
        <v/>
      </c>
    </row>
    <row r="364" ht="15.75" customHeight="1" s="14">
      <c r="A364" s="5" t="n"/>
      <c r="B364" s="5" t="n"/>
      <c r="I364" s="5">
        <f>IF(E364=MINIFS(E:E, A:A, A364), "Yes", "")</f>
        <v/>
      </c>
    </row>
    <row r="365" ht="15.75" customHeight="1" s="14">
      <c r="A365" s="5" t="n"/>
      <c r="B365" s="5" t="n"/>
      <c r="I365" s="5">
        <f>IF(E365=MINIFS(E:E, A:A, A365), "Yes", "")</f>
        <v/>
      </c>
    </row>
    <row r="366" ht="15.75" customHeight="1" s="14">
      <c r="A366" s="5" t="n"/>
      <c r="B366" s="5" t="n"/>
      <c r="I366" s="5">
        <f>IF(E366=MINIFS(E:E, A:A, A366), "Yes", "")</f>
        <v/>
      </c>
    </row>
    <row r="367" ht="15.75" customHeight="1" s="14">
      <c r="A367" s="5" t="n"/>
      <c r="B367" s="5" t="n"/>
      <c r="I367" s="5">
        <f>IF(E367=MINIFS(E:E, A:A, A367), "Yes", "")</f>
        <v/>
      </c>
    </row>
    <row r="368" ht="15.75" customHeight="1" s="14">
      <c r="A368" s="5" t="n"/>
      <c r="B368" s="5" t="n"/>
      <c r="I368" s="5">
        <f>IF(E368=MINIFS(E:E, A:A, A368), "Yes", "")</f>
        <v/>
      </c>
    </row>
    <row r="369" ht="15.75" customHeight="1" s="14">
      <c r="A369" s="5" t="n"/>
      <c r="B369" s="5" t="n"/>
      <c r="I369" s="5">
        <f>IF(E369=MINIFS(E:E, A:A, A369), "Yes", "")</f>
        <v/>
      </c>
    </row>
    <row r="370" ht="15.75" customHeight="1" s="14">
      <c r="A370" s="5" t="n"/>
      <c r="B370" s="5" t="n"/>
      <c r="I370" s="5">
        <f>IF(E370=MINIFS(E:E, A:A, A370), "Yes", "")</f>
        <v/>
      </c>
    </row>
    <row r="371" ht="15.75" customHeight="1" s="14">
      <c r="A371" s="5" t="n"/>
      <c r="B371" s="5" t="n"/>
      <c r="I371" s="5">
        <f>IF(E371=MINIFS(E:E, A:A, A371), "Yes", "")</f>
        <v/>
      </c>
    </row>
    <row r="372" ht="15.75" customHeight="1" s="14">
      <c r="A372" s="5" t="n"/>
      <c r="B372" s="5" t="n"/>
      <c r="I372" s="5">
        <f>IF(E372=MINIFS(E:E, A:A, A372), "Yes", "")</f>
        <v/>
      </c>
    </row>
    <row r="373" ht="15.75" customHeight="1" s="14">
      <c r="A373" s="5" t="n"/>
      <c r="B373" s="5" t="n"/>
      <c r="I373" s="5">
        <f>IF(E373=MINIFS(E:E, A:A, A373), "Yes", "")</f>
        <v/>
      </c>
    </row>
    <row r="374" ht="15.75" customHeight="1" s="14">
      <c r="A374" s="5" t="n"/>
      <c r="B374" s="5" t="n"/>
      <c r="I374" s="5">
        <f>IF(E374=MINIFS(E:E, A:A, A374), "Yes", "")</f>
        <v/>
      </c>
    </row>
    <row r="375" ht="15.75" customHeight="1" s="14">
      <c r="A375" s="5" t="n"/>
      <c r="B375" s="5" t="n"/>
      <c r="I375" s="5">
        <f>IF(E375=MINIFS(E:E, A:A, A375), "Yes", "")</f>
        <v/>
      </c>
    </row>
    <row r="376" ht="15.75" customHeight="1" s="14">
      <c r="A376" s="5" t="n"/>
      <c r="B376" s="5" t="n"/>
      <c r="I376" s="5">
        <f>IF(E376=MINIFS(E:E, A:A, A376), "Yes", "")</f>
        <v/>
      </c>
    </row>
    <row r="377" ht="15.75" customHeight="1" s="14">
      <c r="A377" s="5" t="n"/>
      <c r="B377" s="5" t="n"/>
      <c r="I377" s="5">
        <f>IF(E377=MINIFS(E:E, A:A, A377), "Yes", "")</f>
        <v/>
      </c>
    </row>
    <row r="378" ht="15.75" customHeight="1" s="14">
      <c r="A378" s="5" t="n"/>
      <c r="B378" s="5" t="n"/>
      <c r="I378" s="5">
        <f>IF(E378=MINIFS(E:E, A:A, A378), "Yes", "")</f>
        <v/>
      </c>
    </row>
    <row r="379" ht="15.75" customHeight="1" s="14">
      <c r="A379" s="5" t="n"/>
      <c r="B379" s="5" t="n"/>
      <c r="I379" s="5">
        <f>IF(E379=MINIFS(E:E, A:A, A379), "Yes", "")</f>
        <v/>
      </c>
    </row>
    <row r="380" ht="15.75" customHeight="1" s="14">
      <c r="A380" s="5" t="n"/>
      <c r="B380" s="5" t="n"/>
      <c r="I380" s="5">
        <f>IF(E380=MINIFS(E:E, A:A, A380), "Yes", "")</f>
        <v/>
      </c>
    </row>
    <row r="381" ht="15.75" customHeight="1" s="14">
      <c r="A381" s="5" t="n"/>
      <c r="B381" s="5" t="n"/>
      <c r="I381" s="5">
        <f>IF(E381=MINIFS(E:E, A:A, A381), "Yes", "")</f>
        <v/>
      </c>
    </row>
    <row r="382" ht="15.75" customHeight="1" s="14">
      <c r="A382" s="5" t="n"/>
      <c r="B382" s="5" t="n"/>
      <c r="I382" s="5">
        <f>IF(E382=MINIFS(E:E, A:A, A382), "Yes", "")</f>
        <v/>
      </c>
    </row>
    <row r="383" ht="15.75" customHeight="1" s="14">
      <c r="A383" s="5" t="n"/>
      <c r="B383" s="5" t="n"/>
      <c r="I383" s="5">
        <f>IF(E383=MINIFS(E:E, A:A, A383), "Yes", "")</f>
        <v/>
      </c>
    </row>
    <row r="384" ht="15.75" customHeight="1" s="14">
      <c r="A384" s="5" t="n"/>
      <c r="B384" s="5" t="n"/>
      <c r="I384" s="5">
        <f>IF(E384=MINIFS(E:E, A:A, A384), "Yes", "")</f>
        <v/>
      </c>
    </row>
    <row r="385" ht="15.75" customHeight="1" s="14">
      <c r="A385" s="5" t="n"/>
      <c r="B385" s="5" t="n"/>
      <c r="I385" s="5">
        <f>IF(E385=MINIFS(E:E, A:A, A385), "Yes", "")</f>
        <v/>
      </c>
    </row>
    <row r="386" ht="15.75" customHeight="1" s="14">
      <c r="A386" s="5" t="n"/>
      <c r="B386" s="5" t="n"/>
      <c r="I386" s="5">
        <f>IF(E386=MINIFS(E:E, A:A, A386), "Yes", "")</f>
        <v/>
      </c>
    </row>
    <row r="387" ht="15.75" customHeight="1" s="14">
      <c r="A387" s="5" t="n"/>
      <c r="B387" s="5" t="n"/>
      <c r="I387" s="5">
        <f>IF(E387=MINIFS(E:E, A:A, A387), "Yes", "")</f>
        <v/>
      </c>
    </row>
    <row r="388" ht="15.75" customHeight="1" s="14">
      <c r="A388" s="5" t="n"/>
      <c r="B388" s="5" t="n"/>
      <c r="I388" s="5">
        <f>IF(E388=MINIFS(E:E, A:A, A388), "Yes", "")</f>
        <v/>
      </c>
    </row>
    <row r="389" ht="15.75" customHeight="1" s="14">
      <c r="A389" s="5" t="n"/>
      <c r="B389" s="5" t="n"/>
      <c r="I389" s="5">
        <f>IF(E389=MINIFS(E:E, A:A, A389), "Yes", "")</f>
        <v/>
      </c>
    </row>
    <row r="390" ht="15.75" customHeight="1" s="14">
      <c r="A390" s="5" t="n"/>
      <c r="B390" s="5" t="n"/>
      <c r="I390" s="5">
        <f>IF(E390=MINIFS(E:E, A:A, A390), "Yes", "")</f>
        <v/>
      </c>
    </row>
    <row r="391" ht="15.75" customHeight="1" s="14">
      <c r="A391" s="5" t="n"/>
      <c r="B391" s="5" t="n"/>
      <c r="I391" s="5">
        <f>IF(E391=MINIFS(E:E, A:A, A391), "Yes", "")</f>
        <v/>
      </c>
    </row>
    <row r="392" ht="15.75" customHeight="1" s="14">
      <c r="A392" s="5" t="n"/>
      <c r="B392" s="5" t="n"/>
      <c r="I392" s="5">
        <f>IF(E392=MINIFS(E:E, A:A, A392), "Yes", "")</f>
        <v/>
      </c>
    </row>
    <row r="393" ht="15.75" customHeight="1" s="14">
      <c r="A393" s="5" t="n"/>
      <c r="B393" s="5" t="n"/>
      <c r="I393" s="5">
        <f>IF(E393=MINIFS(E:E, A:A, A393), "Yes", "")</f>
        <v/>
      </c>
    </row>
    <row r="394" ht="15.75" customHeight="1" s="14">
      <c r="A394" s="5" t="n"/>
      <c r="B394" s="5" t="n"/>
      <c r="I394" s="5">
        <f>IF(E394=MINIFS(E:E, A:A, A394), "Yes", "")</f>
        <v/>
      </c>
    </row>
    <row r="395" ht="15.75" customHeight="1" s="14">
      <c r="A395" s="5" t="n"/>
      <c r="B395" s="5" t="n"/>
      <c r="I395" s="5">
        <f>IF(E395=MINIFS(E:E, A:A, A395), "Yes", "")</f>
        <v/>
      </c>
    </row>
    <row r="396" ht="15.75" customHeight="1" s="14">
      <c r="A396" s="5" t="n"/>
      <c r="B396" s="5" t="n"/>
      <c r="I396" s="5">
        <f>IF(E396=MINIFS(E:E, A:A, A396), "Yes", "")</f>
        <v/>
      </c>
    </row>
    <row r="397" ht="15.75" customHeight="1" s="14">
      <c r="A397" s="5" t="n"/>
      <c r="B397" s="5" t="n"/>
      <c r="I397" s="5">
        <f>IF(E397=MINIFS(E:E, A:A, A397), "Yes", "")</f>
        <v/>
      </c>
    </row>
    <row r="398" ht="15.75" customHeight="1" s="14">
      <c r="A398" s="5" t="n"/>
      <c r="B398" s="5" t="n"/>
      <c r="I398" s="5">
        <f>IF(E398=MINIFS(E:E, A:A, A398), "Yes", "")</f>
        <v/>
      </c>
    </row>
    <row r="399" ht="15.75" customHeight="1" s="14">
      <c r="A399" s="5" t="n"/>
      <c r="B399" s="5" t="n"/>
      <c r="I399" s="5">
        <f>IF(E399=MINIFS(E:E, A:A, A399), "Yes", "")</f>
        <v/>
      </c>
    </row>
    <row r="400" ht="15.75" customHeight="1" s="14">
      <c r="A400" s="5" t="n"/>
      <c r="B400" s="5" t="n"/>
      <c r="I400" s="5">
        <f>IF(E400=MINIFS(E:E, A:A, A400), "Yes", "")</f>
        <v/>
      </c>
    </row>
    <row r="401" ht="15.75" customHeight="1" s="14">
      <c r="A401" s="5" t="n"/>
      <c r="B401" s="5" t="n"/>
      <c r="I401" s="5">
        <f>IF(E401=MINIFS(E:E, A:A, A401), "Yes", "")</f>
        <v/>
      </c>
    </row>
    <row r="402" ht="15.75" customHeight="1" s="14">
      <c r="A402" s="5" t="n"/>
      <c r="B402" s="5" t="n"/>
      <c r="I402" s="5">
        <f>IF(E402=MINIFS(E:E, A:A, A402), "Yes", "")</f>
        <v/>
      </c>
    </row>
    <row r="403" ht="15.75" customHeight="1" s="14">
      <c r="A403" s="5" t="n"/>
      <c r="B403" s="5" t="n"/>
      <c r="I403" s="5">
        <f>IF(E403=MINIFS(E:E, A:A, A403), "Yes", "")</f>
        <v/>
      </c>
    </row>
    <row r="404" ht="15.75" customHeight="1" s="14">
      <c r="A404" s="5" t="n"/>
      <c r="B404" s="5" t="n"/>
      <c r="I404" s="5">
        <f>IF(E404=MINIFS(E:E, A:A, A404), "Yes", "")</f>
        <v/>
      </c>
    </row>
    <row r="405" ht="15.75" customHeight="1" s="14">
      <c r="A405" s="5" t="n"/>
      <c r="B405" s="5" t="n"/>
      <c r="I405" s="5">
        <f>IF(E405=MINIFS(E:E, A:A, A405), "Yes", "")</f>
        <v/>
      </c>
    </row>
    <row r="406" ht="15.75" customHeight="1" s="14">
      <c r="A406" s="5" t="n"/>
      <c r="B406" s="5" t="n"/>
      <c r="I406" s="5">
        <f>IF(E406=MINIFS(E:E, A:A, A406), "Yes", "")</f>
        <v/>
      </c>
    </row>
    <row r="407" ht="15.75" customHeight="1" s="14">
      <c r="A407" s="5" t="n"/>
      <c r="B407" s="5" t="n"/>
      <c r="I407" s="5">
        <f>IF(E407=MINIFS(E:E, A:A, A407), "Yes", "")</f>
        <v/>
      </c>
    </row>
    <row r="408" ht="15.75" customHeight="1" s="14">
      <c r="A408" s="5" t="n"/>
      <c r="B408" s="5" t="n"/>
      <c r="I408" s="5">
        <f>IF(E408=MINIFS(E:E, A:A, A408), "Yes", "")</f>
        <v/>
      </c>
    </row>
    <row r="409" ht="15.75" customHeight="1" s="14">
      <c r="A409" s="5" t="n"/>
      <c r="B409" s="5" t="n"/>
      <c r="I409" s="5">
        <f>IF(E409=MINIFS(E:E, A:A, A409), "Yes", "")</f>
        <v/>
      </c>
    </row>
    <row r="410" ht="15.75" customHeight="1" s="14">
      <c r="A410" s="5" t="n"/>
      <c r="B410" s="5" t="n"/>
      <c r="I410" s="5">
        <f>IF(E410=MINIFS(E:E, A:A, A410), "Yes", "")</f>
        <v/>
      </c>
    </row>
    <row r="411" ht="15.75" customHeight="1" s="14">
      <c r="A411" s="5" t="n"/>
      <c r="B411" s="5" t="n"/>
      <c r="I411" s="5">
        <f>IF(E411=MINIFS(E:E, A:A, A411), "Yes", "")</f>
        <v/>
      </c>
    </row>
    <row r="412" ht="15.75" customHeight="1" s="14">
      <c r="A412" s="5" t="n"/>
      <c r="B412" s="5" t="n"/>
      <c r="I412" s="5">
        <f>IF(E412=MINIFS(E:E, A:A, A412), "Yes", "")</f>
        <v/>
      </c>
    </row>
    <row r="413" ht="15.75" customHeight="1" s="14">
      <c r="A413" s="5" t="n"/>
      <c r="B413" s="5" t="n"/>
      <c r="I413" s="5">
        <f>IF(E413=MINIFS(E:E, A:A, A413), "Yes", "")</f>
        <v/>
      </c>
    </row>
    <row r="414" ht="15.75" customHeight="1" s="14">
      <c r="A414" s="5" t="n"/>
      <c r="B414" s="5" t="n"/>
      <c r="I414" s="5">
        <f>IF(E414=MINIFS(E:E, A:A, A414), "Yes", "")</f>
        <v/>
      </c>
    </row>
    <row r="415" ht="15.75" customHeight="1" s="14">
      <c r="A415" s="5" t="n"/>
      <c r="B415" s="5" t="n"/>
      <c r="I415" s="5">
        <f>IF(E415=MINIFS(E:E, A:A, A415), "Yes", "")</f>
        <v/>
      </c>
    </row>
    <row r="416" ht="15.75" customHeight="1" s="14">
      <c r="A416" s="5" t="n"/>
      <c r="B416" s="5" t="n"/>
      <c r="I416" s="5">
        <f>IF(E416=MINIFS(E:E, A:A, A416), "Yes", "")</f>
        <v/>
      </c>
    </row>
    <row r="417" ht="15.75" customHeight="1" s="14">
      <c r="A417" s="5" t="n"/>
      <c r="B417" s="5" t="n"/>
      <c r="I417" s="5">
        <f>IF(E417=MINIFS(E:E, A:A, A417), "Yes", "")</f>
        <v/>
      </c>
    </row>
    <row r="418" ht="15.75" customHeight="1" s="14">
      <c r="A418" s="5" t="n"/>
      <c r="B418" s="5" t="n"/>
      <c r="I418" s="5">
        <f>IF(E418=MINIFS(E:E, A:A, A418), "Yes", "")</f>
        <v/>
      </c>
    </row>
    <row r="419" ht="15.75" customHeight="1" s="14">
      <c r="A419" s="5" t="n"/>
      <c r="B419" s="5" t="n"/>
      <c r="I419" s="5">
        <f>IF(E419=MINIFS(E:E, A:A, A419), "Yes", "")</f>
        <v/>
      </c>
    </row>
    <row r="420" ht="15.75" customHeight="1" s="14">
      <c r="A420" s="5" t="n"/>
      <c r="B420" s="5" t="n"/>
      <c r="I420" s="5">
        <f>IF(E420=MINIFS(E:E, A:A, A420), "Yes", "")</f>
        <v/>
      </c>
    </row>
    <row r="421" ht="15.75" customHeight="1" s="14">
      <c r="A421" s="5" t="n"/>
      <c r="B421" s="5" t="n"/>
      <c r="I421" s="5">
        <f>IF(E421=MINIFS(E:E, A:A, A421), "Yes", "")</f>
        <v/>
      </c>
    </row>
    <row r="422" ht="15.75" customHeight="1" s="14">
      <c r="A422" s="5" t="n"/>
      <c r="B422" s="5" t="n"/>
      <c r="I422" s="5">
        <f>IF(E422=MINIFS(E:E, A:A, A422), "Yes", "")</f>
        <v/>
      </c>
    </row>
    <row r="423" ht="15.75" customHeight="1" s="14">
      <c r="A423" s="5" t="n"/>
      <c r="B423" s="5" t="n"/>
      <c r="I423" s="5">
        <f>IF(E423=MINIFS(E:E, A:A, A423), "Yes", "")</f>
        <v/>
      </c>
    </row>
    <row r="424" ht="15.75" customHeight="1" s="14">
      <c r="A424" s="5" t="n"/>
      <c r="B424" s="5" t="n"/>
      <c r="I424" s="5">
        <f>IF(E424=MINIFS(E:E, A:A, A424), "Yes", "")</f>
        <v/>
      </c>
    </row>
    <row r="425" ht="15.75" customHeight="1" s="14">
      <c r="A425" s="5" t="n"/>
      <c r="B425" s="5" t="n"/>
      <c r="I425" s="5">
        <f>IF(E425=MINIFS(E:E, A:A, A425), "Yes", "")</f>
        <v/>
      </c>
    </row>
    <row r="426" ht="15.75" customHeight="1" s="14">
      <c r="A426" s="5" t="n"/>
      <c r="B426" s="5" t="n"/>
      <c r="I426" s="5">
        <f>IF(E426=MINIFS(E:E, A:A, A426), "Yes", "")</f>
        <v/>
      </c>
    </row>
    <row r="427" ht="15.75" customHeight="1" s="14">
      <c r="A427" s="5" t="n"/>
      <c r="B427" s="5" t="n"/>
      <c r="I427" s="5">
        <f>IF(E427=MINIFS(E:E, A:A, A427), "Yes", "")</f>
        <v/>
      </c>
    </row>
    <row r="428" ht="15.75" customHeight="1" s="14">
      <c r="A428" s="5" t="n"/>
      <c r="B428" s="5" t="n"/>
      <c r="I428" s="5">
        <f>IF(E428=MINIFS(E:E, A:A, A428), "Yes", "")</f>
        <v/>
      </c>
    </row>
    <row r="429" ht="15.75" customHeight="1" s="14">
      <c r="A429" s="5" t="n"/>
      <c r="B429" s="5" t="n"/>
      <c r="I429" s="5">
        <f>IF(E429=MINIFS(E:E, A:A, A429), "Yes", "")</f>
        <v/>
      </c>
    </row>
    <row r="430" ht="15.75" customHeight="1" s="14">
      <c r="A430" s="5" t="n"/>
      <c r="B430" s="5" t="n"/>
      <c r="I430" s="5">
        <f>IF(E430=MINIFS(E:E, A:A, A430), "Yes", "")</f>
        <v/>
      </c>
    </row>
    <row r="431" ht="15.75" customHeight="1" s="14">
      <c r="A431" s="5" t="n"/>
      <c r="B431" s="5" t="n"/>
      <c r="I431" s="5">
        <f>IF(E431=MINIFS(E:E, A:A, A431), "Yes", "")</f>
        <v/>
      </c>
    </row>
    <row r="432" ht="15.75" customHeight="1" s="14">
      <c r="A432" s="5" t="n"/>
      <c r="B432" s="5" t="n"/>
      <c r="I432" s="5">
        <f>IF(E432=MINIFS(E:E, A:A, A432), "Yes", "")</f>
        <v/>
      </c>
    </row>
    <row r="433" ht="15.75" customHeight="1" s="14">
      <c r="A433" s="5" t="n"/>
      <c r="B433" s="5" t="n"/>
      <c r="I433" s="5">
        <f>IF(E433=MINIFS(E:E, A:A, A433), "Yes", "")</f>
        <v/>
      </c>
    </row>
    <row r="434" ht="15.75" customHeight="1" s="14">
      <c r="A434" s="5" t="n"/>
      <c r="B434" s="5" t="n"/>
      <c r="I434" s="5">
        <f>IF(E434=MINIFS(E:E, A:A, A434), "Yes", "")</f>
        <v/>
      </c>
    </row>
    <row r="435" ht="15.75" customHeight="1" s="14">
      <c r="A435" s="5" t="n"/>
      <c r="B435" s="5" t="n"/>
      <c r="I435" s="5">
        <f>IF(E435=MINIFS(E:E, A:A, A435), "Yes", "")</f>
        <v/>
      </c>
    </row>
    <row r="436" ht="15.75" customHeight="1" s="14">
      <c r="A436" s="5" t="n"/>
      <c r="B436" s="5" t="n"/>
      <c r="I436" s="5">
        <f>IF(E436=MINIFS(E:E, A:A, A436), "Yes", "")</f>
        <v/>
      </c>
    </row>
    <row r="437" ht="15.75" customHeight="1" s="14">
      <c r="A437" s="5" t="n"/>
      <c r="B437" s="5" t="n"/>
      <c r="I437" s="5">
        <f>IF(E437=MINIFS(E:E, A:A, A437), "Yes", "")</f>
        <v/>
      </c>
    </row>
    <row r="438" ht="15.75" customHeight="1" s="14">
      <c r="A438" s="5" t="n"/>
      <c r="B438" s="5" t="n"/>
      <c r="I438" s="5">
        <f>IF(E438=MINIFS(E:E, A:A, A438), "Yes", "")</f>
        <v/>
      </c>
    </row>
    <row r="439" ht="15.75" customHeight="1" s="14">
      <c r="A439" s="5" t="n"/>
      <c r="B439" s="5" t="n"/>
      <c r="I439" s="5">
        <f>IF(E439=MINIFS(E:E, A:A, A439), "Yes", "")</f>
        <v/>
      </c>
    </row>
    <row r="440" ht="15.75" customHeight="1" s="14">
      <c r="A440" s="5" t="n"/>
      <c r="B440" s="5" t="n"/>
      <c r="I440" s="5">
        <f>IF(E440=MINIFS(E:E, A:A, A440), "Yes", "")</f>
        <v/>
      </c>
    </row>
    <row r="441" ht="15.75" customHeight="1" s="14">
      <c r="A441" s="5" t="n"/>
      <c r="B441" s="5" t="n"/>
      <c r="I441" s="5">
        <f>IF(E441=MINIFS(E:E, A:A, A441), "Yes", "")</f>
        <v/>
      </c>
    </row>
    <row r="442" ht="15.75" customHeight="1" s="14">
      <c r="A442" s="5" t="n"/>
      <c r="B442" s="5" t="n"/>
      <c r="I442" s="5">
        <f>IF(E442=MINIFS(E:E, A:A, A442), "Yes", "")</f>
        <v/>
      </c>
    </row>
    <row r="443" ht="15.75" customHeight="1" s="14">
      <c r="A443" s="5" t="n"/>
      <c r="B443" s="5" t="n"/>
      <c r="I443" s="5">
        <f>IF(E443=MINIFS(E:E, A:A, A443), "Yes", "")</f>
        <v/>
      </c>
    </row>
    <row r="444" ht="15.75" customHeight="1" s="14">
      <c r="A444" s="5" t="n"/>
      <c r="B444" s="5" t="n"/>
      <c r="I444" s="5">
        <f>IF(E444=MINIFS(E:E, A:A, A444), "Yes", "")</f>
        <v/>
      </c>
    </row>
    <row r="445" ht="15.75" customHeight="1" s="14">
      <c r="A445" s="5" t="n"/>
      <c r="B445" s="5" t="n"/>
      <c r="I445" s="5">
        <f>IF(E445=MINIFS(E:E, A:A, A445), "Yes", "")</f>
        <v/>
      </c>
    </row>
    <row r="446" ht="15.75" customHeight="1" s="14">
      <c r="A446" s="5" t="n"/>
      <c r="B446" s="5" t="n"/>
      <c r="I446" s="5">
        <f>IF(E446=MINIFS(E:E, A:A, A446), "Yes", "")</f>
        <v/>
      </c>
    </row>
    <row r="447" ht="15.75" customHeight="1" s="14">
      <c r="A447" s="5" t="n"/>
      <c r="B447" s="5" t="n"/>
      <c r="I447" s="5">
        <f>IF(E447=MINIFS(E:E, A:A, A447), "Yes", "")</f>
        <v/>
      </c>
    </row>
    <row r="448" ht="15.75" customHeight="1" s="14">
      <c r="A448" s="5" t="n"/>
      <c r="B448" s="5" t="n"/>
      <c r="I448" s="5">
        <f>IF(E448=MINIFS(E:E, A:A, A448), "Yes", "")</f>
        <v/>
      </c>
    </row>
    <row r="449" ht="15.75" customHeight="1" s="14">
      <c r="A449" s="5" t="n"/>
      <c r="B449" s="5" t="n"/>
      <c r="I449" s="5">
        <f>IF(E449=MINIFS(E:E, A:A, A449), "Yes", "")</f>
        <v/>
      </c>
    </row>
    <row r="450" ht="15.75" customHeight="1" s="14">
      <c r="A450" s="5" t="n"/>
      <c r="B450" s="5" t="n"/>
      <c r="I450" s="5">
        <f>IF(E450=MINIFS(E:E, A:A, A450), "Yes", "")</f>
        <v/>
      </c>
    </row>
    <row r="451" ht="15.75" customHeight="1" s="14">
      <c r="A451" s="5" t="n"/>
      <c r="B451" s="5" t="n"/>
      <c r="I451" s="5">
        <f>IF(E451=MINIFS(E:E, A:A, A451), "Yes", "")</f>
        <v/>
      </c>
    </row>
    <row r="452" ht="15.75" customHeight="1" s="14">
      <c r="A452" s="5" t="n"/>
      <c r="B452" s="5" t="n"/>
      <c r="I452" s="5">
        <f>IF(E452=MINIFS(E:E, A:A, A452), "Yes", "")</f>
        <v/>
      </c>
    </row>
    <row r="453" ht="15.75" customHeight="1" s="14">
      <c r="A453" s="5" t="n"/>
      <c r="B453" s="5" t="n"/>
      <c r="I453" s="5">
        <f>IF(E453=MINIFS(E:E, A:A, A453), "Yes", "")</f>
        <v/>
      </c>
    </row>
    <row r="454" ht="15.75" customHeight="1" s="14">
      <c r="A454" s="5" t="n"/>
      <c r="B454" s="5" t="n"/>
      <c r="I454" s="5">
        <f>IF(E454=MINIFS(E:E, A:A, A454), "Yes", "")</f>
        <v/>
      </c>
    </row>
    <row r="455" ht="15.75" customHeight="1" s="14">
      <c r="A455" s="5" t="n"/>
      <c r="B455" s="5" t="n"/>
      <c r="I455" s="5">
        <f>IF(E455=MINIFS(E:E, A:A, A455), "Yes", "")</f>
        <v/>
      </c>
    </row>
    <row r="456" ht="15.75" customHeight="1" s="14">
      <c r="A456" s="5" t="n"/>
      <c r="B456" s="5" t="n"/>
      <c r="I456" s="5">
        <f>IF(E456=MINIFS(E:E, A:A, A456), "Yes", "")</f>
        <v/>
      </c>
    </row>
    <row r="457" ht="15.75" customHeight="1" s="14">
      <c r="A457" s="5" t="n"/>
      <c r="B457" s="5" t="n"/>
      <c r="I457" s="5">
        <f>IF(E457=MINIFS(E:E, A:A, A457), "Yes", "")</f>
        <v/>
      </c>
    </row>
    <row r="458" ht="15.75" customHeight="1" s="14">
      <c r="A458" s="5" t="n"/>
      <c r="B458" s="5" t="n"/>
      <c r="I458" s="5">
        <f>IF(E458=MINIFS(E:E, A:A, A458), "Yes", "")</f>
        <v/>
      </c>
    </row>
    <row r="459" ht="15.75" customHeight="1" s="14">
      <c r="A459" s="5" t="n"/>
      <c r="B459" s="5" t="n"/>
      <c r="I459" s="5">
        <f>IF(E459=MINIFS(E:E, A:A, A459), "Yes", "")</f>
        <v/>
      </c>
    </row>
    <row r="460" ht="15.75" customHeight="1" s="14">
      <c r="A460" s="5" t="n"/>
      <c r="B460" s="5" t="n"/>
      <c r="I460" s="5">
        <f>IF(E460=MINIFS(E:E, A:A, A460), "Yes", "")</f>
        <v/>
      </c>
    </row>
    <row r="461" ht="15.75" customHeight="1" s="14">
      <c r="A461" s="5" t="n"/>
      <c r="B461" s="5" t="n"/>
      <c r="I461" s="5">
        <f>IF(E461=MINIFS(E:E, A:A, A461), "Yes", "")</f>
        <v/>
      </c>
    </row>
    <row r="462" ht="15.75" customHeight="1" s="14">
      <c r="A462" s="5" t="n"/>
      <c r="B462" s="5" t="n"/>
      <c r="I462" s="5">
        <f>IF(E462=MINIFS(E:E, A:A, A462), "Yes", "")</f>
        <v/>
      </c>
    </row>
    <row r="463" ht="15.75" customHeight="1" s="14">
      <c r="A463" s="5" t="n"/>
      <c r="B463" s="5" t="n"/>
      <c r="I463" s="5">
        <f>IF(E463=MINIFS(E:E, A:A, A463), "Yes", "")</f>
        <v/>
      </c>
    </row>
    <row r="464" ht="15.75" customHeight="1" s="14">
      <c r="A464" s="5" t="n"/>
      <c r="B464" s="5" t="n"/>
      <c r="I464" s="5">
        <f>IF(E464=MINIFS(E:E, A:A, A464), "Yes", "")</f>
        <v/>
      </c>
    </row>
    <row r="465" ht="15.75" customHeight="1" s="14">
      <c r="A465" s="5" t="n"/>
      <c r="B465" s="5" t="n"/>
      <c r="I465" s="5">
        <f>IF(E465=MINIFS(E:E, A:A, A465), "Yes", "")</f>
        <v/>
      </c>
    </row>
    <row r="466" ht="15.75" customHeight="1" s="14">
      <c r="A466" s="5" t="n"/>
      <c r="B466" s="5" t="n"/>
      <c r="I466" s="5">
        <f>IF(E466=MINIFS(E:E, A:A, A466), "Yes", "")</f>
        <v/>
      </c>
    </row>
    <row r="467" ht="15.75" customHeight="1" s="14">
      <c r="A467" s="5" t="n"/>
      <c r="B467" s="5" t="n"/>
      <c r="I467" s="5">
        <f>IF(E467=MINIFS(E:E, A:A, A467), "Yes", "")</f>
        <v/>
      </c>
    </row>
    <row r="468" ht="15.75" customHeight="1" s="14">
      <c r="A468" s="5" t="n"/>
      <c r="B468" s="5" t="n"/>
      <c r="I468" s="5">
        <f>IF(E468=MINIFS(E:E, A:A, A468), "Yes", "")</f>
        <v/>
      </c>
    </row>
    <row r="469" ht="15.75" customHeight="1" s="14">
      <c r="A469" s="5" t="n"/>
      <c r="B469" s="5" t="n"/>
      <c r="I469" s="5">
        <f>IF(E469=MINIFS(E:E, A:A, A469), "Yes", "")</f>
        <v/>
      </c>
    </row>
    <row r="470" ht="15.75" customHeight="1" s="14">
      <c r="A470" s="5" t="n"/>
      <c r="B470" s="5" t="n"/>
      <c r="I470" s="5">
        <f>IF(E470=MINIFS(E:E, A:A, A470), "Yes", "")</f>
        <v/>
      </c>
    </row>
    <row r="471" ht="15.75" customHeight="1" s="14">
      <c r="A471" s="5" t="n"/>
      <c r="B471" s="5" t="n"/>
      <c r="I471" s="5">
        <f>IF(E471=MINIFS(E:E, A:A, A471), "Yes", "")</f>
        <v/>
      </c>
    </row>
    <row r="472" ht="15.75" customHeight="1" s="14">
      <c r="A472" s="5" t="n"/>
      <c r="B472" s="5" t="n"/>
      <c r="I472" s="5">
        <f>IF(E472=MINIFS(E:E, A:A, A472), "Yes", "")</f>
        <v/>
      </c>
    </row>
    <row r="473" ht="15.75" customHeight="1" s="14">
      <c r="A473" s="5" t="n"/>
      <c r="B473" s="5" t="n"/>
      <c r="I473" s="5">
        <f>IF(E473=MINIFS(E:E, A:A, A473), "Yes", "")</f>
        <v/>
      </c>
    </row>
    <row r="474" ht="15.75" customHeight="1" s="14">
      <c r="A474" s="5" t="n"/>
      <c r="B474" s="5" t="n"/>
      <c r="I474" s="5">
        <f>IF(E474=MINIFS(E:E, A:A, A474), "Yes", "")</f>
        <v/>
      </c>
    </row>
    <row r="475" ht="15.75" customHeight="1" s="14">
      <c r="A475" s="5" t="n"/>
      <c r="B475" s="5" t="n"/>
      <c r="I475" s="5">
        <f>IF(E475=MINIFS(E:E, A:A, A475), "Yes", "")</f>
        <v/>
      </c>
    </row>
    <row r="476" ht="15.75" customHeight="1" s="14">
      <c r="A476" s="5" t="n"/>
      <c r="B476" s="5" t="n"/>
      <c r="I476" s="5">
        <f>IF(E476=MINIFS(E:E, A:A, A476), "Yes", "")</f>
        <v/>
      </c>
    </row>
    <row r="477" ht="15.75" customHeight="1" s="14">
      <c r="A477" s="5" t="n"/>
      <c r="B477" s="5" t="n"/>
      <c r="I477" s="5">
        <f>IF(E477=MINIFS(E:E, A:A, A477), "Yes", "")</f>
        <v/>
      </c>
    </row>
    <row r="478" ht="15.75" customHeight="1" s="14">
      <c r="A478" s="5" t="n"/>
      <c r="B478" s="5" t="n"/>
      <c r="I478" s="5">
        <f>IF(E478=MINIFS(E:E, A:A, A478), "Yes", "")</f>
        <v/>
      </c>
    </row>
    <row r="479" ht="15.75" customHeight="1" s="14">
      <c r="A479" s="5" t="n"/>
      <c r="B479" s="5" t="n"/>
      <c r="I479" s="5">
        <f>IF(E479=MINIFS(E:E, A:A, A479), "Yes", "")</f>
        <v/>
      </c>
    </row>
    <row r="480" ht="15.75" customHeight="1" s="14">
      <c r="A480" s="5" t="n"/>
      <c r="B480" s="5" t="n"/>
      <c r="I480" s="5">
        <f>IF(E480=MINIFS(E:E, A:A, A480), "Yes", "")</f>
        <v/>
      </c>
    </row>
    <row r="481" ht="15.75" customHeight="1" s="14">
      <c r="A481" s="5" t="n"/>
      <c r="B481" s="5" t="n"/>
      <c r="I481" s="5">
        <f>IF(E481=MINIFS(E:E, A:A, A481), "Yes", "")</f>
        <v/>
      </c>
    </row>
    <row r="482" ht="15.75" customHeight="1" s="14">
      <c r="A482" s="5" t="n"/>
      <c r="B482" s="5" t="n"/>
      <c r="I482" s="5">
        <f>IF(E482=MINIFS(E:E, A:A, A482), "Yes", "")</f>
        <v/>
      </c>
    </row>
    <row r="483" ht="15.75" customHeight="1" s="14">
      <c r="A483" s="5" t="n"/>
      <c r="B483" s="5" t="n"/>
      <c r="I483" s="5">
        <f>IF(E483=MINIFS(E:E, A:A, A483), "Yes", "")</f>
        <v/>
      </c>
    </row>
    <row r="484" ht="15.75" customHeight="1" s="14">
      <c r="A484" s="5" t="n"/>
      <c r="B484" s="5" t="n"/>
      <c r="I484" s="5">
        <f>IF(E484=MINIFS(E:E, A:A, A484), "Yes", "")</f>
        <v/>
      </c>
    </row>
    <row r="485" ht="15.75" customHeight="1" s="14">
      <c r="A485" s="5" t="n"/>
      <c r="B485" s="5" t="n"/>
      <c r="I485" s="5">
        <f>IF(E485=MINIFS(E:E, A:A, A485), "Yes", "")</f>
        <v/>
      </c>
    </row>
    <row r="486" ht="15.75" customHeight="1" s="14">
      <c r="A486" s="5" t="n"/>
      <c r="B486" s="5" t="n"/>
      <c r="I486" s="5">
        <f>IF(E486=MINIFS(E:E, A:A, A486), "Yes", "")</f>
        <v/>
      </c>
    </row>
    <row r="487" ht="15.75" customHeight="1" s="14">
      <c r="A487" s="5" t="n"/>
      <c r="B487" s="5" t="n"/>
      <c r="I487" s="5">
        <f>IF(E487=MINIFS(E:E, A:A, A487), "Yes", "")</f>
        <v/>
      </c>
    </row>
    <row r="488" ht="15.75" customHeight="1" s="14">
      <c r="A488" s="5" t="n"/>
      <c r="B488" s="5" t="n"/>
      <c r="I488" s="5">
        <f>IF(E488=MINIFS(E:E, A:A, A488), "Yes", "")</f>
        <v/>
      </c>
    </row>
    <row r="489" ht="15.75" customHeight="1" s="14">
      <c r="A489" s="5" t="n"/>
      <c r="B489" s="5" t="n"/>
      <c r="I489" s="5">
        <f>IF(E489=MINIFS(E:E, A:A, A489), "Yes", "")</f>
        <v/>
      </c>
    </row>
    <row r="490" ht="15.75" customHeight="1" s="14">
      <c r="A490" s="5" t="n"/>
      <c r="B490" s="5" t="n"/>
      <c r="I490" s="5">
        <f>IF(E490=MINIFS(E:E, A:A, A490), "Yes", "")</f>
        <v/>
      </c>
    </row>
    <row r="491" ht="15.75" customHeight="1" s="14">
      <c r="A491" s="5" t="n"/>
      <c r="B491" s="5" t="n"/>
      <c r="I491" s="5">
        <f>IF(E491=MINIFS(E:E, A:A, A491), "Yes", "")</f>
        <v/>
      </c>
    </row>
    <row r="492" ht="15.75" customHeight="1" s="14">
      <c r="A492" s="5" t="n"/>
      <c r="B492" s="5" t="n"/>
      <c r="I492" s="5">
        <f>IF(E492=MINIFS(E:E, A:A, A492), "Yes", "")</f>
        <v/>
      </c>
    </row>
    <row r="493" ht="15.75" customHeight="1" s="14">
      <c r="A493" s="5" t="n"/>
      <c r="B493" s="5" t="n"/>
      <c r="I493" s="5">
        <f>IF(E493=MINIFS(E:E, A:A, A493), "Yes", "")</f>
        <v/>
      </c>
    </row>
    <row r="494" ht="15.75" customHeight="1" s="14">
      <c r="A494" s="5" t="n"/>
      <c r="B494" s="5" t="n"/>
      <c r="I494" s="5">
        <f>IF(E494=MINIFS(E:E, A:A, A494), "Yes", "")</f>
        <v/>
      </c>
    </row>
    <row r="495" ht="15.75" customHeight="1" s="14">
      <c r="A495" s="5" t="n"/>
      <c r="B495" s="5" t="n"/>
      <c r="I495" s="5">
        <f>IF(E495=MINIFS(E:E, A:A, A495), "Yes", "")</f>
        <v/>
      </c>
    </row>
    <row r="496" ht="15.75" customHeight="1" s="14">
      <c r="A496" s="5" t="n"/>
      <c r="B496" s="5" t="n"/>
      <c r="I496" s="5">
        <f>IF(E496=MINIFS(E:E, A:A, A496), "Yes", "")</f>
        <v/>
      </c>
    </row>
    <row r="497" ht="15.75" customHeight="1" s="14">
      <c r="A497" s="5" t="n"/>
      <c r="B497" s="5" t="n"/>
      <c r="I497" s="5">
        <f>IF(E497=MINIFS(E:E, A:A, A497), "Yes", "")</f>
        <v/>
      </c>
    </row>
    <row r="498" ht="15.75" customHeight="1" s="14">
      <c r="A498" s="5" t="n"/>
      <c r="B498" s="5" t="n"/>
      <c r="I498" s="5">
        <f>IF(E498=MINIFS(E:E, A:A, A498), "Yes", "")</f>
        <v/>
      </c>
    </row>
    <row r="499" ht="15.75" customHeight="1" s="14">
      <c r="A499" s="5" t="n"/>
      <c r="B499" s="5" t="n"/>
      <c r="I499" s="5">
        <f>IF(E499=MINIFS(E:E, A:A, A499), "Yes", "")</f>
        <v/>
      </c>
    </row>
    <row r="500" ht="15.75" customHeight="1" s="14">
      <c r="A500" s="5" t="n"/>
      <c r="B500" s="5" t="n"/>
      <c r="I500" s="5">
        <f>IF(E500=MINIFS(E:E, A:A, A500), "Yes", "")</f>
        <v/>
      </c>
    </row>
    <row r="501" ht="15.75" customHeight="1" s="14">
      <c r="A501" s="5" t="n"/>
      <c r="B501" s="5" t="n"/>
      <c r="I501" s="5">
        <f>IF(E501=MINIFS(E:E, A:A, A501), "Yes", "")</f>
        <v/>
      </c>
    </row>
    <row r="502" ht="15.75" customHeight="1" s="14">
      <c r="A502" s="5" t="n"/>
      <c r="B502" s="5" t="n"/>
      <c r="I502" s="5">
        <f>IF(E502=MINIFS(E:E, A:A, A502), "Yes", "")</f>
        <v/>
      </c>
    </row>
    <row r="503" ht="15.75" customHeight="1" s="14">
      <c r="A503" s="5" t="n"/>
      <c r="B503" s="5" t="n"/>
      <c r="I503" s="5">
        <f>IF(E503=MINIFS(E:E, A:A, A503), "Yes", "")</f>
        <v/>
      </c>
    </row>
    <row r="504" ht="15.75" customHeight="1" s="14">
      <c r="A504" s="5" t="n"/>
      <c r="B504" s="5" t="n"/>
      <c r="I504" s="5">
        <f>IF(E504=MINIFS(E:E, A:A, A504), "Yes", "")</f>
        <v/>
      </c>
    </row>
    <row r="505" ht="15.75" customHeight="1" s="14">
      <c r="A505" s="5" t="n"/>
      <c r="B505" s="5" t="n"/>
      <c r="I505" s="5">
        <f>IF(E505=MINIFS(E:E, A:A, A505), "Yes", "")</f>
        <v/>
      </c>
    </row>
    <row r="506" ht="15.75" customHeight="1" s="14">
      <c r="A506" s="5" t="n"/>
      <c r="B506" s="5" t="n"/>
      <c r="I506" s="5">
        <f>IF(E506=MINIFS(E:E, A:A, A506), "Yes", "")</f>
        <v/>
      </c>
    </row>
    <row r="507" ht="15.75" customHeight="1" s="14">
      <c r="A507" s="5" t="n"/>
      <c r="B507" s="5" t="n"/>
      <c r="I507" s="5">
        <f>IF(E507=MINIFS(E:E, A:A, A507), "Yes", "")</f>
        <v/>
      </c>
    </row>
    <row r="508" ht="15.75" customHeight="1" s="14">
      <c r="A508" s="5" t="n"/>
      <c r="B508" s="5" t="n"/>
      <c r="I508" s="5">
        <f>IF(E508=MINIFS(E:E, A:A, A508), "Yes", "")</f>
        <v/>
      </c>
    </row>
    <row r="509" ht="15.75" customHeight="1" s="14">
      <c r="A509" s="5" t="n"/>
      <c r="B509" s="5" t="n"/>
      <c r="I509" s="5">
        <f>IF(E509=MINIFS(E:E, A:A, A509), "Yes", "")</f>
        <v/>
      </c>
    </row>
    <row r="510" ht="15.75" customHeight="1" s="14">
      <c r="A510" s="5" t="n"/>
      <c r="B510" s="5" t="n"/>
      <c r="I510" s="5">
        <f>IF(E510=MINIFS(E:E, A:A, A510), "Yes", "")</f>
        <v/>
      </c>
    </row>
    <row r="511" ht="15.75" customHeight="1" s="14">
      <c r="A511" s="5" t="n"/>
      <c r="B511" s="5" t="n"/>
      <c r="I511" s="5">
        <f>IF(E511=MINIFS(E:E, A:A, A511), "Yes", "")</f>
        <v/>
      </c>
    </row>
    <row r="512" ht="15.75" customHeight="1" s="14">
      <c r="A512" s="5" t="n"/>
      <c r="B512" s="5" t="n"/>
      <c r="I512" s="5">
        <f>IF(E512=MINIFS(E:E, A:A, A512), "Yes", "")</f>
        <v/>
      </c>
    </row>
    <row r="513" ht="15.75" customHeight="1" s="14">
      <c r="A513" s="5" t="n"/>
      <c r="B513" s="5" t="n"/>
      <c r="I513" s="5">
        <f>IF(E513=MINIFS(E:E, A:A, A513), "Yes", "")</f>
        <v/>
      </c>
    </row>
    <row r="514" ht="15.75" customHeight="1" s="14">
      <c r="A514" s="5" t="n"/>
      <c r="B514" s="5" t="n"/>
      <c r="I514" s="5">
        <f>IF(E514=MINIFS(E:E, A:A, A514), "Yes", "")</f>
        <v/>
      </c>
    </row>
    <row r="515" ht="15.75" customHeight="1" s="14">
      <c r="A515" s="5" t="n"/>
      <c r="B515" s="5" t="n"/>
      <c r="I515" s="5">
        <f>IF(E515=MINIFS(E:E, A:A, A515), "Yes", "")</f>
        <v/>
      </c>
    </row>
    <row r="516" ht="15.75" customHeight="1" s="14">
      <c r="A516" s="5" t="n"/>
      <c r="B516" s="5" t="n"/>
      <c r="I516" s="5">
        <f>IF(E516=MINIFS(E:E, A:A, A516), "Yes", "")</f>
        <v/>
      </c>
    </row>
    <row r="517" ht="15.75" customHeight="1" s="14">
      <c r="A517" s="5" t="n"/>
      <c r="B517" s="5" t="n"/>
      <c r="I517" s="5">
        <f>IF(E517=MINIFS(E:E, A:A, A517), "Yes", "")</f>
        <v/>
      </c>
    </row>
    <row r="518" ht="15.75" customHeight="1" s="14">
      <c r="A518" s="5" t="n"/>
      <c r="B518" s="5" t="n"/>
      <c r="I518" s="5">
        <f>IF(E518=MINIFS(E:E, A:A, A518), "Yes", "")</f>
        <v/>
      </c>
    </row>
    <row r="519" ht="15.75" customHeight="1" s="14">
      <c r="A519" s="5" t="n"/>
      <c r="B519" s="5" t="n"/>
      <c r="I519" s="5">
        <f>IF(E519=MINIFS(E:E, A:A, A519), "Yes", "")</f>
        <v/>
      </c>
    </row>
    <row r="520" ht="15.75" customHeight="1" s="14">
      <c r="A520" s="5" t="n"/>
      <c r="B520" s="5" t="n"/>
      <c r="I520" s="5">
        <f>IF(E520=MINIFS(E:E, A:A, A520), "Yes", "")</f>
        <v/>
      </c>
    </row>
    <row r="521" ht="15.75" customHeight="1" s="14">
      <c r="A521" s="5" t="n"/>
      <c r="B521" s="5" t="n"/>
      <c r="I521" s="5">
        <f>IF(E521=MINIFS(E:E, A:A, A521), "Yes", "")</f>
        <v/>
      </c>
    </row>
    <row r="522" ht="15.75" customHeight="1" s="14">
      <c r="A522" s="5" t="n"/>
      <c r="B522" s="5" t="n"/>
      <c r="I522" s="5">
        <f>IF(E522=MINIFS(E:E, A:A, A522), "Yes", "")</f>
        <v/>
      </c>
    </row>
    <row r="523" ht="15.75" customHeight="1" s="14">
      <c r="A523" s="5" t="n"/>
      <c r="B523" s="5" t="n"/>
      <c r="I523" s="5">
        <f>IF(E523=MINIFS(E:E, A:A, A523), "Yes", "")</f>
        <v/>
      </c>
    </row>
    <row r="524" ht="15.75" customHeight="1" s="14">
      <c r="A524" s="5" t="n"/>
      <c r="B524" s="5" t="n"/>
      <c r="I524" s="5">
        <f>IF(E524=MINIFS(E:E, A:A, A524), "Yes", "")</f>
        <v/>
      </c>
    </row>
    <row r="525" ht="15.75" customHeight="1" s="14">
      <c r="A525" s="5" t="n"/>
      <c r="B525" s="5" t="n"/>
      <c r="I525" s="5">
        <f>IF(E525=MINIFS(E:E, A:A, A525), "Yes", "")</f>
        <v/>
      </c>
    </row>
    <row r="526" ht="15.75" customHeight="1" s="14">
      <c r="A526" s="5" t="n"/>
      <c r="B526" s="5" t="n"/>
      <c r="I526" s="5">
        <f>IF(E526=MINIFS(E:E, A:A, A526), "Yes", "")</f>
        <v/>
      </c>
    </row>
    <row r="527" ht="15.75" customHeight="1" s="14">
      <c r="A527" s="5" t="n"/>
      <c r="B527" s="5" t="n"/>
      <c r="I527" s="5">
        <f>IF(E527=MINIFS(E:E, A:A, A527), "Yes", "")</f>
        <v/>
      </c>
    </row>
    <row r="528" ht="15.75" customHeight="1" s="14">
      <c r="A528" s="5" t="n"/>
      <c r="B528" s="5" t="n"/>
    </row>
    <row r="529" ht="15.75" customHeight="1" s="14">
      <c r="A529" s="5" t="n"/>
      <c r="B529" s="5" t="n"/>
    </row>
    <row r="530" ht="15.75" customHeight="1" s="14">
      <c r="A530" s="5" t="n"/>
      <c r="B530" s="5" t="n"/>
    </row>
    <row r="531" ht="15.75" customHeight="1" s="14">
      <c r="A531" s="5" t="n"/>
      <c r="B531" s="5" t="n"/>
    </row>
    <row r="532" ht="15.75" customHeight="1" s="14">
      <c r="A532" s="5" t="n"/>
      <c r="B532" s="5" t="n"/>
    </row>
    <row r="533" ht="15.75" customHeight="1" s="14">
      <c r="A533" s="5" t="n"/>
      <c r="B533" s="5" t="n"/>
    </row>
    <row r="534" ht="15.75" customHeight="1" s="14">
      <c r="A534" s="5" t="n"/>
      <c r="B534" s="5" t="n"/>
    </row>
    <row r="535" ht="15.75" customHeight="1" s="14">
      <c r="A535" s="5" t="n"/>
      <c r="B535" s="5" t="n"/>
    </row>
    <row r="536" ht="15.75" customHeight="1" s="14">
      <c r="A536" s="5" t="n"/>
      <c r="B536" s="5" t="n"/>
    </row>
    <row r="537" ht="15.75" customHeight="1" s="14">
      <c r="A537" s="5" t="n"/>
      <c r="B537" s="5" t="n"/>
    </row>
    <row r="538" ht="15.75" customHeight="1" s="14">
      <c r="A538" s="5" t="n"/>
      <c r="B538" s="5" t="n"/>
    </row>
    <row r="539" ht="15.75" customHeight="1" s="14">
      <c r="A539" s="5" t="n"/>
      <c r="B539" s="5" t="n"/>
    </row>
    <row r="540" ht="15.75" customHeight="1" s="14">
      <c r="A540" s="5" t="n"/>
      <c r="B540" s="5" t="n"/>
    </row>
    <row r="541" ht="15.75" customHeight="1" s="14">
      <c r="A541" s="5" t="n"/>
      <c r="B541" s="5" t="n"/>
    </row>
    <row r="542" ht="15.75" customHeight="1" s="14">
      <c r="A542" s="5" t="n"/>
      <c r="B542" s="5" t="n"/>
    </row>
    <row r="543" ht="15.75" customHeight="1" s="14">
      <c r="A543" s="5" t="n"/>
      <c r="B543" s="5" t="n"/>
    </row>
    <row r="544" ht="15.75" customHeight="1" s="14">
      <c r="A544" s="5" t="n"/>
      <c r="B544" s="5" t="n"/>
    </row>
    <row r="545" ht="15.75" customHeight="1" s="14">
      <c r="A545" s="5" t="n"/>
      <c r="B545" s="5" t="n"/>
    </row>
    <row r="546" ht="15.75" customHeight="1" s="14">
      <c r="A546" s="5" t="n"/>
      <c r="B546" s="5" t="n"/>
    </row>
    <row r="547" ht="15.75" customHeight="1" s="14">
      <c r="A547" s="5" t="n"/>
      <c r="B547" s="5" t="n"/>
    </row>
    <row r="548" ht="15.75" customHeight="1" s="14">
      <c r="A548" s="5" t="n"/>
      <c r="B548" s="5" t="n"/>
    </row>
    <row r="549" ht="15.75" customHeight="1" s="14">
      <c r="A549" s="5" t="n"/>
      <c r="B549" s="5" t="n"/>
    </row>
    <row r="550" ht="15.75" customHeight="1" s="14">
      <c r="A550" s="5" t="n"/>
      <c r="B550" s="5" t="n"/>
    </row>
    <row r="551" ht="15.75" customHeight="1" s="14">
      <c r="A551" s="5" t="n"/>
      <c r="B551" s="5" t="n"/>
    </row>
    <row r="552" ht="15.75" customHeight="1" s="14">
      <c r="A552" s="5" t="n"/>
      <c r="B552" s="5" t="n"/>
    </row>
    <row r="553" ht="15.75" customHeight="1" s="14">
      <c r="A553" s="5" t="n"/>
      <c r="B553" s="5" t="n"/>
    </row>
    <row r="554" ht="15.75" customHeight="1" s="14">
      <c r="A554" s="5" t="n"/>
      <c r="B554" s="5" t="n"/>
    </row>
    <row r="555" ht="15.75" customHeight="1" s="14">
      <c r="A555" s="5" t="n"/>
      <c r="B555" s="5" t="n"/>
    </row>
    <row r="556" ht="15.75" customHeight="1" s="14">
      <c r="A556" s="5" t="n"/>
      <c r="B556" s="5" t="n"/>
    </row>
    <row r="557" ht="15.75" customHeight="1" s="14">
      <c r="A557" s="5" t="n"/>
      <c r="B557" s="5" t="n"/>
    </row>
    <row r="558" ht="15.75" customHeight="1" s="14">
      <c r="A558" s="5" t="n"/>
      <c r="B558" s="5" t="n"/>
    </row>
    <row r="559" ht="15.75" customHeight="1" s="14">
      <c r="A559" s="5" t="n"/>
      <c r="B559" s="5" t="n"/>
    </row>
    <row r="560" ht="15.75" customHeight="1" s="14">
      <c r="A560" s="5" t="n"/>
      <c r="B560" s="5" t="n"/>
    </row>
    <row r="561" ht="15.75" customHeight="1" s="14">
      <c r="A561" s="5" t="n"/>
      <c r="B561" s="5" t="n"/>
    </row>
    <row r="562" ht="15.75" customHeight="1" s="14">
      <c r="A562" s="5" t="n"/>
      <c r="B562" s="5" t="n"/>
    </row>
    <row r="563" ht="15.75" customHeight="1" s="14">
      <c r="A563" s="5" t="n"/>
      <c r="B563" s="5" t="n"/>
    </row>
    <row r="564" ht="15.75" customHeight="1" s="14">
      <c r="A564" s="5" t="n"/>
      <c r="B564" s="5" t="n"/>
    </row>
    <row r="565" ht="15.75" customHeight="1" s="14">
      <c r="A565" s="5" t="n"/>
      <c r="B565" s="5" t="n"/>
    </row>
    <row r="566" ht="15.75" customHeight="1" s="14">
      <c r="A566" s="5" t="n"/>
      <c r="B566" s="5" t="n"/>
    </row>
    <row r="567" ht="15.75" customHeight="1" s="14">
      <c r="A567" s="5" t="n"/>
      <c r="B567" s="5" t="n"/>
    </row>
    <row r="568" ht="15.75" customHeight="1" s="14">
      <c r="A568" s="5" t="n"/>
      <c r="B568" s="5" t="n"/>
    </row>
    <row r="569" ht="15.75" customHeight="1" s="14">
      <c r="A569" s="5" t="n"/>
      <c r="B569" s="5" t="n"/>
    </row>
    <row r="570" ht="15.75" customHeight="1" s="14">
      <c r="A570" s="5" t="n"/>
      <c r="B570" s="5" t="n"/>
    </row>
    <row r="571" ht="15.75" customHeight="1" s="14">
      <c r="A571" s="5" t="n"/>
      <c r="B571" s="5" t="n"/>
    </row>
    <row r="572" ht="15.75" customHeight="1" s="14">
      <c r="A572" s="5" t="n"/>
      <c r="B572" s="5" t="n"/>
    </row>
    <row r="573" ht="15.75" customHeight="1" s="14">
      <c r="A573" s="5" t="n"/>
      <c r="B573" s="5" t="n"/>
    </row>
    <row r="574" ht="15.75" customHeight="1" s="14">
      <c r="A574" s="5" t="n"/>
      <c r="B574" s="5" t="n"/>
    </row>
    <row r="575" ht="15.75" customHeight="1" s="14">
      <c r="A575" s="5" t="n"/>
      <c r="B575" s="5" t="n"/>
    </row>
    <row r="576" ht="15.75" customHeight="1" s="14">
      <c r="A576" s="5" t="n"/>
      <c r="B576" s="5" t="n"/>
    </row>
    <row r="577" ht="15.75" customHeight="1" s="14">
      <c r="A577" s="5" t="n"/>
      <c r="B577" s="5" t="n"/>
    </row>
    <row r="578" ht="15.75" customHeight="1" s="14">
      <c r="A578" s="5" t="n"/>
      <c r="B578" s="5" t="n"/>
    </row>
    <row r="579" ht="15.75" customHeight="1" s="14">
      <c r="A579" s="5" t="n"/>
      <c r="B579" s="5" t="n"/>
    </row>
    <row r="580" ht="15.75" customHeight="1" s="14">
      <c r="A580" s="5" t="n"/>
      <c r="B580" s="5" t="n"/>
    </row>
    <row r="581" ht="15.75" customHeight="1" s="14">
      <c r="A581" s="5" t="n"/>
      <c r="B581" s="5" t="n"/>
    </row>
    <row r="582" ht="15.75" customHeight="1" s="14">
      <c r="A582" s="5" t="n"/>
      <c r="B582" s="5" t="n"/>
    </row>
    <row r="583" ht="15.75" customHeight="1" s="14">
      <c r="A583" s="5" t="n"/>
      <c r="B583" s="5" t="n"/>
    </row>
    <row r="584" ht="15.75" customHeight="1" s="14">
      <c r="A584" s="5" t="n"/>
      <c r="B584" s="5" t="n"/>
    </row>
    <row r="585" ht="15.75" customHeight="1" s="14">
      <c r="A585" s="5" t="n"/>
      <c r="B585" s="5" t="n"/>
    </row>
    <row r="586" ht="15.75" customHeight="1" s="14">
      <c r="A586" s="5" t="n"/>
      <c r="B586" s="5" t="n"/>
    </row>
    <row r="587" ht="15.75" customHeight="1" s="14">
      <c r="A587" s="5" t="n"/>
      <c r="B587" s="5" t="n"/>
    </row>
    <row r="588" ht="15.75" customHeight="1" s="14">
      <c r="A588" s="5" t="n"/>
      <c r="B588" s="5" t="n"/>
    </row>
    <row r="589" ht="15.75" customHeight="1" s="14">
      <c r="A589" s="5" t="n"/>
      <c r="B589" s="5" t="n"/>
    </row>
    <row r="590" ht="15.75" customHeight="1" s="14">
      <c r="A590" s="5" t="n"/>
      <c r="B590" s="5" t="n"/>
    </row>
    <row r="591" ht="15.75" customHeight="1" s="14">
      <c r="A591" s="5" t="n"/>
      <c r="B591" s="5" t="n"/>
    </row>
    <row r="592" ht="15.75" customHeight="1" s="14">
      <c r="A592" s="5" t="n"/>
      <c r="B592" s="5" t="n"/>
    </row>
    <row r="593" ht="15.75" customHeight="1" s="14">
      <c r="A593" s="5" t="n"/>
      <c r="B593" s="5" t="n"/>
    </row>
    <row r="594" ht="15.75" customHeight="1" s="14">
      <c r="A594" s="5" t="n"/>
      <c r="B594" s="5" t="n"/>
    </row>
    <row r="595" ht="15.75" customHeight="1" s="14">
      <c r="A595" s="5" t="n"/>
      <c r="B595" s="5" t="n"/>
    </row>
    <row r="596" ht="15.75" customHeight="1" s="14">
      <c r="A596" s="5" t="n"/>
      <c r="B596" s="5" t="n"/>
    </row>
    <row r="597" ht="15.75" customHeight="1" s="14">
      <c r="A597" s="5" t="n"/>
      <c r="B597" s="5" t="n"/>
    </row>
    <row r="598" ht="15.75" customHeight="1" s="14">
      <c r="A598" s="5" t="n"/>
      <c r="B598" s="5" t="n"/>
    </row>
    <row r="599" ht="15.75" customHeight="1" s="14">
      <c r="A599" s="5" t="n"/>
      <c r="B599" s="5" t="n"/>
    </row>
    <row r="600" ht="15.75" customHeight="1" s="14">
      <c r="A600" s="5" t="n"/>
      <c r="B600" s="5" t="n"/>
    </row>
    <row r="601" ht="15.75" customHeight="1" s="14">
      <c r="A601" s="5" t="n"/>
      <c r="B601" s="5" t="n"/>
    </row>
    <row r="602" ht="15.75" customHeight="1" s="14">
      <c r="A602" s="5" t="n"/>
      <c r="B602" s="5" t="n"/>
    </row>
    <row r="603" ht="15.75" customHeight="1" s="14">
      <c r="A603" s="5" t="n"/>
      <c r="B603" s="5" t="n"/>
    </row>
    <row r="604" ht="15.75" customHeight="1" s="14">
      <c r="A604" s="5" t="n"/>
      <c r="B604" s="5" t="n"/>
    </row>
    <row r="605" ht="15.75" customHeight="1" s="14">
      <c r="A605" s="5" t="n"/>
      <c r="B605" s="5" t="n"/>
    </row>
    <row r="606" ht="15.75" customHeight="1" s="14">
      <c r="A606" s="5" t="n"/>
      <c r="B606" s="5" t="n"/>
    </row>
    <row r="607" ht="15.75" customHeight="1" s="14">
      <c r="A607" s="5" t="n"/>
      <c r="B607" s="5" t="n"/>
    </row>
    <row r="608" ht="15.75" customHeight="1" s="14">
      <c r="A608" s="5" t="n"/>
      <c r="B608" s="5" t="n"/>
    </row>
    <row r="609" ht="15.75" customHeight="1" s="14">
      <c r="A609" s="5" t="n"/>
      <c r="B609" s="5" t="n"/>
    </row>
    <row r="610" ht="15.75" customHeight="1" s="14">
      <c r="A610" s="5" t="n"/>
      <c r="B610" s="5" t="n"/>
    </row>
    <row r="611" ht="15.75" customHeight="1" s="14">
      <c r="A611" s="5" t="n"/>
      <c r="B611" s="5" t="n"/>
    </row>
    <row r="612" ht="15.75" customHeight="1" s="14">
      <c r="A612" s="5" t="n"/>
      <c r="B612" s="5" t="n"/>
    </row>
    <row r="613" ht="15.75" customHeight="1" s="14">
      <c r="A613" s="5" t="n"/>
      <c r="B613" s="5" t="n"/>
    </row>
    <row r="614" ht="15.75" customHeight="1" s="14">
      <c r="A614" s="5" t="n"/>
      <c r="B614" s="5" t="n"/>
    </row>
    <row r="615" ht="15.75" customHeight="1" s="14">
      <c r="A615" s="5" t="n"/>
      <c r="B615" s="5" t="n"/>
    </row>
    <row r="616" ht="15.75" customHeight="1" s="14">
      <c r="A616" s="5" t="n"/>
      <c r="B616" s="5" t="n"/>
    </row>
    <row r="617" ht="15.75" customHeight="1" s="14">
      <c r="A617" s="5" t="n"/>
      <c r="B617" s="5" t="n"/>
    </row>
    <row r="618" ht="15.75" customHeight="1" s="14">
      <c r="A618" s="5" t="n"/>
      <c r="B618" s="5" t="n"/>
    </row>
    <row r="619" ht="15.75" customHeight="1" s="14">
      <c r="A619" s="5" t="n"/>
      <c r="B619" s="5" t="n"/>
    </row>
    <row r="620" ht="15.75" customHeight="1" s="14">
      <c r="A620" s="5" t="n"/>
      <c r="B620" s="5" t="n"/>
    </row>
    <row r="621" ht="15.75" customHeight="1" s="14">
      <c r="A621" s="5" t="n"/>
      <c r="B621" s="5" t="n"/>
    </row>
    <row r="622" ht="15.75" customHeight="1" s="14">
      <c r="A622" s="5" t="n"/>
      <c r="B622" s="5" t="n"/>
    </row>
    <row r="623" ht="15.75" customHeight="1" s="14">
      <c r="A623" s="5" t="n"/>
      <c r="B623" s="5" t="n"/>
    </row>
    <row r="624" ht="15.75" customHeight="1" s="14">
      <c r="A624" s="5" t="n"/>
      <c r="B624" s="5" t="n"/>
    </row>
    <row r="625" ht="15.75" customHeight="1" s="14">
      <c r="A625" s="5" t="n"/>
      <c r="B625" s="5" t="n"/>
    </row>
    <row r="626" ht="15.75" customHeight="1" s="14">
      <c r="A626" s="5" t="n"/>
      <c r="B626" s="5" t="n"/>
    </row>
    <row r="627" ht="15.75" customHeight="1" s="14">
      <c r="A627" s="5" t="n"/>
      <c r="B627" s="5" t="n"/>
    </row>
    <row r="628" ht="15.75" customHeight="1" s="14">
      <c r="A628" s="5" t="n"/>
      <c r="B628" s="5" t="n"/>
    </row>
    <row r="629" ht="15.75" customHeight="1" s="14">
      <c r="A629" s="5" t="n"/>
      <c r="B629" s="5" t="n"/>
    </row>
    <row r="630" ht="15.75" customHeight="1" s="14">
      <c r="A630" s="5" t="n"/>
      <c r="B630" s="5" t="n"/>
    </row>
    <row r="631" ht="15.75" customHeight="1" s="14">
      <c r="A631" s="5" t="n"/>
      <c r="B631" s="5" t="n"/>
    </row>
    <row r="632" ht="15.75" customHeight="1" s="14">
      <c r="A632" s="5" t="n"/>
      <c r="B632" s="5" t="n"/>
    </row>
    <row r="633" ht="15.75" customHeight="1" s="14">
      <c r="A633" s="5" t="n"/>
      <c r="B633" s="5" t="n"/>
    </row>
    <row r="634" ht="15.75" customHeight="1" s="14">
      <c r="A634" s="5" t="n"/>
      <c r="B634" s="5" t="n"/>
    </row>
    <row r="635" ht="15.75" customHeight="1" s="14">
      <c r="A635" s="5" t="n"/>
      <c r="B635" s="5" t="n"/>
    </row>
    <row r="636" ht="15.75" customHeight="1" s="14">
      <c r="A636" s="5" t="n"/>
      <c r="B636" s="5" t="n"/>
    </row>
    <row r="637" ht="15.75" customHeight="1" s="14">
      <c r="A637" s="5" t="n"/>
      <c r="B637" s="5" t="n"/>
    </row>
    <row r="638" ht="15.75" customHeight="1" s="14">
      <c r="A638" s="5" t="n"/>
      <c r="B638" s="5" t="n"/>
    </row>
    <row r="639" ht="15.75" customHeight="1" s="14">
      <c r="A639" s="5" t="n"/>
      <c r="B639" s="5" t="n"/>
    </row>
    <row r="640" ht="15.75" customHeight="1" s="14">
      <c r="A640" s="5" t="n"/>
      <c r="B640" s="5" t="n"/>
    </row>
    <row r="641" ht="15.75" customHeight="1" s="14">
      <c r="A641" s="5" t="n"/>
      <c r="B641" s="5" t="n"/>
    </row>
    <row r="642" ht="15.75" customHeight="1" s="14">
      <c r="A642" s="5" t="n"/>
      <c r="B642" s="5" t="n"/>
    </row>
    <row r="643" ht="15.75" customHeight="1" s="14">
      <c r="A643" s="5" t="n"/>
      <c r="B643" s="5" t="n"/>
    </row>
    <row r="644" ht="15.75" customHeight="1" s="14">
      <c r="A644" s="5" t="n"/>
      <c r="B644" s="5" t="n"/>
    </row>
    <row r="645" ht="15.75" customHeight="1" s="14">
      <c r="A645" s="5" t="n"/>
      <c r="B645" s="5" t="n"/>
    </row>
    <row r="646" ht="15.75" customHeight="1" s="14">
      <c r="A646" s="5" t="n"/>
      <c r="B646" s="5" t="n"/>
    </row>
    <row r="647" ht="15.75" customHeight="1" s="14">
      <c r="A647" s="5" t="n"/>
      <c r="B647" s="5" t="n"/>
    </row>
    <row r="648" ht="15.75" customHeight="1" s="14">
      <c r="A648" s="5" t="n"/>
      <c r="B648" s="5" t="n"/>
    </row>
    <row r="649" ht="15.75" customHeight="1" s="14">
      <c r="A649" s="5" t="n"/>
      <c r="B649" s="5" t="n"/>
    </row>
    <row r="650" ht="15.75" customHeight="1" s="14">
      <c r="A650" s="5" t="n"/>
      <c r="B650" s="5" t="n"/>
    </row>
    <row r="651" ht="15.75" customHeight="1" s="14">
      <c r="A651" s="5" t="n"/>
      <c r="B651" s="5" t="n"/>
    </row>
    <row r="652" ht="15.75" customHeight="1" s="14">
      <c r="A652" s="5" t="n"/>
      <c r="B652" s="5" t="n"/>
    </row>
    <row r="653" ht="15.75" customHeight="1" s="14">
      <c r="A653" s="5" t="n"/>
      <c r="B653" s="5" t="n"/>
    </row>
    <row r="654" ht="15.75" customHeight="1" s="14">
      <c r="A654" s="5" t="n"/>
      <c r="B654" s="5" t="n"/>
    </row>
    <row r="655" ht="15.75" customHeight="1" s="14">
      <c r="A655" s="5" t="n"/>
      <c r="B655" s="5" t="n"/>
    </row>
    <row r="656" ht="15.75" customHeight="1" s="14">
      <c r="A656" s="5" t="n"/>
      <c r="B656" s="5" t="n"/>
    </row>
    <row r="657" ht="15.75" customHeight="1" s="14">
      <c r="A657" s="5" t="n"/>
      <c r="B657" s="5" t="n"/>
    </row>
    <row r="658" ht="15.75" customHeight="1" s="14">
      <c r="A658" s="5" t="n"/>
      <c r="B658" s="5" t="n"/>
    </row>
    <row r="659" ht="15.75" customHeight="1" s="14">
      <c r="A659" s="5" t="n"/>
      <c r="B659" s="5" t="n"/>
    </row>
    <row r="660" ht="15.75" customHeight="1" s="14">
      <c r="A660" s="5" t="n"/>
      <c r="B660" s="5" t="n"/>
    </row>
    <row r="661" ht="15.75" customHeight="1" s="14">
      <c r="A661" s="5" t="n"/>
      <c r="B661" s="5" t="n"/>
    </row>
    <row r="662" ht="15.75" customHeight="1" s="14">
      <c r="A662" s="5" t="n"/>
      <c r="B662" s="5" t="n"/>
    </row>
    <row r="663" ht="15.75" customHeight="1" s="14">
      <c r="A663" s="5" t="n"/>
      <c r="B663" s="5" t="n"/>
    </row>
    <row r="664" ht="15.75" customHeight="1" s="14">
      <c r="A664" s="5" t="n"/>
      <c r="B664" s="5" t="n"/>
    </row>
    <row r="665" ht="15.75" customHeight="1" s="14">
      <c r="A665" s="5" t="n"/>
      <c r="B665" s="5" t="n"/>
    </row>
    <row r="666" ht="15.75" customHeight="1" s="14">
      <c r="A666" s="5" t="n"/>
      <c r="B666" s="5" t="n"/>
    </row>
    <row r="667" ht="15.75" customHeight="1" s="14">
      <c r="A667" s="5" t="n"/>
      <c r="B667" s="5" t="n"/>
    </row>
    <row r="668" ht="15.75" customHeight="1" s="14">
      <c r="A668" s="5" t="n"/>
      <c r="B668" s="5" t="n"/>
    </row>
    <row r="669" ht="15.75" customHeight="1" s="14">
      <c r="A669" s="5" t="n"/>
      <c r="B669" s="5" t="n"/>
    </row>
    <row r="670" ht="15.75" customHeight="1" s="14">
      <c r="A670" s="5" t="n"/>
      <c r="B670" s="5" t="n"/>
    </row>
    <row r="671" ht="15.75" customHeight="1" s="14">
      <c r="A671" s="5" t="n"/>
      <c r="B671" s="5" t="n"/>
    </row>
    <row r="672" ht="15.75" customHeight="1" s="14">
      <c r="A672" s="5" t="n"/>
      <c r="B672" s="5" t="n"/>
    </row>
    <row r="673" ht="15.75" customHeight="1" s="14">
      <c r="A673" s="5" t="n"/>
      <c r="B673" s="5" t="n"/>
    </row>
    <row r="674" ht="15.75" customHeight="1" s="14">
      <c r="A674" s="5" t="n"/>
      <c r="B674" s="5" t="n"/>
    </row>
    <row r="675" ht="15.75" customHeight="1" s="14">
      <c r="A675" s="5" t="n"/>
      <c r="B675" s="5" t="n"/>
    </row>
    <row r="676" ht="15.75" customHeight="1" s="14">
      <c r="A676" s="5" t="n"/>
      <c r="B676" s="5" t="n"/>
    </row>
    <row r="677" ht="15.75" customHeight="1" s="14">
      <c r="A677" s="5" t="n"/>
      <c r="B677" s="5" t="n"/>
    </row>
    <row r="678" ht="15.75" customHeight="1" s="14">
      <c r="A678" s="5" t="n"/>
      <c r="B678" s="5" t="n"/>
    </row>
    <row r="679" ht="15.75" customHeight="1" s="14">
      <c r="A679" s="5" t="n"/>
      <c r="B679" s="5" t="n"/>
    </row>
    <row r="680" ht="15.75" customHeight="1" s="14">
      <c r="A680" s="5" t="n"/>
      <c r="B680" s="5" t="n"/>
    </row>
    <row r="681" ht="15.75" customHeight="1" s="14">
      <c r="A681" s="5" t="n"/>
      <c r="B681" s="5" t="n"/>
    </row>
    <row r="682" ht="15.75" customHeight="1" s="14">
      <c r="A682" s="5" t="n"/>
      <c r="B682" s="5" t="n"/>
    </row>
    <row r="683" ht="15.75" customHeight="1" s="14">
      <c r="A683" s="5" t="n"/>
      <c r="B683" s="5" t="n"/>
    </row>
    <row r="684" ht="15.75" customHeight="1" s="14">
      <c r="A684" s="5" t="n"/>
      <c r="B684" s="5" t="n"/>
    </row>
    <row r="685" ht="15.75" customHeight="1" s="14">
      <c r="A685" s="5" t="n"/>
      <c r="B685" s="5" t="n"/>
    </row>
    <row r="686" ht="15.75" customHeight="1" s="14">
      <c r="A686" s="5" t="n"/>
      <c r="B686" s="5" t="n"/>
    </row>
    <row r="687" ht="15.75" customHeight="1" s="14">
      <c r="A687" s="5" t="n"/>
      <c r="B687" s="5" t="n"/>
    </row>
    <row r="688" ht="15.75" customHeight="1" s="14">
      <c r="A688" s="5" t="n"/>
      <c r="B688" s="5" t="n"/>
    </row>
    <row r="689" ht="15.75" customHeight="1" s="14">
      <c r="A689" s="5" t="n"/>
      <c r="B689" s="5" t="n"/>
    </row>
    <row r="690" ht="15.75" customHeight="1" s="14">
      <c r="A690" s="5" t="n"/>
      <c r="B690" s="5" t="n"/>
    </row>
    <row r="691" ht="15.75" customHeight="1" s="14">
      <c r="A691" s="5" t="n"/>
      <c r="B691" s="5" t="n"/>
    </row>
    <row r="692" ht="15.75" customHeight="1" s="14">
      <c r="A692" s="5" t="n"/>
      <c r="B692" s="5" t="n"/>
    </row>
    <row r="693" ht="15.75" customHeight="1" s="14">
      <c r="A693" s="5" t="n"/>
      <c r="B693" s="5" t="n"/>
    </row>
    <row r="694" ht="15.75" customHeight="1" s="14">
      <c r="A694" s="5" t="n"/>
      <c r="B694" s="5" t="n"/>
    </row>
    <row r="695" ht="15.75" customHeight="1" s="14">
      <c r="A695" s="5" t="n"/>
      <c r="B695" s="5" t="n"/>
    </row>
    <row r="696" ht="15.75" customHeight="1" s="14">
      <c r="A696" s="5" t="n"/>
      <c r="B696" s="5" t="n"/>
    </row>
    <row r="697" ht="15.75" customHeight="1" s="14">
      <c r="A697" s="5" t="n"/>
      <c r="B697" s="5" t="n"/>
    </row>
    <row r="698" ht="15.75" customHeight="1" s="14">
      <c r="A698" s="5" t="n"/>
      <c r="B698" s="5" t="n"/>
    </row>
    <row r="699" ht="15.75" customHeight="1" s="14">
      <c r="A699" s="5" t="n"/>
      <c r="B699" s="5" t="n"/>
    </row>
    <row r="700" ht="15.75" customHeight="1" s="14">
      <c r="A700" s="5" t="n"/>
      <c r="B700" s="5" t="n"/>
    </row>
    <row r="701" ht="15.75" customHeight="1" s="14">
      <c r="A701" s="5" t="n"/>
      <c r="B701" s="5" t="n"/>
    </row>
    <row r="702" ht="15.75" customHeight="1" s="14">
      <c r="A702" s="5" t="n"/>
      <c r="B702" s="5" t="n"/>
    </row>
    <row r="703" ht="15.75" customHeight="1" s="14">
      <c r="A703" s="5" t="n"/>
      <c r="B703" s="5" t="n"/>
    </row>
    <row r="704" ht="15.75" customHeight="1" s="14">
      <c r="A704" s="5" t="n"/>
      <c r="B704" s="5" t="n"/>
    </row>
    <row r="705" ht="15.75" customHeight="1" s="14">
      <c r="A705" s="5" t="n"/>
      <c r="B705" s="5" t="n"/>
    </row>
    <row r="706" ht="15.75" customHeight="1" s="14">
      <c r="A706" s="5" t="n"/>
      <c r="B706" s="5" t="n"/>
    </row>
    <row r="707" ht="15.75" customHeight="1" s="14">
      <c r="A707" s="5" t="n"/>
      <c r="B707" s="5" t="n"/>
    </row>
    <row r="708" ht="15.75" customHeight="1" s="14">
      <c r="A708" s="5" t="n"/>
      <c r="B708" s="5" t="n"/>
    </row>
    <row r="709" ht="15.75" customHeight="1" s="14">
      <c r="A709" s="5" t="n"/>
      <c r="B709" s="5" t="n"/>
    </row>
    <row r="710" ht="15.75" customHeight="1" s="14">
      <c r="A710" s="5" t="n"/>
      <c r="B710" s="5" t="n"/>
    </row>
    <row r="711" ht="15.75" customHeight="1" s="14">
      <c r="A711" s="5" t="n"/>
      <c r="B711" s="5" t="n"/>
    </row>
    <row r="712" ht="15.75" customHeight="1" s="14">
      <c r="A712" s="5" t="n"/>
      <c r="B712" s="5" t="n"/>
    </row>
    <row r="713" ht="15.75" customHeight="1" s="14">
      <c r="A713" s="5" t="n"/>
      <c r="B713" s="5" t="n"/>
    </row>
    <row r="714" ht="15.75" customHeight="1" s="14">
      <c r="A714" s="5" t="n"/>
      <c r="B714" s="5" t="n"/>
    </row>
    <row r="715" ht="15.75" customHeight="1" s="14">
      <c r="A715" s="5" t="n"/>
      <c r="B715" s="5" t="n"/>
    </row>
    <row r="716" ht="15.75" customHeight="1" s="14">
      <c r="A716" s="5" t="n"/>
      <c r="B716" s="5" t="n"/>
    </row>
    <row r="717" ht="15.75" customHeight="1" s="14">
      <c r="A717" s="5" t="n"/>
      <c r="B717" s="5" t="n"/>
    </row>
    <row r="718" ht="15.75" customHeight="1" s="14">
      <c r="A718" s="5" t="n"/>
      <c r="B718" s="5" t="n"/>
    </row>
    <row r="719" ht="15.75" customHeight="1" s="14">
      <c r="A719" s="5" t="n"/>
      <c r="B719" s="5" t="n"/>
    </row>
    <row r="720" ht="15.75" customHeight="1" s="14">
      <c r="A720" s="5" t="n"/>
      <c r="B720" s="5" t="n"/>
    </row>
    <row r="721" ht="15.75" customHeight="1" s="14">
      <c r="A721" s="5" t="n"/>
      <c r="B721" s="5" t="n"/>
    </row>
    <row r="722" ht="15.75" customHeight="1" s="14">
      <c r="A722" s="5" t="n"/>
      <c r="B722" s="5" t="n"/>
    </row>
    <row r="723" ht="15.75" customHeight="1" s="14">
      <c r="A723" s="5" t="n"/>
      <c r="B723" s="5" t="n"/>
    </row>
    <row r="724" ht="15.75" customHeight="1" s="14">
      <c r="A724" s="5" t="n"/>
      <c r="B724" s="5" t="n"/>
    </row>
    <row r="725" ht="15.75" customHeight="1" s="14">
      <c r="A725" s="5" t="n"/>
      <c r="B725" s="5" t="n"/>
    </row>
    <row r="726" ht="15.75" customHeight="1" s="14">
      <c r="A726" s="5" t="n"/>
      <c r="B726" s="5" t="n"/>
    </row>
    <row r="727" ht="15.75" customHeight="1" s="14">
      <c r="A727" s="5" t="n"/>
      <c r="B727" s="5" t="n"/>
    </row>
    <row r="728" ht="15.75" customHeight="1" s="14">
      <c r="A728" s="9" t="n"/>
      <c r="B728" s="9" t="n"/>
    </row>
    <row r="729" ht="15.75" customHeight="1" s="14">
      <c r="A729" s="9" t="n"/>
      <c r="B729" s="9" t="n"/>
    </row>
    <row r="730" ht="15.75" customHeight="1" s="14">
      <c r="A730" s="9" t="n"/>
      <c r="B730" s="9" t="n"/>
    </row>
    <row r="731" ht="15.75" customHeight="1" s="14">
      <c r="A731" s="9" t="n"/>
      <c r="B731" s="9" t="n"/>
    </row>
    <row r="732" ht="15.75" customHeight="1" s="14">
      <c r="A732" s="9" t="n"/>
      <c r="B732" s="9" t="n"/>
    </row>
    <row r="733" ht="15.75" customHeight="1" s="14">
      <c r="A733" s="9" t="n"/>
      <c r="B733" s="9" t="n"/>
    </row>
    <row r="734" ht="15.75" customHeight="1" s="14">
      <c r="A734" s="9" t="n"/>
      <c r="B734" s="9" t="n"/>
    </row>
    <row r="735" ht="15.75" customHeight="1" s="14">
      <c r="A735" s="9" t="n"/>
      <c r="B735" s="9" t="n"/>
    </row>
    <row r="736" ht="15.75" customHeight="1" s="14">
      <c r="A736" s="9" t="n"/>
      <c r="B736" s="9" t="n"/>
    </row>
    <row r="737" ht="15.75" customHeight="1" s="14">
      <c r="A737" s="9" t="n"/>
      <c r="B737" s="9" t="n"/>
    </row>
    <row r="738" ht="15.75" customHeight="1" s="14">
      <c r="A738" s="9" t="n"/>
      <c r="B738" s="9" t="n"/>
    </row>
    <row r="739" ht="15.75" customHeight="1" s="14">
      <c r="A739" s="9" t="n"/>
      <c r="B739" s="9" t="n"/>
    </row>
    <row r="740" ht="15.75" customHeight="1" s="14">
      <c r="A740" s="9" t="n"/>
      <c r="B740" s="9" t="n"/>
    </row>
    <row r="741" ht="15.75" customHeight="1" s="14">
      <c r="A741" s="9" t="n"/>
      <c r="B741" s="9" t="n"/>
    </row>
    <row r="742" ht="15.75" customHeight="1" s="14">
      <c r="A742" s="9" t="n"/>
      <c r="B742" s="9" t="n"/>
    </row>
    <row r="743" ht="15.75" customHeight="1" s="14">
      <c r="A743" s="9" t="n"/>
      <c r="B743" s="9" t="n"/>
    </row>
    <row r="744" ht="15.75" customHeight="1" s="14">
      <c r="A744" s="9" t="n"/>
      <c r="B744" s="9" t="n"/>
    </row>
    <row r="745" ht="15.75" customHeight="1" s="14">
      <c r="A745" s="9" t="n"/>
      <c r="B745" s="9" t="n"/>
    </row>
    <row r="746" ht="15.75" customHeight="1" s="14">
      <c r="A746" s="9" t="n"/>
      <c r="B746" s="9" t="n"/>
    </row>
    <row r="747" ht="15.75" customHeight="1" s="14">
      <c r="A747" s="9" t="n"/>
      <c r="B747" s="9" t="n"/>
    </row>
    <row r="748" ht="15.75" customHeight="1" s="14">
      <c r="A748" s="9" t="n"/>
      <c r="B748" s="9" t="n"/>
    </row>
    <row r="749" ht="15.75" customHeight="1" s="14">
      <c r="A749" s="9" t="n"/>
      <c r="B749" s="9" t="n"/>
    </row>
    <row r="750" ht="15.75" customHeight="1" s="14">
      <c r="A750" s="9" t="n"/>
      <c r="B750" s="9" t="n"/>
    </row>
    <row r="751" ht="15.75" customHeight="1" s="14">
      <c r="A751" s="9" t="n"/>
      <c r="B751" s="9" t="n"/>
    </row>
    <row r="752" ht="15.75" customHeight="1" s="14">
      <c r="A752" s="9" t="n"/>
      <c r="B752" s="9" t="n"/>
    </row>
    <row r="753" ht="15.75" customHeight="1" s="14">
      <c r="A753" s="9" t="n"/>
      <c r="B753" s="9" t="n"/>
    </row>
    <row r="754" ht="15.75" customHeight="1" s="14">
      <c r="A754" s="9" t="n"/>
      <c r="B754" s="9" t="n"/>
    </row>
    <row r="755" ht="15.75" customHeight="1" s="14">
      <c r="A755" s="9" t="n"/>
      <c r="B755" s="9" t="n"/>
    </row>
    <row r="756" ht="15.75" customHeight="1" s="14">
      <c r="A756" s="9" t="n"/>
      <c r="B756" s="9" t="n"/>
    </row>
    <row r="757" ht="15.75" customHeight="1" s="14">
      <c r="A757" s="9" t="n"/>
      <c r="B757" s="9" t="n"/>
    </row>
    <row r="758" ht="15.75" customHeight="1" s="14">
      <c r="A758" s="9" t="n"/>
      <c r="B758" s="9" t="n"/>
    </row>
    <row r="759" ht="15.75" customHeight="1" s="14">
      <c r="A759" s="9" t="n"/>
      <c r="B759" s="9" t="n"/>
    </row>
    <row r="760" ht="15.75" customHeight="1" s="14">
      <c r="A760" s="9" t="n"/>
      <c r="B760" s="9" t="n"/>
    </row>
    <row r="761" ht="15.75" customHeight="1" s="14">
      <c r="A761" s="9" t="n"/>
      <c r="B761" s="9" t="n"/>
    </row>
    <row r="762" ht="15.75" customHeight="1" s="14">
      <c r="A762" s="9" t="n"/>
      <c r="B762" s="9" t="n"/>
    </row>
    <row r="763" ht="15.75" customHeight="1" s="14">
      <c r="A763" s="9" t="n"/>
      <c r="B763" s="9" t="n"/>
    </row>
    <row r="764" ht="15.75" customHeight="1" s="14">
      <c r="A764" s="9" t="n"/>
      <c r="B764" s="9" t="n"/>
    </row>
    <row r="765" ht="15.75" customHeight="1" s="14">
      <c r="A765" s="9" t="n"/>
      <c r="B765" s="9" t="n"/>
    </row>
    <row r="766" ht="15.75" customHeight="1" s="14">
      <c r="A766" s="9" t="n"/>
      <c r="B766" s="9" t="n"/>
    </row>
    <row r="767" ht="15.75" customHeight="1" s="14">
      <c r="A767" s="9" t="n"/>
      <c r="B767" s="9" t="n"/>
    </row>
    <row r="768" ht="15.75" customHeight="1" s="14">
      <c r="A768" s="9" t="n"/>
      <c r="B768" s="9" t="n"/>
    </row>
    <row r="769" ht="15.75" customHeight="1" s="14">
      <c r="A769" s="9" t="n"/>
      <c r="B769" s="9" t="n"/>
    </row>
    <row r="770" ht="15.75" customHeight="1" s="14">
      <c r="A770" s="9" t="n"/>
      <c r="B770" s="9" t="n"/>
    </row>
    <row r="771" ht="15.75" customHeight="1" s="14">
      <c r="A771" s="9" t="n"/>
      <c r="B771" s="9" t="n"/>
    </row>
    <row r="772" ht="15.75" customHeight="1" s="14">
      <c r="A772" s="9" t="n"/>
      <c r="B772" s="9" t="n"/>
    </row>
    <row r="773" ht="15.75" customHeight="1" s="14">
      <c r="A773" s="9" t="n"/>
      <c r="B773" s="9" t="n"/>
    </row>
    <row r="774" ht="15.75" customHeight="1" s="14">
      <c r="A774" s="9" t="n"/>
      <c r="B774" s="9" t="n"/>
    </row>
    <row r="775" ht="15.75" customHeight="1" s="14">
      <c r="A775" s="9" t="n"/>
      <c r="B775" s="9" t="n"/>
    </row>
    <row r="776" ht="15.75" customHeight="1" s="14">
      <c r="A776" s="9" t="n"/>
      <c r="B776" s="9" t="n"/>
    </row>
    <row r="777" ht="15.75" customHeight="1" s="14">
      <c r="A777" s="9" t="n"/>
      <c r="B777" s="9" t="n"/>
    </row>
    <row r="778" ht="15.75" customHeight="1" s="14">
      <c r="A778" s="9" t="n"/>
      <c r="B778" s="9" t="n"/>
    </row>
    <row r="779" ht="15.75" customHeight="1" s="14">
      <c r="A779" s="9" t="n"/>
      <c r="B779" s="9" t="n"/>
    </row>
    <row r="780" ht="15.75" customHeight="1" s="14">
      <c r="A780" s="9" t="n"/>
      <c r="B780" s="9" t="n"/>
    </row>
    <row r="781" ht="15.75" customHeight="1" s="14">
      <c r="A781" s="9" t="n"/>
      <c r="B781" s="9" t="n"/>
    </row>
    <row r="782" ht="15.75" customHeight="1" s="14">
      <c r="A782" s="9" t="n"/>
      <c r="B782" s="9" t="n"/>
    </row>
    <row r="783" ht="15.75" customHeight="1" s="14">
      <c r="A783" s="9" t="n"/>
      <c r="B783" s="9" t="n"/>
    </row>
    <row r="784" ht="15.75" customHeight="1" s="14">
      <c r="A784" s="9" t="n"/>
      <c r="B784" s="9" t="n"/>
    </row>
    <row r="785" ht="15.75" customHeight="1" s="14">
      <c r="A785" s="9" t="n"/>
      <c r="B785" s="9" t="n"/>
    </row>
    <row r="786" ht="15.75" customHeight="1" s="14">
      <c r="A786" s="9" t="n"/>
      <c r="B786" s="9" t="n"/>
    </row>
    <row r="787" ht="15.75" customHeight="1" s="14">
      <c r="A787" s="9" t="n"/>
      <c r="B787" s="9" t="n"/>
    </row>
    <row r="788" ht="15.75" customHeight="1" s="14">
      <c r="A788" s="9" t="n"/>
      <c r="B788" s="9" t="n"/>
    </row>
    <row r="789" ht="15.75" customHeight="1" s="14">
      <c r="A789" s="9" t="n"/>
      <c r="B789" s="9" t="n"/>
    </row>
    <row r="790" ht="15.75" customHeight="1" s="14">
      <c r="A790" s="9" t="n"/>
      <c r="B790" s="9" t="n"/>
    </row>
    <row r="791" ht="15.75" customHeight="1" s="14">
      <c r="A791" s="9" t="n"/>
      <c r="B791" s="9" t="n"/>
    </row>
    <row r="792" ht="15.75" customHeight="1" s="14">
      <c r="A792" s="9" t="n"/>
      <c r="B792" s="9" t="n"/>
    </row>
    <row r="793" ht="15.75" customHeight="1" s="14">
      <c r="A793" s="9" t="n"/>
      <c r="B793" s="9" t="n"/>
    </row>
    <row r="794" ht="15.75" customHeight="1" s="14">
      <c r="A794" s="9" t="n"/>
      <c r="B794" s="9" t="n"/>
    </row>
    <row r="795" ht="15.75" customHeight="1" s="14">
      <c r="A795" s="9" t="n"/>
      <c r="B795" s="9" t="n"/>
    </row>
    <row r="796" ht="15.75" customHeight="1" s="14">
      <c r="A796" s="9" t="n"/>
      <c r="B796" s="9" t="n"/>
    </row>
    <row r="797" ht="15.75" customHeight="1" s="14">
      <c r="A797" s="9" t="n"/>
      <c r="B797" s="9" t="n"/>
    </row>
    <row r="798" ht="15.75" customHeight="1" s="14">
      <c r="A798" s="9" t="n"/>
      <c r="B798" s="9" t="n"/>
    </row>
    <row r="799" ht="15.75" customHeight="1" s="14">
      <c r="A799" s="9" t="n"/>
      <c r="B799" s="9" t="n"/>
    </row>
    <row r="800" ht="15.75" customHeight="1" s="14">
      <c r="A800" s="9" t="n"/>
      <c r="B800" s="9" t="n"/>
    </row>
    <row r="801" ht="15.75" customHeight="1" s="14">
      <c r="A801" s="9" t="n"/>
      <c r="B801" s="9" t="n"/>
    </row>
    <row r="802" ht="15.75" customHeight="1" s="14">
      <c r="A802" s="9" t="n"/>
      <c r="B802" s="9" t="n"/>
    </row>
    <row r="803" ht="15.75" customHeight="1" s="14">
      <c r="A803" s="9" t="n"/>
      <c r="B803" s="9" t="n"/>
    </row>
    <row r="804" ht="15.75" customHeight="1" s="14">
      <c r="A804" s="9" t="n"/>
      <c r="B804" s="9" t="n"/>
    </row>
    <row r="805" ht="15.75" customHeight="1" s="14">
      <c r="A805" s="9" t="n"/>
      <c r="B805" s="9" t="n"/>
    </row>
    <row r="806" ht="15.75" customHeight="1" s="14">
      <c r="A806" s="9" t="n"/>
      <c r="B806" s="9" t="n"/>
    </row>
    <row r="807" ht="15.75" customHeight="1" s="14">
      <c r="A807" s="9" t="n"/>
      <c r="B807" s="9" t="n"/>
    </row>
    <row r="808" ht="15.75" customHeight="1" s="14">
      <c r="A808" s="9" t="n"/>
      <c r="B808" s="9" t="n"/>
    </row>
    <row r="809" ht="15.75" customHeight="1" s="14">
      <c r="A809" s="9" t="n"/>
      <c r="B809" s="9" t="n"/>
    </row>
    <row r="810" ht="15.75" customHeight="1" s="14">
      <c r="A810" s="9" t="n"/>
      <c r="B810" s="9" t="n"/>
    </row>
    <row r="811" ht="15.75" customHeight="1" s="14">
      <c r="A811" s="9" t="n"/>
      <c r="B811" s="9" t="n"/>
    </row>
    <row r="812" ht="15.75" customHeight="1" s="14">
      <c r="A812" s="9" t="n"/>
      <c r="B812" s="9" t="n"/>
    </row>
    <row r="813" ht="15.75" customHeight="1" s="14">
      <c r="A813" s="9" t="n"/>
      <c r="B813" s="9" t="n"/>
    </row>
    <row r="814" ht="15.75" customHeight="1" s="14">
      <c r="A814" s="9" t="n"/>
      <c r="B814" s="9" t="n"/>
    </row>
    <row r="815" ht="15.75" customHeight="1" s="14">
      <c r="A815" s="9" t="n"/>
      <c r="B815" s="9" t="n"/>
    </row>
    <row r="816" ht="15.75" customHeight="1" s="14">
      <c r="A816" s="9" t="n"/>
      <c r="B816" s="9" t="n"/>
    </row>
    <row r="817" ht="15.75" customHeight="1" s="14">
      <c r="A817" s="9" t="n"/>
      <c r="B817" s="9" t="n"/>
    </row>
    <row r="818" ht="15.75" customHeight="1" s="14">
      <c r="A818" s="9" t="n"/>
      <c r="B818" s="9" t="n"/>
    </row>
    <row r="819" ht="15.75" customHeight="1" s="14">
      <c r="A819" s="9" t="n"/>
      <c r="B819" s="9" t="n"/>
    </row>
    <row r="820" ht="15.75" customHeight="1" s="14">
      <c r="A820" s="9" t="n"/>
      <c r="B820" s="9" t="n"/>
    </row>
    <row r="821" ht="15.75" customHeight="1" s="14">
      <c r="A821" s="9" t="n"/>
      <c r="B821" s="9" t="n"/>
    </row>
    <row r="822" ht="15.75" customHeight="1" s="14">
      <c r="A822" s="9" t="n"/>
      <c r="B822" s="9" t="n"/>
    </row>
    <row r="823" ht="15.75" customHeight="1" s="14">
      <c r="A823" s="9" t="n"/>
      <c r="B823" s="9" t="n"/>
    </row>
    <row r="824" ht="15.75" customHeight="1" s="14">
      <c r="A824" s="9" t="n"/>
      <c r="B824" s="9" t="n"/>
    </row>
    <row r="825" ht="15.75" customHeight="1" s="14">
      <c r="A825" s="9" t="n"/>
      <c r="B825" s="9" t="n"/>
    </row>
    <row r="826" ht="15.75" customHeight="1" s="14">
      <c r="A826" s="9" t="n"/>
      <c r="B826" s="9" t="n"/>
    </row>
    <row r="827" ht="15.75" customHeight="1" s="14">
      <c r="A827" s="9" t="n"/>
      <c r="B827" s="9" t="n"/>
    </row>
    <row r="828" ht="15.75" customHeight="1" s="14">
      <c r="A828" s="9" t="n"/>
      <c r="B828" s="9" t="n"/>
    </row>
    <row r="829" ht="15.75" customHeight="1" s="14">
      <c r="A829" s="9" t="n"/>
      <c r="B829" s="9" t="n"/>
    </row>
    <row r="830" ht="15.75" customHeight="1" s="14">
      <c r="A830" s="9" t="n"/>
      <c r="B830" s="9" t="n"/>
    </row>
    <row r="831" ht="15.75" customHeight="1" s="14">
      <c r="A831" s="9" t="n"/>
      <c r="B831" s="9" t="n"/>
    </row>
    <row r="832" ht="15.75" customHeight="1" s="14">
      <c r="A832" s="9" t="n"/>
      <c r="B832" s="9" t="n"/>
    </row>
    <row r="833" ht="15.75" customHeight="1" s="14">
      <c r="A833" s="9" t="n"/>
      <c r="B833" s="9" t="n"/>
    </row>
    <row r="834" ht="15.75" customHeight="1" s="14">
      <c r="A834" s="9" t="n"/>
      <c r="B834" s="9" t="n"/>
    </row>
    <row r="835" ht="15.75" customHeight="1" s="14">
      <c r="A835" s="9" t="n"/>
      <c r="B835" s="9" t="n"/>
    </row>
    <row r="836" ht="15.75" customHeight="1" s="14">
      <c r="A836" s="9" t="n"/>
      <c r="B836" s="9" t="n"/>
    </row>
    <row r="837" ht="15.75" customHeight="1" s="14">
      <c r="A837" s="9" t="n"/>
      <c r="B837" s="9" t="n"/>
    </row>
    <row r="838" ht="15.75" customHeight="1" s="14">
      <c r="A838" s="9" t="n"/>
      <c r="B838" s="9" t="n"/>
    </row>
    <row r="839" ht="15.75" customHeight="1" s="14">
      <c r="A839" s="9" t="n"/>
      <c r="B839" s="9" t="n"/>
    </row>
    <row r="840" ht="15.75" customHeight="1" s="14">
      <c r="A840" s="9" t="n"/>
      <c r="B840" s="9" t="n"/>
    </row>
    <row r="841" ht="15.75" customHeight="1" s="14">
      <c r="A841" s="9" t="n"/>
      <c r="B841" s="9" t="n"/>
    </row>
    <row r="842" ht="15.75" customHeight="1" s="14">
      <c r="A842" s="9" t="n"/>
      <c r="B842" s="9" t="n"/>
    </row>
    <row r="843" ht="15.75" customHeight="1" s="14">
      <c r="A843" s="9" t="n"/>
      <c r="B843" s="9" t="n"/>
    </row>
    <row r="844" ht="15.75" customHeight="1" s="14">
      <c r="A844" s="9" t="n"/>
      <c r="B844" s="9" t="n"/>
    </row>
    <row r="845" ht="15.75" customHeight="1" s="14">
      <c r="A845" s="9" t="n"/>
      <c r="B845" s="9" t="n"/>
    </row>
    <row r="846" ht="15.75" customHeight="1" s="14">
      <c r="A846" s="9" t="n"/>
      <c r="B846" s="9" t="n"/>
    </row>
    <row r="847" ht="15.75" customHeight="1" s="14">
      <c r="A847" s="9" t="n"/>
      <c r="B847" s="9" t="n"/>
    </row>
    <row r="848" ht="15.75" customHeight="1" s="14">
      <c r="A848" s="9" t="n"/>
      <c r="B848" s="9" t="n"/>
    </row>
    <row r="849" ht="15.75" customHeight="1" s="14">
      <c r="A849" s="9" t="n"/>
      <c r="B849" s="9" t="n"/>
    </row>
    <row r="850" ht="15.75" customHeight="1" s="14">
      <c r="A850" s="9" t="n"/>
      <c r="B850" s="9" t="n"/>
    </row>
    <row r="851" ht="15.75" customHeight="1" s="14">
      <c r="A851" s="9" t="n"/>
      <c r="B851" s="9" t="n"/>
    </row>
    <row r="852" ht="15.75" customHeight="1" s="14">
      <c r="A852" s="9" t="n"/>
      <c r="B852" s="9" t="n"/>
    </row>
    <row r="853" ht="15.75" customHeight="1" s="14">
      <c r="A853" s="9" t="n"/>
      <c r="B853" s="9" t="n"/>
    </row>
    <row r="854" ht="15.75" customHeight="1" s="14">
      <c r="A854" s="9" t="n"/>
      <c r="B854" s="9" t="n"/>
    </row>
    <row r="855" ht="15.75" customHeight="1" s="14">
      <c r="A855" s="9" t="n"/>
      <c r="B855" s="9" t="n"/>
    </row>
    <row r="856" ht="15.75" customHeight="1" s="14">
      <c r="A856" s="9" t="n"/>
      <c r="B856" s="9" t="n"/>
    </row>
    <row r="857" ht="15.75" customHeight="1" s="14">
      <c r="A857" s="9" t="n"/>
      <c r="B857" s="9" t="n"/>
    </row>
    <row r="858" ht="15.75" customHeight="1" s="14">
      <c r="A858" s="9" t="n"/>
      <c r="B858" s="9" t="n"/>
    </row>
    <row r="859" ht="15.75" customHeight="1" s="14">
      <c r="A859" s="9" t="n"/>
      <c r="B859" s="9" t="n"/>
    </row>
    <row r="860" ht="15.75" customHeight="1" s="14">
      <c r="A860" s="9" t="n"/>
      <c r="B860" s="9" t="n"/>
    </row>
    <row r="861" ht="15.75" customHeight="1" s="14">
      <c r="A861" s="9" t="n"/>
      <c r="B861" s="9" t="n"/>
    </row>
    <row r="862" ht="15.75" customHeight="1" s="14">
      <c r="A862" s="9" t="n"/>
      <c r="B862" s="9" t="n"/>
    </row>
    <row r="863" ht="15.75" customHeight="1" s="14">
      <c r="A863" s="9" t="n"/>
      <c r="B863" s="9" t="n"/>
    </row>
    <row r="864" ht="15.75" customHeight="1" s="14">
      <c r="A864" s="9" t="n"/>
      <c r="B864" s="9" t="n"/>
    </row>
    <row r="865" ht="15.75" customHeight="1" s="14">
      <c r="A865" s="9" t="n"/>
      <c r="B865" s="9" t="n"/>
    </row>
    <row r="866" ht="15.75" customHeight="1" s="14">
      <c r="A866" s="9" t="n"/>
      <c r="B866" s="9" t="n"/>
    </row>
    <row r="867" ht="15.75" customHeight="1" s="14">
      <c r="A867" s="9" t="n"/>
      <c r="B867" s="9" t="n"/>
    </row>
    <row r="868" ht="15.75" customHeight="1" s="14">
      <c r="A868" s="9" t="n"/>
      <c r="B868" s="9" t="n"/>
    </row>
    <row r="869" ht="15.75" customHeight="1" s="14">
      <c r="A869" s="9" t="n"/>
      <c r="B869" s="9" t="n"/>
    </row>
    <row r="870" ht="15.75" customHeight="1" s="14">
      <c r="A870" s="9" t="n"/>
      <c r="B870" s="9" t="n"/>
    </row>
    <row r="871" ht="15.75" customHeight="1" s="14">
      <c r="A871" s="9" t="n"/>
      <c r="B871" s="9" t="n"/>
    </row>
    <row r="872" ht="15.75" customHeight="1" s="14">
      <c r="A872" s="9" t="n"/>
      <c r="B872" s="9" t="n"/>
    </row>
    <row r="873" ht="15.75" customHeight="1" s="14">
      <c r="A873" s="9" t="n"/>
      <c r="B873" s="9" t="n"/>
    </row>
    <row r="874" ht="15.75" customHeight="1" s="14">
      <c r="A874" s="9" t="n"/>
      <c r="B874" s="9" t="n"/>
    </row>
    <row r="875" ht="15.75" customHeight="1" s="14">
      <c r="A875" s="9" t="n"/>
      <c r="B875" s="9" t="n"/>
    </row>
    <row r="876" ht="15.75" customHeight="1" s="14">
      <c r="A876" s="9" t="n"/>
      <c r="B876" s="9" t="n"/>
    </row>
    <row r="877" ht="15.75" customHeight="1" s="14">
      <c r="A877" s="9" t="n"/>
      <c r="B877" s="9" t="n"/>
    </row>
    <row r="878" ht="15.75" customHeight="1" s="14">
      <c r="A878" s="9" t="n"/>
      <c r="B878" s="9" t="n"/>
    </row>
    <row r="879" ht="15.75" customHeight="1" s="14">
      <c r="A879" s="9" t="n"/>
      <c r="B879" s="9" t="n"/>
    </row>
    <row r="880" ht="15.75" customHeight="1" s="14">
      <c r="A880" s="9" t="n"/>
      <c r="B880" s="9" t="n"/>
    </row>
    <row r="881" ht="15.75" customHeight="1" s="14">
      <c r="A881" s="9" t="n"/>
      <c r="B881" s="9" t="n"/>
    </row>
    <row r="882" ht="15.75" customHeight="1" s="14">
      <c r="A882" s="9" t="n"/>
      <c r="B882" s="9" t="n"/>
    </row>
    <row r="883" ht="15.75" customHeight="1" s="14">
      <c r="A883" s="9" t="n"/>
      <c r="B883" s="9" t="n"/>
    </row>
    <row r="884" ht="15.75" customHeight="1" s="14">
      <c r="A884" s="9" t="n"/>
      <c r="B884" s="9" t="n"/>
    </row>
    <row r="885" ht="15.75" customHeight="1" s="14">
      <c r="A885" s="9" t="n"/>
      <c r="B885" s="9" t="n"/>
    </row>
    <row r="886" ht="15.75" customHeight="1" s="14">
      <c r="A886" s="9" t="n"/>
      <c r="B886" s="9" t="n"/>
    </row>
    <row r="887" ht="15.75" customHeight="1" s="14">
      <c r="A887" s="9" t="n"/>
      <c r="B887" s="9" t="n"/>
    </row>
    <row r="888" ht="15.75" customHeight="1" s="14">
      <c r="A888" s="9" t="n"/>
      <c r="B888" s="9" t="n"/>
    </row>
    <row r="889" ht="15.75" customHeight="1" s="14">
      <c r="A889" s="9" t="n"/>
      <c r="B889" s="9" t="n"/>
    </row>
    <row r="890" ht="15.75" customHeight="1" s="14">
      <c r="A890" s="9" t="n"/>
      <c r="B890" s="9" t="n"/>
    </row>
    <row r="891" ht="15.75" customHeight="1" s="14">
      <c r="A891" s="9" t="n"/>
      <c r="B891" s="9" t="n"/>
    </row>
    <row r="892" ht="15.75" customHeight="1" s="14">
      <c r="A892" s="9" t="n"/>
      <c r="B892" s="9" t="n"/>
    </row>
    <row r="893" ht="15.75" customHeight="1" s="14">
      <c r="A893" s="9" t="n"/>
      <c r="B893" s="9" t="n"/>
    </row>
    <row r="894" ht="15.75" customHeight="1" s="14">
      <c r="A894" s="9" t="n"/>
      <c r="B894" s="9" t="n"/>
    </row>
    <row r="895" ht="15.75" customHeight="1" s="14">
      <c r="A895" s="9" t="n"/>
      <c r="B895" s="9" t="n"/>
    </row>
    <row r="896" ht="15.75" customHeight="1" s="14">
      <c r="A896" s="9" t="n"/>
      <c r="B896" s="9" t="n"/>
    </row>
    <row r="897" ht="15.75" customHeight="1" s="14">
      <c r="A897" s="9" t="n"/>
      <c r="B897" s="9" t="n"/>
    </row>
    <row r="898" ht="15.75" customHeight="1" s="14">
      <c r="A898" s="9" t="n"/>
      <c r="B898" s="9" t="n"/>
    </row>
    <row r="899" ht="15.75" customHeight="1" s="14">
      <c r="A899" s="9" t="n"/>
      <c r="B899" s="9" t="n"/>
    </row>
    <row r="900" ht="15.75" customHeight="1" s="14">
      <c r="A900" s="9" t="n"/>
      <c r="B900" s="9" t="n"/>
    </row>
    <row r="901" ht="15.75" customHeight="1" s="14">
      <c r="A901" s="9" t="n"/>
      <c r="B901" s="9" t="n"/>
    </row>
    <row r="902" ht="15.75" customHeight="1" s="14">
      <c r="A902" s="9" t="n"/>
      <c r="B902" s="9" t="n"/>
    </row>
    <row r="903" ht="15.75" customHeight="1" s="14">
      <c r="A903" s="9" t="n"/>
      <c r="B903" s="9" t="n"/>
    </row>
    <row r="904" ht="15.75" customHeight="1" s="14">
      <c r="A904" s="9" t="n"/>
      <c r="B904" s="9" t="n"/>
    </row>
    <row r="905" ht="15.75" customHeight="1" s="14">
      <c r="A905" s="9" t="n"/>
      <c r="B905" s="9" t="n"/>
    </row>
    <row r="906" ht="15.75" customHeight="1" s="14">
      <c r="A906" s="9" t="n"/>
      <c r="B906" s="9" t="n"/>
    </row>
    <row r="907" ht="15.75" customHeight="1" s="14">
      <c r="A907" s="9" t="n"/>
      <c r="B907" s="9" t="n"/>
    </row>
    <row r="908" ht="15.75" customHeight="1" s="14">
      <c r="A908" s="9" t="n"/>
      <c r="B908" s="9" t="n"/>
    </row>
    <row r="909" ht="15.75" customHeight="1" s="14">
      <c r="A909" s="9" t="n"/>
      <c r="B909" s="9" t="n"/>
    </row>
    <row r="910" ht="15.75" customHeight="1" s="14">
      <c r="A910" s="9" t="n"/>
      <c r="B910" s="9" t="n"/>
    </row>
    <row r="911" ht="15.75" customHeight="1" s="14">
      <c r="A911" s="9" t="n"/>
      <c r="B911" s="9" t="n"/>
    </row>
    <row r="912" ht="15.75" customHeight="1" s="14">
      <c r="A912" s="9" t="n"/>
      <c r="B912" s="9" t="n"/>
    </row>
    <row r="913" ht="15.75" customHeight="1" s="14">
      <c r="A913" s="9" t="n"/>
      <c r="B913" s="9" t="n"/>
    </row>
    <row r="914" ht="15.75" customHeight="1" s="14">
      <c r="A914" s="9" t="n"/>
      <c r="B914" s="9" t="n"/>
    </row>
    <row r="915" ht="15.75" customHeight="1" s="14">
      <c r="A915" s="9" t="n"/>
      <c r="B915" s="9" t="n"/>
    </row>
    <row r="916" ht="15.75" customHeight="1" s="14">
      <c r="A916" s="9" t="n"/>
      <c r="B916" s="9" t="n"/>
    </row>
    <row r="917" ht="15.75" customHeight="1" s="14">
      <c r="A917" s="9" t="n"/>
      <c r="B917" s="9" t="n"/>
    </row>
    <row r="918" ht="15.75" customHeight="1" s="14">
      <c r="A918" s="9" t="n"/>
      <c r="B918" s="9" t="n"/>
    </row>
    <row r="919" ht="15.75" customHeight="1" s="14">
      <c r="A919" s="9" t="n"/>
      <c r="B919" s="9" t="n"/>
    </row>
    <row r="920" ht="15.75" customHeight="1" s="14">
      <c r="A920" s="9" t="n"/>
      <c r="B920" s="9" t="n"/>
    </row>
    <row r="921" ht="15.75" customHeight="1" s="14">
      <c r="A921" s="9" t="n"/>
      <c r="B921" s="9" t="n"/>
    </row>
    <row r="922" ht="15.75" customHeight="1" s="14">
      <c r="A922" s="9" t="n"/>
      <c r="B922" s="9" t="n"/>
    </row>
    <row r="923" ht="15.75" customHeight="1" s="14">
      <c r="A923" s="9" t="n"/>
      <c r="B923" s="9" t="n"/>
    </row>
    <row r="924" ht="15.75" customHeight="1" s="14">
      <c r="A924" s="9" t="n"/>
      <c r="B924" s="9" t="n"/>
    </row>
    <row r="925" ht="15.75" customHeight="1" s="14">
      <c r="A925" s="9" t="n"/>
      <c r="B925" s="9" t="n"/>
    </row>
    <row r="926" ht="15.75" customHeight="1" s="14">
      <c r="A926" s="9" t="n"/>
      <c r="B926" s="9" t="n"/>
    </row>
    <row r="927" ht="15.75" customHeight="1" s="14">
      <c r="A927" s="9" t="n"/>
      <c r="B927" s="9" t="n"/>
    </row>
    <row r="928" ht="15.75" customHeight="1" s="14">
      <c r="A928" s="9" t="n"/>
      <c r="B928" s="9" t="n"/>
    </row>
    <row r="929" ht="15.75" customHeight="1" s="14">
      <c r="A929" s="9" t="n"/>
      <c r="B929" s="9" t="n"/>
    </row>
    <row r="930" ht="15.75" customHeight="1" s="14">
      <c r="A930" s="9" t="n"/>
      <c r="B930" s="9" t="n"/>
    </row>
    <row r="931" ht="15.75" customHeight="1" s="14">
      <c r="A931" s="9" t="n"/>
      <c r="B931" s="9" t="n"/>
    </row>
    <row r="932" ht="15.75" customHeight="1" s="14">
      <c r="A932" s="9" t="n"/>
      <c r="B932" s="9" t="n"/>
    </row>
    <row r="933" ht="15.75" customHeight="1" s="14">
      <c r="A933" s="9" t="n"/>
      <c r="B933" s="9" t="n"/>
    </row>
    <row r="934" ht="15.75" customHeight="1" s="14">
      <c r="A934" s="9" t="n"/>
      <c r="B934" s="9" t="n"/>
    </row>
    <row r="935" ht="15.75" customHeight="1" s="14">
      <c r="A935" s="9" t="n"/>
      <c r="B935" s="9" t="n"/>
    </row>
    <row r="936" ht="15.75" customHeight="1" s="14">
      <c r="A936" s="9" t="n"/>
      <c r="B936" s="9" t="n"/>
    </row>
    <row r="937" ht="15.75" customHeight="1" s="14">
      <c r="A937" s="9" t="n"/>
      <c r="B937" s="9" t="n"/>
    </row>
    <row r="938" ht="15.75" customHeight="1" s="14">
      <c r="A938" s="9" t="n"/>
      <c r="B938" s="9" t="n"/>
    </row>
    <row r="939" ht="15.75" customHeight="1" s="14">
      <c r="A939" s="9" t="n"/>
      <c r="B939" s="9" t="n"/>
    </row>
    <row r="940" ht="15.75" customHeight="1" s="14">
      <c r="A940" s="9" t="n"/>
      <c r="B940" s="9" t="n"/>
    </row>
    <row r="941" ht="15.75" customHeight="1" s="14">
      <c r="A941" s="9" t="n"/>
      <c r="B941" s="9" t="n"/>
    </row>
    <row r="942" ht="15.75" customHeight="1" s="14">
      <c r="A942" s="9" t="n"/>
      <c r="B942" s="9" t="n"/>
    </row>
    <row r="943" ht="15.75" customHeight="1" s="14">
      <c r="A943" s="9" t="n"/>
      <c r="B943" s="9" t="n"/>
    </row>
    <row r="944" ht="15.75" customHeight="1" s="14">
      <c r="A944" s="9" t="n"/>
      <c r="B944" s="9" t="n"/>
    </row>
    <row r="945" ht="15.75" customHeight="1" s="14">
      <c r="A945" s="9" t="n"/>
      <c r="B945" s="9" t="n"/>
    </row>
    <row r="946" ht="15.75" customHeight="1" s="14">
      <c r="A946" s="9" t="n"/>
      <c r="B946" s="9" t="n"/>
    </row>
    <row r="947" ht="15.75" customHeight="1" s="14">
      <c r="A947" s="9" t="n"/>
      <c r="B947" s="9" t="n"/>
    </row>
    <row r="948" ht="15.75" customHeight="1" s="14">
      <c r="A948" s="9" t="n"/>
      <c r="B948" s="9" t="n"/>
    </row>
    <row r="949" ht="15.75" customHeight="1" s="14">
      <c r="A949" s="9" t="n"/>
      <c r="B949" s="9" t="n"/>
    </row>
    <row r="950" ht="15.75" customHeight="1" s="14">
      <c r="A950" s="9" t="n"/>
      <c r="B950" s="9" t="n"/>
    </row>
    <row r="951" ht="15.75" customHeight="1" s="14">
      <c r="A951" s="9" t="n"/>
      <c r="B951" s="9" t="n"/>
    </row>
    <row r="952" ht="15.75" customHeight="1" s="14">
      <c r="A952" s="9" t="n"/>
      <c r="B952" s="9" t="n"/>
    </row>
    <row r="953" ht="15.75" customHeight="1" s="14">
      <c r="A953" s="9" t="n"/>
      <c r="B953" s="9" t="n"/>
    </row>
    <row r="954" ht="15.75" customHeight="1" s="14">
      <c r="A954" s="9" t="n"/>
      <c r="B954" s="9" t="n"/>
    </row>
    <row r="955" ht="15.75" customHeight="1" s="14">
      <c r="A955" s="9" t="n"/>
      <c r="B955" s="9" t="n"/>
    </row>
    <row r="956" ht="15.75" customHeight="1" s="14">
      <c r="A956" s="9" t="n"/>
      <c r="B956" s="9" t="n"/>
    </row>
    <row r="957" ht="15.75" customHeight="1" s="14">
      <c r="A957" s="9" t="n"/>
      <c r="B957" s="9" t="n"/>
    </row>
    <row r="958" ht="15.75" customHeight="1" s="14">
      <c r="A958" s="9" t="n"/>
      <c r="B958" s="9" t="n"/>
    </row>
    <row r="959" ht="15.75" customHeight="1" s="14">
      <c r="A959" s="9" t="n"/>
      <c r="B959" s="9" t="n"/>
    </row>
    <row r="960" ht="15.75" customHeight="1" s="14">
      <c r="A960" s="9" t="n"/>
      <c r="B960" s="9" t="n"/>
    </row>
    <row r="961" ht="15.75" customHeight="1" s="14">
      <c r="A961" s="9" t="n"/>
      <c r="B961" s="9" t="n"/>
    </row>
    <row r="962" ht="15.75" customHeight="1" s="14">
      <c r="A962" s="9" t="n"/>
      <c r="B962" s="9" t="n"/>
    </row>
    <row r="963" ht="15.75" customHeight="1" s="14">
      <c r="A963" s="9" t="n"/>
      <c r="B963" s="9" t="n"/>
    </row>
    <row r="964" ht="15.75" customHeight="1" s="14">
      <c r="A964" s="9" t="n"/>
      <c r="B964" s="9" t="n"/>
    </row>
    <row r="965" ht="15.75" customHeight="1" s="14">
      <c r="A965" s="9" t="n"/>
      <c r="B965" s="9" t="n"/>
    </row>
    <row r="966" ht="15.75" customHeight="1" s="14">
      <c r="A966" s="9" t="n"/>
      <c r="B966" s="9" t="n"/>
    </row>
    <row r="967" ht="15.75" customHeight="1" s="14">
      <c r="A967" s="9" t="n"/>
      <c r="B967" s="9" t="n"/>
    </row>
    <row r="968" ht="15.75" customHeight="1" s="14">
      <c r="A968" s="9" t="n"/>
      <c r="B968" s="9" t="n"/>
    </row>
    <row r="969" ht="15.75" customHeight="1" s="14">
      <c r="A969" s="9" t="n"/>
      <c r="B969" s="9" t="n"/>
    </row>
    <row r="970" ht="15.75" customHeight="1" s="14">
      <c r="A970" s="9" t="n"/>
      <c r="B970" s="9" t="n"/>
    </row>
    <row r="971" ht="15.75" customHeight="1" s="14">
      <c r="A971" s="9" t="n"/>
      <c r="B971" s="9" t="n"/>
    </row>
    <row r="972" ht="15.75" customHeight="1" s="14">
      <c r="A972" s="9" t="n"/>
      <c r="B972" s="9" t="n"/>
    </row>
    <row r="973" ht="15.75" customHeight="1" s="14">
      <c r="A973" s="9" t="n"/>
      <c r="B973" s="9" t="n"/>
    </row>
    <row r="974" ht="15.75" customHeight="1" s="14">
      <c r="A974" s="9" t="n"/>
      <c r="B974" s="9" t="n"/>
    </row>
    <row r="975" ht="15.75" customHeight="1" s="14">
      <c r="A975" s="9" t="n"/>
      <c r="B975" s="9" t="n"/>
    </row>
    <row r="976" ht="15.75" customHeight="1" s="14">
      <c r="A976" s="9" t="n"/>
      <c r="B976" s="9" t="n"/>
    </row>
    <row r="977" ht="15.75" customHeight="1" s="14">
      <c r="A977" s="9" t="n"/>
      <c r="B977" s="9" t="n"/>
    </row>
    <row r="978" ht="15.75" customHeight="1" s="14">
      <c r="A978" s="9" t="n"/>
      <c r="B978" s="9" t="n"/>
    </row>
    <row r="979" ht="15.75" customHeight="1" s="14">
      <c r="A979" s="9" t="n"/>
      <c r="B979" s="9" t="n"/>
    </row>
    <row r="980" ht="15.75" customHeight="1" s="14">
      <c r="A980" s="9" t="n"/>
      <c r="B980" s="9" t="n"/>
    </row>
    <row r="981" ht="15.75" customHeight="1" s="14">
      <c r="A981" s="9" t="n"/>
      <c r="B981" s="9" t="n"/>
    </row>
    <row r="982" ht="15.75" customHeight="1" s="14">
      <c r="A982" s="9" t="n"/>
      <c r="B982" s="9" t="n"/>
    </row>
    <row r="983" ht="15.75" customHeight="1" s="14">
      <c r="A983" s="9" t="n"/>
      <c r="B983" s="9" t="n"/>
    </row>
    <row r="984" ht="15.75" customHeight="1" s="14">
      <c r="A984" s="9" t="n"/>
      <c r="B984" s="9" t="n"/>
    </row>
    <row r="985" ht="15.75" customHeight="1" s="14">
      <c r="A985" s="9" t="n"/>
      <c r="B985" s="9" t="n"/>
    </row>
    <row r="986" ht="15.75" customHeight="1" s="14">
      <c r="A986" s="9" t="n"/>
      <c r="B986" s="9" t="n"/>
    </row>
    <row r="987" ht="15.75" customHeight="1" s="14">
      <c r="A987" s="9" t="n"/>
      <c r="B987" s="9" t="n"/>
    </row>
    <row r="988" ht="15.75" customHeight="1" s="14">
      <c r="A988" s="9" t="n"/>
      <c r="B988" s="9" t="n"/>
    </row>
    <row r="989" ht="15.75" customHeight="1" s="14">
      <c r="A989" s="9" t="n"/>
      <c r="B989" s="9" t="n"/>
    </row>
    <row r="990" ht="15.75" customHeight="1" s="14">
      <c r="A990" s="9" t="n"/>
      <c r="B990" s="9" t="n"/>
    </row>
    <row r="991" ht="15.75" customHeight="1" s="14">
      <c r="A991" s="9" t="n"/>
      <c r="B991" s="9" t="n"/>
    </row>
    <row r="992" ht="15.75" customHeight="1" s="14">
      <c r="A992" s="9" t="n"/>
      <c r="B992" s="9" t="n"/>
    </row>
    <row r="993" ht="15.75" customHeight="1" s="14">
      <c r="A993" s="9" t="n"/>
      <c r="B993" s="9" t="n"/>
    </row>
    <row r="994" ht="15.75" customHeight="1" s="14">
      <c r="A994" s="9" t="n"/>
      <c r="B994" s="9" t="n"/>
    </row>
    <row r="995" ht="15.75" customHeight="1" s="14">
      <c r="A995" s="9" t="n"/>
      <c r="B995" s="9" t="n"/>
    </row>
    <row r="996" ht="15.75" customHeight="1" s="14">
      <c r="A996" s="9" t="n"/>
      <c r="B996" s="9" t="n"/>
    </row>
    <row r="997" ht="15.75" customHeight="1" s="14">
      <c r="A997" s="9" t="n"/>
      <c r="B997" s="9" t="n"/>
    </row>
    <row r="998" ht="15.75" customHeight="1" s="14">
      <c r="A998" s="9" t="n"/>
      <c r="B998" s="9" t="n"/>
    </row>
    <row r="999" ht="15.75" customHeight="1" s="14">
      <c r="A999" s="9" t="n"/>
      <c r="B999" s="9" t="n"/>
    </row>
    <row r="1000" ht="15.75" customHeight="1" s="14">
      <c r="A1000" s="9" t="n"/>
      <c r="B1000" s="9" t="n"/>
    </row>
  </sheetData>
  <dataValidations count="2">
    <dataValidation sqref="B2:B1000" showDropDown="0" showInputMessage="0" showErrorMessage="1" allowBlank="1" type="list">
      <formula1>Vendors!$A$2:$A1000</formula1>
    </dataValidation>
    <dataValidation sqref="A2:A1000" showDropDown="0" showInputMessage="0" showErrorMessage="1" allowBlank="1" type="list">
      <formula1>Master_Items!$C$2:$C1004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100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4" min="1" max="1"/>
    <col width="20.88" customWidth="1" style="14" min="2" max="2"/>
    <col width="12.63" customWidth="1" style="14" min="3" max="6"/>
  </cols>
  <sheetData>
    <row r="1" ht="15.75" customHeight="1" s="14">
      <c r="A1" s="5" t="inlineStr">
        <is>
          <t>Date</t>
        </is>
      </c>
      <c r="B1" s="5" t="inlineStr">
        <is>
          <t>Item Name</t>
        </is>
      </c>
      <c r="C1" s="5" t="inlineStr">
        <is>
          <t>Opening Qty</t>
        </is>
      </c>
      <c r="D1" s="5" t="inlineStr">
        <is>
          <t>Purchased</t>
        </is>
      </c>
      <c r="E1" s="5" t="inlineStr">
        <is>
          <t>Used</t>
        </is>
      </c>
      <c r="F1" s="5" t="inlineStr">
        <is>
          <t>Closing Qty</t>
        </is>
      </c>
      <c r="G1" s="5" t="inlineStr">
        <is>
          <t>Unit Cost</t>
        </is>
      </c>
      <c r="H1" s="5" t="inlineStr">
        <is>
          <t>Inventory Value</t>
        </is>
      </c>
      <c r="I1" s="5" t="inlineStr">
        <is>
          <t>Below Par</t>
        </is>
      </c>
      <c r="J1" s="5" t="inlineStr">
        <is>
          <t>Notes</t>
        </is>
      </c>
      <c r="K1" t="inlineStr">
        <is>
          <t>Closing Qty</t>
        </is>
      </c>
    </row>
    <row r="2" ht="15.75" customHeight="1" s="14">
      <c r="A2" s="5" t="inlineStr">
        <is>
          <t>01/19/2026</t>
        </is>
      </c>
      <c r="B2" s="5" t="inlineStr">
        <is>
          <t>Glenlivet Reserve</t>
        </is>
      </c>
      <c r="C2" s="5" t="n">
        <v>4</v>
      </c>
      <c r="F2" s="5">
        <f>C2 + D2 - E2</f>
        <v/>
      </c>
      <c r="H2" s="5">
        <f>K2*G2</f>
        <v/>
      </c>
      <c r="I2" s="5">
        <f>IF(F2 &lt;= IFERROR(VLOOKUP(B2, Master_Items!C:H, 6, FALSE), 0), "REORDER", "")</f>
        <v/>
      </c>
      <c r="K2">
        <f>C2+D2</f>
        <v/>
      </c>
    </row>
    <row r="3" ht="15.75" customHeight="1" s="14">
      <c r="B3" s="5" t="inlineStr">
        <is>
          <t>Captain Morgan Spiced</t>
        </is>
      </c>
      <c r="C3" s="5" t="n">
        <v>2</v>
      </c>
      <c r="F3" s="5">
        <f>C3 + D3 - E3</f>
        <v/>
      </c>
      <c r="H3" s="5">
        <f>K3*G3</f>
        <v/>
      </c>
      <c r="I3" s="5">
        <f>IF(F3 &lt;= IFERROR(VLOOKUP(B3, Master_Items!C:H, 6, FALSE), 0), "REORDER", "")</f>
        <v/>
      </c>
      <c r="K3">
        <f>C3+D3</f>
        <v/>
      </c>
    </row>
    <row r="4" ht="15.75" customHeight="1" s="14">
      <c r="B4" s="5" t="inlineStr">
        <is>
          <t>Fireball Cinnamon</t>
        </is>
      </c>
      <c r="C4" s="5" t="n">
        <v>5</v>
      </c>
      <c r="F4" s="5">
        <f>C4 + D4 - E4</f>
        <v/>
      </c>
      <c r="H4" s="5">
        <f>K4*G4</f>
        <v/>
      </c>
      <c r="I4" s="5">
        <f>IF(F4 &lt;= IFERROR(VLOOKUP(B4, Master_Items!C:H, 6, FALSE), 0), "REORDER", "")</f>
        <v/>
      </c>
      <c r="K4">
        <f>C4+D4</f>
        <v/>
      </c>
    </row>
    <row r="5" ht="15.75" customHeight="1" s="14">
      <c r="B5" s="5" t="inlineStr">
        <is>
          <t>Bacardi Light</t>
        </is>
      </c>
      <c r="C5" s="5" t="n">
        <v>3</v>
      </c>
      <c r="F5" s="5">
        <f>C5 + D5 - E5</f>
        <v/>
      </c>
      <c r="H5" s="5">
        <f>K5*G5</f>
        <v/>
      </c>
      <c r="I5" s="5">
        <f>IF(F5 &lt;= IFERROR(VLOOKUP(B5, Master_Items!C:H, 6, FALSE), 0), "REORDER", "")</f>
        <v/>
      </c>
      <c r="K5">
        <f>C5+D5</f>
        <v/>
      </c>
    </row>
    <row r="6" ht="15.75" customHeight="1" s="14">
      <c r="B6" s="5" t="inlineStr">
        <is>
          <t>Glenlivet 12</t>
        </is>
      </c>
      <c r="C6" s="5" t="n">
        <v>1</v>
      </c>
      <c r="F6" s="5">
        <f>C6 + D6 - E6</f>
        <v/>
      </c>
      <c r="H6" s="5">
        <f>K6*G6</f>
        <v/>
      </c>
      <c r="I6" s="5">
        <f>IF(F6 &lt;= IFERROR(VLOOKUP(B6, Master_Items!C:H, 6, FALSE), 0), "REORDER", "")</f>
        <v/>
      </c>
      <c r="K6">
        <f>C6+D6</f>
        <v/>
      </c>
    </row>
    <row r="7" ht="15.75" customHeight="1" s="14">
      <c r="B7" s="5" t="inlineStr">
        <is>
          <t>Traveller Blend N9 40</t>
        </is>
      </c>
      <c r="C7" s="5" t="n">
        <v>1</v>
      </c>
      <c r="F7" s="5">
        <f>C7 + D7 - E7</f>
        <v/>
      </c>
      <c r="H7" s="5">
        <f>K7*G7</f>
        <v/>
      </c>
      <c r="I7" s="5">
        <f>IF(F7 &lt;= IFERROR(VLOOKUP(B7, Master_Items!C:H, 6, FALSE), 0), "REORDER", "")</f>
        <v/>
      </c>
      <c r="K7">
        <f>C7+D7</f>
        <v/>
      </c>
    </row>
    <row r="8" ht="15.75" customHeight="1" s="14">
      <c r="B8" s="5" t="inlineStr">
        <is>
          <t>Dewar’s White Label</t>
        </is>
      </c>
      <c r="C8" s="5" t="n">
        <v>1</v>
      </c>
      <c r="F8" s="5">
        <f>C8 + D8 - E8</f>
        <v/>
      </c>
      <c r="H8" s="5">
        <f>K8*G8</f>
        <v/>
      </c>
      <c r="I8" s="5">
        <f>IF(F8 &lt;= IFERROR(VLOOKUP(B8, Master_Items!C:H, 6, FALSE), 0), "REORDER", "")</f>
        <v/>
      </c>
      <c r="K8">
        <f>C8+D8</f>
        <v/>
      </c>
    </row>
    <row r="9" ht="15.75" customHeight="1" s="14">
      <c r="B9" s="5" t="inlineStr">
        <is>
          <t>Jack Daniel’s Tennessee Black Berry</t>
        </is>
      </c>
      <c r="C9" s="5" t="n">
        <v>1</v>
      </c>
      <c r="F9" s="5">
        <f>C9 + D9 - E9</f>
        <v/>
      </c>
      <c r="H9" s="5">
        <f>K9*G9</f>
        <v/>
      </c>
      <c r="I9" s="5">
        <f>IF(F9 &lt;= IFERROR(VLOOKUP(B9, Master_Items!C:H, 6, FALSE), 0), "REORDER", "")</f>
        <v/>
      </c>
      <c r="K9">
        <f>C9+D9</f>
        <v/>
      </c>
    </row>
    <row r="10" ht="15.75" customHeight="1" s="14">
      <c r="B10" s="5" t="inlineStr">
        <is>
          <t>Smirnoff Red,White&amp;Merry</t>
        </is>
      </c>
      <c r="C10" s="5" t="n">
        <v>1</v>
      </c>
      <c r="F10" s="5">
        <f>C10 + D10 - E10</f>
        <v/>
      </c>
      <c r="H10" s="5">
        <f>K10*G10</f>
        <v/>
      </c>
      <c r="I10" s="5">
        <f>IF(F10 &lt;= IFERROR(VLOOKUP(B10, Master_Items!C:H, 6, FALSE), 0), "REORDER", "")</f>
        <v/>
      </c>
      <c r="K10">
        <f>C10+D10</f>
        <v/>
      </c>
    </row>
    <row r="11" ht="15.75" customHeight="1" s="14">
      <c r="B11" s="5" t="inlineStr">
        <is>
          <t>Buchanan’s 12</t>
        </is>
      </c>
      <c r="C11" s="5" t="n">
        <v>2</v>
      </c>
      <c r="F11" s="5">
        <f>C11 + D11 - E11</f>
        <v/>
      </c>
      <c r="H11" s="5">
        <f>K11*G11</f>
        <v/>
      </c>
      <c r="I11" s="5">
        <f>IF(F11 &lt;= IFERROR(VLOOKUP(B11, Master_Items!C:H, 6, FALSE), 0), "REORDER", "")</f>
        <v/>
      </c>
      <c r="K11">
        <f>C11+D11</f>
        <v/>
      </c>
    </row>
    <row r="12" ht="15.75" customHeight="1" s="14">
      <c r="B12" s="5" t="inlineStr">
        <is>
          <t>Macallan 12</t>
        </is>
      </c>
      <c r="C12" s="5" t="n">
        <v>1</v>
      </c>
      <c r="F12" s="5">
        <f>C12 + D12 - E12</f>
        <v/>
      </c>
      <c r="H12" s="5">
        <f>K12*G12</f>
        <v/>
      </c>
      <c r="I12" s="5">
        <f>IF(F12 &lt;= IFERROR(VLOOKUP(B12, Master_Items!C:H, 6, FALSE), 0), "REORDER", "")</f>
        <v/>
      </c>
      <c r="K12">
        <f>C12+D12</f>
        <v/>
      </c>
    </row>
    <row r="13" ht="15.75" customHeight="1" s="14">
      <c r="B13" s="5" t="inlineStr">
        <is>
          <t>Macallan 15</t>
        </is>
      </c>
      <c r="C13" s="5" t="n">
        <v>1</v>
      </c>
      <c r="F13" s="5">
        <f>C13 + D13 - E13</f>
        <v/>
      </c>
      <c r="H13" s="5">
        <f>K13*G13</f>
        <v/>
      </c>
      <c r="I13" s="5">
        <f>IF(F13 &lt;= IFERROR(VLOOKUP(B13, Master_Items!C:H, 6, FALSE), 0), "REORDER", "")</f>
        <v/>
      </c>
      <c r="K13">
        <f>C13+D13</f>
        <v/>
      </c>
    </row>
    <row r="14" ht="15.75" customHeight="1" s="14">
      <c r="B14" s="5" t="inlineStr">
        <is>
          <t>Glenfiddich 15</t>
        </is>
      </c>
      <c r="C14" s="5" t="n">
        <v>1</v>
      </c>
      <c r="F14" s="5">
        <f>C14 + D14 - E14</f>
        <v/>
      </c>
      <c r="H14" s="5">
        <f>K14*G14</f>
        <v/>
      </c>
      <c r="I14" s="5">
        <f>IF(F14 &lt;= IFERROR(VLOOKUP(B14, Master_Items!C:H, 6, FALSE), 0), "REORDER", "")</f>
        <v/>
      </c>
      <c r="K14">
        <f>C14+D14</f>
        <v/>
      </c>
    </row>
    <row r="15" ht="15.75" customHeight="1" s="14">
      <c r="B15" s="5" t="inlineStr">
        <is>
          <t>Glenfiddich 18</t>
        </is>
      </c>
      <c r="C15" s="5" t="n">
        <v>1</v>
      </c>
      <c r="F15" s="5">
        <f>C15 + D15 - E15</f>
        <v/>
      </c>
      <c r="H15" s="5">
        <f>K15*G15</f>
        <v/>
      </c>
      <c r="I15" s="5">
        <f>IF(F15 &lt;= IFERROR(VLOOKUP(B15, Master_Items!C:H, 6, FALSE), 0), "REORDER", "")</f>
        <v/>
      </c>
      <c r="K15">
        <f>C15+D15</f>
        <v/>
      </c>
    </row>
    <row r="16" ht="15.75" customHeight="1" s="14">
      <c r="B16" s="5" t="inlineStr">
        <is>
          <t>Glenfiddich 12</t>
        </is>
      </c>
      <c r="C16" s="5" t="n">
        <v>1</v>
      </c>
      <c r="F16" s="5">
        <f>C16 + D16 - E16</f>
        <v/>
      </c>
      <c r="H16" s="5">
        <f>K16*G16</f>
        <v/>
      </c>
      <c r="I16" s="5">
        <f>IF(F16 &lt;= IFERROR(VLOOKUP(B16, Master_Items!C:H, 6, FALSE), 0), "REORDER", "")</f>
        <v/>
      </c>
      <c r="K16">
        <f>C16+D16</f>
        <v/>
      </c>
    </row>
    <row r="17" ht="15.75" customHeight="1" s="14">
      <c r="B17" s="5" t="inlineStr">
        <is>
          <t>Ron Corina Silver</t>
        </is>
      </c>
      <c r="C17" s="5" t="n">
        <v>1</v>
      </c>
      <c r="F17" s="5">
        <f>C17 + D17 - E17</f>
        <v/>
      </c>
      <c r="H17" s="5">
        <f>K17*G17</f>
        <v/>
      </c>
      <c r="I17" s="5">
        <f>IF(F17 &lt;= IFERROR(VLOOKUP(B17, Master_Items!C:H, 6, FALSE), 0), "REORDER", "")</f>
        <v/>
      </c>
      <c r="K17">
        <f>C17+D17</f>
        <v/>
      </c>
    </row>
    <row r="18" ht="15.75" customHeight="1" s="14">
      <c r="B18" s="5" t="inlineStr">
        <is>
          <t>Maestro Dobel Diamante</t>
        </is>
      </c>
      <c r="C18" s="5" t="n">
        <v>1</v>
      </c>
      <c r="F18" s="5">
        <f>C18 + D18 - E18</f>
        <v/>
      </c>
      <c r="H18" s="5">
        <f>K18*G18</f>
        <v/>
      </c>
      <c r="I18" s="5">
        <f>IF(F18 &lt;= IFERROR(VLOOKUP(B18, Master_Items!C:H, 6, FALSE), 0), "REORDER", "")</f>
        <v/>
      </c>
      <c r="K18">
        <f>C18+D18</f>
        <v/>
      </c>
    </row>
    <row r="19" ht="15.75" customHeight="1" s="14">
      <c r="B19" s="5" t="inlineStr">
        <is>
          <t>Rumple Minze</t>
        </is>
      </c>
      <c r="C19" s="5" t="n">
        <v>3</v>
      </c>
      <c r="F19" s="5">
        <f>C19 + D19 - E19</f>
        <v/>
      </c>
      <c r="H19" s="5">
        <f>K19*G19</f>
        <v/>
      </c>
      <c r="I19" s="5">
        <f>IF(F19 &lt;= IFERROR(VLOOKUP(B19, Master_Items!C:H, 6, FALSE), 0), "REORDER", "")</f>
        <v/>
      </c>
      <c r="K19">
        <f>C19+D19</f>
        <v/>
      </c>
    </row>
    <row r="20" ht="15.75" customHeight="1" s="14">
      <c r="B20" s="5" t="inlineStr">
        <is>
          <t>Jameson Irish</t>
        </is>
      </c>
      <c r="C20" s="5" t="n">
        <v>9</v>
      </c>
      <c r="F20" s="5">
        <f>C20 + D20 - E20</f>
        <v/>
      </c>
      <c r="H20" s="5">
        <f>K20*G20</f>
        <v/>
      </c>
      <c r="I20" s="5">
        <f>IF(F20 &lt;= IFERROR(VLOOKUP(B20, Master_Items!C:H, 6, FALSE), 0), "REORDER", "")</f>
        <v/>
      </c>
      <c r="K20">
        <f>C20+D20</f>
        <v/>
      </c>
    </row>
    <row r="21" ht="15.75" customHeight="1" s="14">
      <c r="B21" s="5" t="inlineStr">
        <is>
          <t>Bulleit Rye Whiskey</t>
        </is>
      </c>
      <c r="C21" s="5" t="n">
        <v>2</v>
      </c>
      <c r="F21" s="5">
        <f>C21 + D21 - E21</f>
        <v/>
      </c>
      <c r="H21" s="5">
        <f>K21*G21</f>
        <v/>
      </c>
      <c r="I21" s="5">
        <f>IF(F21 &lt;= IFERROR(VLOOKUP(B21, Master_Items!C:H, 6, FALSE), 0), "REORDER", "")</f>
        <v/>
      </c>
      <c r="K21">
        <f>C21+D21</f>
        <v/>
      </c>
    </row>
    <row r="22" ht="15.75" customHeight="1" s="14">
      <c r="B22" s="5" t="inlineStr">
        <is>
          <t>Woodford Reserve Bourbon</t>
        </is>
      </c>
      <c r="C22" s="5" t="n">
        <v>1</v>
      </c>
      <c r="F22" s="5">
        <f>C22 + D22 - E22</f>
        <v/>
      </c>
      <c r="H22" s="5">
        <f>K22*G22</f>
        <v/>
      </c>
      <c r="I22" s="5">
        <f>IF(F22 &lt;= IFERROR(VLOOKUP(B22, Master_Items!C:H, 6, FALSE), 0), "REORDER", "")</f>
        <v/>
      </c>
      <c r="K22">
        <f>C22+D22</f>
        <v/>
      </c>
    </row>
    <row r="23" ht="15.75" customHeight="1" s="14">
      <c r="B23" s="5" t="inlineStr">
        <is>
          <t>Jack Daniel’s Tennessee</t>
        </is>
      </c>
      <c r="C23" s="5" t="n">
        <v>3</v>
      </c>
      <c r="F23" s="5">
        <f>C23 + D23 - E23</f>
        <v/>
      </c>
      <c r="H23" s="5">
        <f>K23*G23</f>
        <v/>
      </c>
      <c r="I23" s="5">
        <f>IF(F23 &lt;= IFERROR(VLOOKUP(B23, Master_Items!C:H, 6, FALSE), 0), "REORDER", "")</f>
        <v/>
      </c>
      <c r="K23">
        <f>C23+D23</f>
        <v/>
      </c>
    </row>
    <row r="24" ht="15.75" customHeight="1" s="14">
      <c r="B24" s="5" t="inlineStr">
        <is>
          <t>Four Walls</t>
        </is>
      </c>
      <c r="C24" s="5" t="n">
        <v>1</v>
      </c>
      <c r="F24" s="5">
        <f>C24 + D24 - E24</f>
        <v/>
      </c>
      <c r="H24" s="5">
        <f>K24*G24</f>
        <v/>
      </c>
      <c r="I24" s="5">
        <f>IF(F24 &lt;= IFERROR(VLOOKUP(B24, Master_Items!C:H, 6, FALSE), 0), "REORDER", "")</f>
        <v/>
      </c>
      <c r="K24">
        <f>C24+D24</f>
        <v/>
      </c>
    </row>
    <row r="25" ht="15.75" customHeight="1" s="14">
      <c r="B25" s="5" t="inlineStr">
        <is>
          <t>Rebecca Creek</t>
        </is>
      </c>
      <c r="C25" s="5" t="n">
        <v>1</v>
      </c>
      <c r="F25" s="5">
        <f>C25 + D25 - E25</f>
        <v/>
      </c>
      <c r="H25" s="5">
        <f>K25*G25</f>
        <v/>
      </c>
      <c r="I25" s="5">
        <f>IF(F25 &lt;= IFERROR(VLOOKUP(B25, Master_Items!C:H, 6, FALSE), 0), "REORDER", "")</f>
        <v/>
      </c>
      <c r="K25">
        <f>C25+D25</f>
        <v/>
      </c>
    </row>
    <row r="26" ht="15.75" customHeight="1" s="14">
      <c r="B26" s="5" t="inlineStr">
        <is>
          <t>Russell</t>
        </is>
      </c>
      <c r="C26" s="5" t="n">
        <v>1</v>
      </c>
      <c r="F26" s="5">
        <f>C26 + D26 - E26</f>
        <v/>
      </c>
      <c r="H26" s="5">
        <f>K26*G26</f>
        <v/>
      </c>
      <c r="I26" s="5">
        <f>IF(F26 &lt;= IFERROR(VLOOKUP(B26, Master_Items!C:H, 6, FALSE), 0), "REORDER", "")</f>
        <v/>
      </c>
      <c r="K26">
        <f>C26+D26</f>
        <v/>
      </c>
    </row>
    <row r="27" ht="15.75" customHeight="1" s="14">
      <c r="B27" s="5" t="inlineStr">
        <is>
          <t>SagaMore Rye</t>
        </is>
      </c>
      <c r="C27" s="5" t="n">
        <v>1</v>
      </c>
      <c r="F27" s="5">
        <f>C27 + D27 - E27</f>
        <v/>
      </c>
      <c r="H27" s="5">
        <f>K27*G27</f>
        <v/>
      </c>
      <c r="I27" s="5">
        <f>IF(F27 &lt;= IFERROR(VLOOKUP(B27, Master_Items!C:H, 6, FALSE), 0), "REORDER", "")</f>
        <v/>
      </c>
      <c r="K27">
        <f>C27+D27</f>
        <v/>
      </c>
    </row>
    <row r="28" ht="15.75" customHeight="1" s="14">
      <c r="B28" s="5" t="inlineStr">
        <is>
          <t>Michter’s Bourbon</t>
        </is>
      </c>
      <c r="C28" s="5" t="n">
        <v>2</v>
      </c>
      <c r="F28" s="5">
        <f>C28 + D28 - E28</f>
        <v/>
      </c>
      <c r="H28" s="5">
        <f>K28*G28</f>
        <v/>
      </c>
      <c r="I28" s="5">
        <f>IF(F28 &lt;= IFERROR(VLOOKUP(B28, Master_Items!C:H, 6, FALSE), 0), "REORDER", "")</f>
        <v/>
      </c>
      <c r="K28">
        <f>C28+D28</f>
        <v/>
      </c>
    </row>
    <row r="29" ht="15.75" customHeight="1" s="14">
      <c r="B29" s="5" t="inlineStr">
        <is>
          <t>Texas Ranger Peach</t>
        </is>
      </c>
      <c r="C29" s="5" t="n">
        <v>1</v>
      </c>
      <c r="F29" s="5">
        <f>C29 + D29 - E29</f>
        <v/>
      </c>
      <c r="H29" s="5">
        <f>K29*G29</f>
        <v/>
      </c>
      <c r="I29" s="5">
        <f>IF(F29 &lt;= IFERROR(VLOOKUP(B29, Master_Items!C:H, 6, FALSE), 0), "REORDER", "")</f>
        <v/>
      </c>
      <c r="K29">
        <f>C29+D29</f>
        <v/>
      </c>
    </row>
    <row r="30" ht="15.75" customHeight="1" s="14">
      <c r="B30" s="5" t="inlineStr">
        <is>
          <t>Texas Ranger Coconut</t>
        </is>
      </c>
      <c r="C30" s="5" t="n">
        <v>1</v>
      </c>
      <c r="F30" s="5">
        <f>C30 + D30 - E30</f>
        <v/>
      </c>
      <c r="H30" s="5">
        <f>K30*G30</f>
        <v/>
      </c>
      <c r="I30" s="5">
        <f>IF(F30 &lt;= IFERROR(VLOOKUP(B30, Master_Items!C:H, 6, FALSE), 0), "REORDER", "")</f>
        <v/>
      </c>
      <c r="K30">
        <f>C30+D30</f>
        <v/>
      </c>
    </row>
    <row r="31" ht="15.75" customHeight="1" s="14">
      <c r="B31" s="5" t="inlineStr">
        <is>
          <t>Texas Ranger Peanut Butter</t>
        </is>
      </c>
      <c r="C31" s="5" t="n">
        <v>1</v>
      </c>
      <c r="F31" s="5">
        <f>C31 + D31 - E31</f>
        <v/>
      </c>
      <c r="H31" s="5">
        <f>K31*G31</f>
        <v/>
      </c>
      <c r="I31" s="5">
        <f>IF(F31 &lt;= IFERROR(VLOOKUP(B31, Master_Items!C:H, 6, FALSE), 0), "REORDER", "")</f>
        <v/>
      </c>
      <c r="K31">
        <f>C31+D31</f>
        <v/>
      </c>
    </row>
    <row r="32" ht="15.75" customHeight="1" s="14">
      <c r="B32" s="5" t="inlineStr">
        <is>
          <t>Jim Bim</t>
        </is>
      </c>
      <c r="C32" s="5" t="n">
        <v>1</v>
      </c>
      <c r="F32" s="5">
        <f>C32 + D32 - E32</f>
        <v/>
      </c>
      <c r="H32" s="5">
        <f>K32*G32</f>
        <v/>
      </c>
      <c r="I32" s="5">
        <f>IF(F32 &lt;= IFERROR(VLOOKUP(B32, Master_Items!C:H, 6, FALSE), 0), "REORDER", "")</f>
        <v/>
      </c>
      <c r="K32">
        <f>C32+D32</f>
        <v/>
      </c>
    </row>
    <row r="33" ht="15.75" customHeight="1" s="14">
      <c r="B33" s="5" t="inlineStr">
        <is>
          <t>Crown Royal Canadian Whisky</t>
        </is>
      </c>
      <c r="C33" s="5" t="n">
        <v>3</v>
      </c>
      <c r="F33" s="5">
        <f>C33 + D33 - E33</f>
        <v/>
      </c>
      <c r="H33" s="5">
        <f>K33*G33</f>
        <v/>
      </c>
      <c r="I33" s="5">
        <f>IF(F33 &lt;= IFERROR(VLOOKUP(B33, Master_Items!C:H, 6, FALSE), 0), "REORDER", "")</f>
        <v/>
      </c>
      <c r="K33">
        <f>C33+D33</f>
        <v/>
      </c>
    </row>
    <row r="34" ht="15.75" customHeight="1" s="14">
      <c r="B34" s="5" t="inlineStr">
        <is>
          <t>Disaronno</t>
        </is>
      </c>
      <c r="C34" s="5" t="n">
        <v>1</v>
      </c>
      <c r="F34" s="5">
        <f>C34 + D34 - E34</f>
        <v/>
      </c>
      <c r="H34" s="5">
        <f>K34*G34</f>
        <v/>
      </c>
      <c r="I34" s="5">
        <f>IF(F34 &lt;= IFERROR(VLOOKUP(B34, Master_Items!C:H, 6, FALSE), 0), "REORDER", "")</f>
        <v/>
      </c>
      <c r="K34">
        <f>C34+D34</f>
        <v/>
      </c>
    </row>
    <row r="35" ht="15.75" customHeight="1" s="14">
      <c r="B35" s="5" t="inlineStr">
        <is>
          <t>Diplomático Reserva</t>
        </is>
      </c>
      <c r="C35" s="5" t="n">
        <v>1</v>
      </c>
      <c r="F35" s="5">
        <f>C35 + D35 - E35</f>
        <v/>
      </c>
      <c r="H35" s="5">
        <f>K35*G35</f>
        <v/>
      </c>
      <c r="I35" s="5">
        <f>IF(F35 &lt;= IFERROR(VLOOKUP(B35, Master_Items!C:H, 6, FALSE), 0), "REORDER", "")</f>
        <v/>
      </c>
      <c r="K35">
        <f>C35+D35</f>
        <v/>
      </c>
    </row>
    <row r="36" ht="15.75" customHeight="1" s="14">
      <c r="B36" s="5" t="inlineStr">
        <is>
          <t>Patrón Reposado</t>
        </is>
      </c>
      <c r="C36" s="5" t="n">
        <v>1</v>
      </c>
      <c r="F36" s="5">
        <f>C36 + D36 - E36</f>
        <v/>
      </c>
      <c r="H36" s="5">
        <f>K36*G36</f>
        <v/>
      </c>
      <c r="I36" s="5">
        <f>IF(F36 &lt;= IFERROR(VLOOKUP(B36, Master_Items!C:H, 6, FALSE), 0), "REORDER", "")</f>
        <v/>
      </c>
      <c r="K36">
        <f>C36+D36</f>
        <v/>
      </c>
    </row>
    <row r="37" ht="15.75" customHeight="1" s="14">
      <c r="B37" s="5" t="inlineStr">
        <is>
          <t>Patrón Silver</t>
        </is>
      </c>
      <c r="C37" s="5" t="n">
        <v>1</v>
      </c>
      <c r="F37" s="5">
        <f>C37 + D37 - E37</f>
        <v/>
      </c>
      <c r="H37" s="5">
        <f>K37*G37</f>
        <v/>
      </c>
      <c r="I37" s="5">
        <f>IF(F37 &lt;= IFERROR(VLOOKUP(B37, Master_Items!C:H, 6, FALSE), 0), "REORDER", "")</f>
        <v/>
      </c>
      <c r="K37">
        <f>C37+D37</f>
        <v/>
      </c>
    </row>
    <row r="38" ht="15.75" customHeight="1" s="14">
      <c r="B38" s="5" t="inlineStr">
        <is>
          <t>Don Julio 70th</t>
        </is>
      </c>
      <c r="C38" s="5" t="n">
        <v>1</v>
      </c>
      <c r="F38" s="5">
        <f>C38 + D38 - E38</f>
        <v/>
      </c>
      <c r="H38" s="5">
        <f>K38*G38</f>
        <v/>
      </c>
      <c r="I38" s="5">
        <f>IF(F38 &lt;= IFERROR(VLOOKUP(B38, Master_Items!C:H, 6, FALSE), 0), "REORDER", "")</f>
        <v/>
      </c>
      <c r="K38">
        <f>C38+D38</f>
        <v/>
      </c>
    </row>
    <row r="39" ht="15.75" customHeight="1" s="14">
      <c r="B39" s="5" t="inlineStr">
        <is>
          <t>Don Julio Reposado</t>
        </is>
      </c>
      <c r="C39" s="5" t="n">
        <v>2</v>
      </c>
      <c r="F39" s="5">
        <f>C39 + D39 - E39</f>
        <v/>
      </c>
      <c r="H39" s="5">
        <f>K39*G39</f>
        <v/>
      </c>
      <c r="I39" s="5">
        <f>IF(F39 &lt;= IFERROR(VLOOKUP(B39, Master_Items!C:H, 6, FALSE), 0), "REORDER", "")</f>
        <v/>
      </c>
      <c r="K39">
        <f>C39+D39</f>
        <v/>
      </c>
    </row>
    <row r="40" ht="15.75" customHeight="1" s="14">
      <c r="B40" s="5" t="inlineStr">
        <is>
          <t>Espolòn Blanco</t>
        </is>
      </c>
      <c r="C40" s="5" t="n">
        <v>2</v>
      </c>
      <c r="F40" s="5">
        <f>C40 + D40 - E40</f>
        <v/>
      </c>
      <c r="H40" s="5">
        <f>K40*G40</f>
        <v/>
      </c>
      <c r="I40" s="5">
        <f>IF(F40 &lt;= IFERROR(VLOOKUP(B40, Master_Items!C:H, 6, FALSE), 0), "REORDER", "")</f>
        <v/>
      </c>
      <c r="K40">
        <f>C40+D40</f>
        <v/>
      </c>
    </row>
    <row r="41" ht="15.75" customHeight="1" s="14">
      <c r="B41" s="5" t="inlineStr">
        <is>
          <t>Espolòn Reposado</t>
        </is>
      </c>
      <c r="C41" s="5" t="n">
        <v>2</v>
      </c>
      <c r="F41" s="5">
        <f>C41 + D41 - E41</f>
        <v/>
      </c>
      <c r="H41" s="5">
        <f>K41*G41</f>
        <v/>
      </c>
      <c r="I41" s="5">
        <f>IF(F41 &lt;= IFERROR(VLOOKUP(B41, Master_Items!C:H, 6, FALSE), 0), "REORDER", "")</f>
        <v/>
      </c>
      <c r="K41">
        <f>C41+D41</f>
        <v/>
      </c>
    </row>
    <row r="42" ht="15.75" customHeight="1" s="14">
      <c r="B42" s="5" t="inlineStr">
        <is>
          <t>Lunazul</t>
        </is>
      </c>
      <c r="C42" s="5" t="n">
        <v>1</v>
      </c>
      <c r="F42" s="5">
        <f>C42 + D42 - E42</f>
        <v/>
      </c>
      <c r="H42" s="5">
        <f>K42*G42</f>
        <v/>
      </c>
      <c r="I42" s="5">
        <f>IF(F42 &lt;= IFERROR(VLOOKUP(B42, Master_Items!C:H, 6, FALSE), 0), "REORDER", "")</f>
        <v/>
      </c>
      <c r="K42">
        <f>C42+D42</f>
        <v/>
      </c>
    </row>
    <row r="43" ht="15.75" customHeight="1" s="14">
      <c r="B43" s="5" t="inlineStr">
        <is>
          <t>Lost Explorer</t>
        </is>
      </c>
      <c r="C43" s="5" t="n">
        <v>1</v>
      </c>
      <c r="F43" s="5">
        <f>C43 + D43 - E43</f>
        <v/>
      </c>
      <c r="H43" s="5">
        <f>K43*G43</f>
        <v/>
      </c>
      <c r="I43" s="5">
        <f>IF(F43 &lt;= IFERROR(VLOOKUP(B43, Master_Items!C:H, 6, FALSE), 0), "REORDER", "")</f>
        <v/>
      </c>
      <c r="K43">
        <f>C43+D43</f>
        <v/>
      </c>
    </row>
    <row r="44" ht="15.75" customHeight="1" s="14">
      <c r="B44" s="5" t="inlineStr">
        <is>
          <t>Lalo</t>
        </is>
      </c>
      <c r="C44" s="5" t="n">
        <v>6</v>
      </c>
      <c r="F44" s="5">
        <f>C44 + D44 - E44</f>
        <v/>
      </c>
      <c r="H44" s="5">
        <f>K44*G44</f>
        <v/>
      </c>
      <c r="I44" s="5">
        <f>IF(F44 &lt;= IFERROR(VLOOKUP(B44, Master_Items!C:H, 6, FALSE), 0), "REORDER", "")</f>
        <v/>
      </c>
      <c r="K44">
        <f>C44+D44</f>
        <v/>
      </c>
    </row>
    <row r="45" ht="15.75" customHeight="1" s="14">
      <c r="B45" s="5" t="inlineStr">
        <is>
          <t>Herradura</t>
        </is>
      </c>
      <c r="C45" s="5" t="n">
        <v>1</v>
      </c>
      <c r="F45" s="5">
        <f>C45 + D45 - E45</f>
        <v/>
      </c>
      <c r="H45" s="5">
        <f>K45*G45</f>
        <v/>
      </c>
      <c r="I45" s="5">
        <f>IF(F45 &lt;= IFERROR(VLOOKUP(B45, Master_Items!C:H, 6, FALSE), 0), "REORDER", "")</f>
        <v/>
      </c>
      <c r="K45">
        <f>C45+D45</f>
        <v/>
      </c>
    </row>
    <row r="46" ht="15.75" customHeight="1" s="14">
      <c r="B46" s="5" t="inlineStr">
        <is>
          <t>Casamigos Blanco</t>
        </is>
      </c>
      <c r="C46" s="5" t="n">
        <v>1</v>
      </c>
      <c r="F46" s="5">
        <f>C46 + D46 - E46</f>
        <v/>
      </c>
      <c r="H46" s="5">
        <f>K46*G46</f>
        <v/>
      </c>
      <c r="I46" s="5">
        <f>IF(F46 &lt;= IFERROR(VLOOKUP(B46, Master_Items!C:H, 6, FALSE), 0), "REORDER", "")</f>
        <v/>
      </c>
      <c r="K46">
        <f>C46+D46</f>
        <v/>
      </c>
    </row>
    <row r="47" ht="15.75" customHeight="1" s="14">
      <c r="B47" s="5" t="inlineStr">
        <is>
          <t>El Tequileño Blanco</t>
        </is>
      </c>
      <c r="C47" s="5" t="n">
        <v>1</v>
      </c>
      <c r="F47" s="5">
        <f>C47 + D47 - E47</f>
        <v/>
      </c>
      <c r="H47" s="5">
        <f>K47*G47</f>
        <v/>
      </c>
      <c r="I47" s="5">
        <f>IF(F47 &lt;= IFERROR(VLOOKUP(B47, Master_Items!C:H, 6, FALSE), 0), "REORDER", "")</f>
        <v/>
      </c>
      <c r="K47">
        <f>C47+D47</f>
        <v/>
      </c>
    </row>
    <row r="48" ht="15.75" customHeight="1" s="14">
      <c r="B48" s="5" t="inlineStr">
        <is>
          <t>El Tequileño Reposado</t>
        </is>
      </c>
      <c r="C48" s="5" t="n">
        <v>1</v>
      </c>
      <c r="F48" s="5">
        <f>C48 + D48 - E48</f>
        <v/>
      </c>
      <c r="H48" s="5">
        <f>K48*G48</f>
        <v/>
      </c>
      <c r="I48" s="5">
        <f>IF(F48 &lt;= IFERROR(VLOOKUP(B48, Master_Items!C:H, 6, FALSE), 0), "REORDER", "")</f>
        <v/>
      </c>
      <c r="K48">
        <f>C48+D48</f>
        <v/>
      </c>
    </row>
    <row r="49" ht="15.75" customHeight="1" s="14">
      <c r="B49" s="5" t="inlineStr">
        <is>
          <t>1800 Blanco</t>
        </is>
      </c>
      <c r="C49" s="5" t="n">
        <v>1</v>
      </c>
      <c r="F49" s="5">
        <f>C49 + D49 - E49</f>
        <v/>
      </c>
      <c r="H49" s="5">
        <f>K49*G49</f>
        <v/>
      </c>
      <c r="I49" s="5">
        <f>IF(F49 &lt;= IFERROR(VLOOKUP(B49, Master_Items!C:H, 6, FALSE), 0), "REORDER", "")</f>
        <v/>
      </c>
      <c r="K49">
        <f>C49+D49</f>
        <v/>
      </c>
    </row>
    <row r="50" ht="15.75" customHeight="1" s="14">
      <c r="B50" s="5" t="inlineStr">
        <is>
          <t>Dos Hombres Mezcal</t>
        </is>
      </c>
      <c r="C50" s="5" t="n">
        <v>1</v>
      </c>
      <c r="F50" s="5">
        <f>C50 + D50 - E50</f>
        <v/>
      </c>
      <c r="H50" s="5">
        <f>K50*G50</f>
        <v/>
      </c>
      <c r="I50" s="5">
        <f>IF(F50 &lt;= IFERROR(VLOOKUP(B50, Master_Items!C:H, 6, FALSE), 0), "REORDER", "")</f>
        <v/>
      </c>
      <c r="K50">
        <f>C50+D50</f>
        <v/>
      </c>
    </row>
    <row r="51" ht="15.75" customHeight="1" s="14">
      <c r="B51" s="5" t="inlineStr">
        <is>
          <t>JaJa Reposado</t>
        </is>
      </c>
      <c r="C51" s="5" t="n">
        <v>1</v>
      </c>
      <c r="F51" s="5">
        <f>C51 + D51 - E51</f>
        <v/>
      </c>
      <c r="H51" s="5">
        <f>K51*G51</f>
        <v/>
      </c>
      <c r="I51" s="5">
        <f>IF(F51 &lt;= IFERROR(VLOOKUP(B51, Master_Items!C:H, 6, FALSE), 0), "REORDER", "")</f>
        <v/>
      </c>
      <c r="K51">
        <f>C51+D51</f>
        <v/>
      </c>
    </row>
    <row r="52" ht="15.75" customHeight="1" s="14">
      <c r="B52" s="5" t="inlineStr">
        <is>
          <t>JaJa Blanco</t>
        </is>
      </c>
      <c r="C52" s="5" t="n">
        <v>1</v>
      </c>
      <c r="F52" s="5">
        <f>C52 + D52 - E52</f>
        <v/>
      </c>
      <c r="H52" s="5">
        <f>K52*G52</f>
        <v/>
      </c>
      <c r="I52" s="5">
        <f>IF(F52 &lt;= IFERROR(VLOOKUP(B52, Master_Items!C:H, 6, FALSE), 0), "REORDER", "")</f>
        <v/>
      </c>
      <c r="K52">
        <f>C52+D52</f>
        <v/>
      </c>
    </row>
    <row r="53" ht="15.75" customHeight="1" s="14">
      <c r="B53" s="5" t="inlineStr">
        <is>
          <t>Naranja</t>
        </is>
      </c>
      <c r="C53" s="5" t="n">
        <v>2</v>
      </c>
      <c r="F53" s="5">
        <f>C53 + D53 - E53</f>
        <v/>
      </c>
      <c r="H53" s="5">
        <f>K53*G53</f>
        <v/>
      </c>
      <c r="I53" s="5">
        <f>IF(F53 &lt;= IFERROR(VLOOKUP(B53, Master_Items!C:H, 6, FALSE), 0), "REORDER", "")</f>
        <v/>
      </c>
      <c r="K53">
        <f>C53+D53</f>
        <v/>
      </c>
    </row>
    <row r="54" ht="15.75" customHeight="1" s="14">
      <c r="B54" s="5" t="inlineStr">
        <is>
          <t>Jagermeister</t>
        </is>
      </c>
      <c r="C54" s="5" t="n">
        <v>7</v>
      </c>
      <c r="F54" s="5">
        <f>C54 + D54 - E54</f>
        <v/>
      </c>
      <c r="H54" s="5">
        <f>K54*G54</f>
        <v/>
      </c>
      <c r="I54" s="5">
        <f>IF(F54 &lt;= IFERROR(VLOOKUP(B54, Master_Items!C:H, 6, FALSE), 0), "REORDER", "")</f>
        <v/>
      </c>
      <c r="K54">
        <f>C54+D54</f>
        <v/>
      </c>
    </row>
    <row r="55" ht="15.75" customHeight="1" s="14">
      <c r="B55" s="5" t="inlineStr">
        <is>
          <t>Hendrick’s</t>
        </is>
      </c>
      <c r="C55" s="5" t="n">
        <v>1</v>
      </c>
      <c r="F55" s="5">
        <f>C55 + D55 - E55</f>
        <v/>
      </c>
      <c r="H55" s="5">
        <f>K55*G55</f>
        <v/>
      </c>
      <c r="I55" s="5">
        <f>IF(F55 &lt;= IFERROR(VLOOKUP(B55, Master_Items!C:H, 6, FALSE), 0), "REORDER", "")</f>
        <v/>
      </c>
      <c r="K55">
        <f>C55+D55</f>
        <v/>
      </c>
    </row>
    <row r="56" ht="15.75" customHeight="1" s="14">
      <c r="B56" s="5" t="inlineStr">
        <is>
          <t>Bombay Sapphire</t>
        </is>
      </c>
      <c r="C56" s="5" t="n">
        <v>1</v>
      </c>
      <c r="F56" s="5">
        <f>C56 + D56 - E56</f>
        <v/>
      </c>
      <c r="H56" s="5">
        <f>K56*G56</f>
        <v/>
      </c>
      <c r="I56" s="5">
        <f>IF(F56 &lt;= IFERROR(VLOOKUP(B56, Master_Items!C:H, 6, FALSE), 0), "REORDER", "")</f>
        <v/>
      </c>
      <c r="K56">
        <f>C56+D56</f>
        <v/>
      </c>
    </row>
    <row r="57" ht="15.75" customHeight="1" s="14">
      <c r="B57" s="5" t="inlineStr">
        <is>
          <t>Tanqueray</t>
        </is>
      </c>
      <c r="C57" s="5" t="n">
        <v>1</v>
      </c>
      <c r="F57" s="5">
        <f>C57 + D57 - E57</f>
        <v/>
      </c>
      <c r="H57" s="5">
        <f>K57*G57</f>
        <v/>
      </c>
      <c r="I57" s="5">
        <f>IF(F57 &lt;= IFERROR(VLOOKUP(B57, Master_Items!C:H, 6, FALSE), 0), "REORDER", "")</f>
        <v/>
      </c>
      <c r="K57">
        <f>C57+D57</f>
        <v/>
      </c>
    </row>
    <row r="58" ht="15.75" customHeight="1" s="14">
      <c r="B58" s="5" t="inlineStr">
        <is>
          <t>RumChata</t>
        </is>
      </c>
      <c r="C58" s="5" t="n">
        <v>2</v>
      </c>
      <c r="F58" s="5">
        <f>C58 + D58 - E58</f>
        <v/>
      </c>
      <c r="H58" s="5">
        <f>K58*G58</f>
        <v/>
      </c>
      <c r="I58" s="5">
        <f>IF(F58 &lt;= IFERROR(VLOOKUP(B58, Master_Items!C:H, 6, FALSE), 0), "REORDER", "")</f>
        <v/>
      </c>
      <c r="K58">
        <f>C58+D58</f>
        <v/>
      </c>
    </row>
    <row r="59" ht="15.75" customHeight="1" s="14">
      <c r="B59" s="5" t="inlineStr">
        <is>
          <t>Deep Eddy Lime</t>
        </is>
      </c>
      <c r="C59" s="5" t="n">
        <v>1</v>
      </c>
      <c r="F59" s="5">
        <f>C59 + D59 - E59</f>
        <v/>
      </c>
      <c r="H59" s="5">
        <f>K59*G59</f>
        <v/>
      </c>
      <c r="I59" s="5">
        <f>IF(F59 &lt;= IFERROR(VLOOKUP(B59, Master_Items!C:H, 6, FALSE), 0), "REORDER", "")</f>
        <v/>
      </c>
      <c r="K59">
        <f>C59+D59</f>
        <v/>
      </c>
    </row>
    <row r="60" ht="15.75" customHeight="1" s="14">
      <c r="B60" s="5" t="inlineStr">
        <is>
          <t>Deep Eddy Peach</t>
        </is>
      </c>
      <c r="C60" s="5" t="n">
        <v>1</v>
      </c>
      <c r="F60" s="5">
        <f>C60 + D60 - E60</f>
        <v/>
      </c>
      <c r="H60" s="5">
        <f>K60*G60</f>
        <v/>
      </c>
      <c r="I60" s="5">
        <f>IF(F60 &lt;= IFERROR(VLOOKUP(B60, Master_Items!C:H, 6, FALSE), 0), "REORDER", "")</f>
        <v/>
      </c>
      <c r="K60">
        <f>C60+D60</f>
        <v/>
      </c>
    </row>
    <row r="61" ht="15.75" customHeight="1" s="14">
      <c r="B61" s="5" t="inlineStr">
        <is>
          <t>Deep Eddy Ruby Red</t>
        </is>
      </c>
      <c r="C61" s="5" t="n">
        <v>1</v>
      </c>
      <c r="F61" s="5">
        <f>C61 + D61 - E61</f>
        <v/>
      </c>
      <c r="H61" s="5">
        <f>K61*G61</f>
        <v/>
      </c>
      <c r="I61" s="5">
        <f>IF(F61 &lt;= IFERROR(VLOOKUP(B61, Master_Items!C:H, 6, FALSE), 0), "REORDER", "")</f>
        <v/>
      </c>
      <c r="K61">
        <f>C61+D61</f>
        <v/>
      </c>
    </row>
    <row r="62" ht="15.75" customHeight="1" s="14">
      <c r="B62" s="5" t="inlineStr">
        <is>
          <t>Dry Well Mountain</t>
        </is>
      </c>
      <c r="C62" s="5" t="n">
        <v>1</v>
      </c>
      <c r="F62" s="5">
        <f>C62 + D62 - E62</f>
        <v/>
      </c>
      <c r="H62" s="5">
        <f>K62*G62</f>
        <v/>
      </c>
      <c r="I62" s="5">
        <f>IF(F62 &lt;= IFERROR(VLOOKUP(B62, Master_Items!C:H, 6, FALSE), 0), "REORDER", "")</f>
        <v/>
      </c>
      <c r="K62">
        <f>C62+D62</f>
        <v/>
      </c>
    </row>
    <row r="63" ht="15.75" customHeight="1" s="14">
      <c r="B63" s="5" t="inlineStr">
        <is>
          <t>Ketel One</t>
        </is>
      </c>
      <c r="C63" s="5" t="n">
        <v>1</v>
      </c>
      <c r="F63" s="5">
        <f>C63 + D63 - E63</f>
        <v/>
      </c>
      <c r="H63" s="5">
        <f>K63*G63</f>
        <v/>
      </c>
      <c r="I63" s="5">
        <f>IF(F63 &lt;= IFERROR(VLOOKUP(B63, Master_Items!C:H, 6, FALSE), 0), "REORDER", "")</f>
        <v/>
      </c>
      <c r="K63">
        <f>C63+D63</f>
        <v/>
      </c>
    </row>
    <row r="64" ht="15.75" customHeight="1" s="14">
      <c r="B64" s="5" t="inlineStr">
        <is>
          <t>Smirnoff Vanilla</t>
        </is>
      </c>
      <c r="C64" s="5" t="n">
        <v>1</v>
      </c>
      <c r="F64" s="5">
        <f>C64 + D64 - E64</f>
        <v/>
      </c>
      <c r="H64" s="5">
        <f>K64*G64</f>
        <v/>
      </c>
      <c r="I64" s="5">
        <f>IF(F64 &lt;= IFERROR(VLOOKUP(B64, Master_Items!C:H, 6, FALSE), 0), "REORDER", "")</f>
        <v/>
      </c>
      <c r="K64">
        <f>C64+D64</f>
        <v/>
      </c>
    </row>
    <row r="65" ht="15.75" customHeight="1" s="14">
      <c r="B65" s="5" t="inlineStr">
        <is>
          <t>Smirnoff Peach</t>
        </is>
      </c>
      <c r="C65" s="5" t="n">
        <v>1</v>
      </c>
      <c r="F65" s="5">
        <f>C65 + D65 - E65</f>
        <v/>
      </c>
      <c r="H65" s="5">
        <f>K65*G65</f>
        <v/>
      </c>
      <c r="I65" s="5">
        <f>IF(F65 &lt;= IFERROR(VLOOKUP(B65, Master_Items!C:H, 6, FALSE), 0), "REORDER", "")</f>
        <v/>
      </c>
      <c r="K65">
        <f>C65+D65</f>
        <v/>
      </c>
    </row>
    <row r="66" ht="15.75" customHeight="1" s="14">
      <c r="B66" s="5" t="inlineStr">
        <is>
          <t>Smirnoff Raspberry</t>
        </is>
      </c>
      <c r="C66" s="5" t="n">
        <v>1</v>
      </c>
      <c r="F66" s="5">
        <f>C66 + D66 - E66</f>
        <v/>
      </c>
      <c r="H66" s="5">
        <f>K66*G66</f>
        <v/>
      </c>
      <c r="I66" s="5">
        <f>IF(F66 &lt;= IFERROR(VLOOKUP(B66, Master_Items!C:H, 6, FALSE), 0), "REORDER", "")</f>
        <v/>
      </c>
      <c r="K66">
        <f>C66+D66</f>
        <v/>
      </c>
    </row>
    <row r="67" ht="15.75" customHeight="1" s="14">
      <c r="B67" s="5" t="inlineStr">
        <is>
          <t>Smirnoff Pink Lemonade</t>
        </is>
      </c>
      <c r="C67" s="5" t="n">
        <v>1</v>
      </c>
      <c r="F67" s="5">
        <f>C67 + D67 - E67</f>
        <v/>
      </c>
      <c r="H67" s="5">
        <f>K67*G67</f>
        <v/>
      </c>
      <c r="I67" s="5">
        <f>IF(F67 &lt;= IFERROR(VLOOKUP(B67, Master_Items!C:H, 6, FALSE), 0), "REORDER", "")</f>
        <v/>
      </c>
      <c r="K67">
        <f>C67+D67</f>
        <v/>
      </c>
    </row>
    <row r="68" ht="15.75" customHeight="1" s="14">
      <c r="B68" s="5" t="inlineStr">
        <is>
          <t>Baileys</t>
        </is>
      </c>
      <c r="C68" s="5" t="n">
        <v>1</v>
      </c>
      <c r="F68" s="5">
        <f>C68 + D68 - E68</f>
        <v/>
      </c>
      <c r="H68" s="5">
        <f>K68*G68</f>
        <v/>
      </c>
      <c r="I68" s="5">
        <f>IF(F68 &lt;= IFERROR(VLOOKUP(B68, Master_Items!C:H, 6, FALSE), 0), "REORDER", "")</f>
        <v/>
      </c>
      <c r="K68">
        <f>C68+D68</f>
        <v/>
      </c>
    </row>
    <row r="69" ht="15.75" customHeight="1" s="14">
      <c r="B69" s="5" t="inlineStr">
        <is>
          <t>Ron Corina Coconut</t>
        </is>
      </c>
      <c r="C69" s="5" t="n">
        <v>4</v>
      </c>
      <c r="F69" s="5">
        <f>C69 + D69 - E69</f>
        <v/>
      </c>
      <c r="H69" s="5">
        <f>K69*G69</f>
        <v/>
      </c>
      <c r="I69" s="5">
        <f>IF(F69 &lt;= IFERROR(VLOOKUP(B69, Master_Items!C:H, 6, FALSE), 0), "REORDER", "")</f>
        <v/>
      </c>
      <c r="K69">
        <f>C69+D69</f>
        <v/>
      </c>
    </row>
    <row r="70" ht="15.75" customHeight="1" s="14">
      <c r="B70" s="11" t="inlineStr">
        <is>
          <t>Kona Big Wave</t>
        </is>
      </c>
      <c r="C70" s="5" t="n">
        <v>36</v>
      </c>
      <c r="F70" s="5">
        <f>C70 + D70 - E70</f>
        <v/>
      </c>
      <c r="H70" s="5">
        <f>K70*G70</f>
        <v/>
      </c>
      <c r="I70" s="5">
        <f>IF(F70 &lt;= IFERROR(VLOOKUP(B70, Master_Items!C:H, 6, FALSE), 0), "REORDER", "")</f>
        <v/>
      </c>
      <c r="K70">
        <f>C70+D70</f>
        <v/>
      </c>
    </row>
    <row r="71" ht="15.75" customHeight="1" s="14">
      <c r="B71" s="11" t="inlineStr">
        <is>
          <t>Budweiser</t>
        </is>
      </c>
      <c r="C71" s="5" t="n">
        <v>24</v>
      </c>
      <c r="F71" s="5">
        <f>C71 + D71 - E71</f>
        <v/>
      </c>
      <c r="H71" s="5">
        <f>K71*G71</f>
        <v/>
      </c>
      <c r="I71" s="5">
        <f>IF(F71 &lt;= IFERROR(VLOOKUP(B71, Master_Items!C:H, 6, FALSE), 0), "REORDER", "")</f>
        <v/>
      </c>
      <c r="K71">
        <f>C71+D71</f>
        <v/>
      </c>
    </row>
    <row r="72" ht="15.75" customHeight="1" s="14">
      <c r="B72" s="11" t="inlineStr">
        <is>
          <t>Corona Extra</t>
        </is>
      </c>
      <c r="C72" s="5" t="n">
        <v>24</v>
      </c>
      <c r="F72" s="5">
        <f>C72 + D72 - E72</f>
        <v/>
      </c>
      <c r="H72" s="5">
        <f>K72*G72</f>
        <v/>
      </c>
      <c r="I72" s="5">
        <f>IF(F72 &lt;= IFERROR(VLOOKUP(B72, Master_Items!C:H, 6, FALSE), 0), "REORDER", "")</f>
        <v/>
      </c>
      <c r="K72">
        <f>C72+D72</f>
        <v/>
      </c>
    </row>
    <row r="73" ht="15.75" customHeight="1" s="14">
      <c r="B73" s="11" t="inlineStr">
        <is>
          <t>Heineken</t>
        </is>
      </c>
      <c r="C73" s="5" t="n">
        <v>24</v>
      </c>
      <c r="F73" s="5">
        <f>C73 + D73 - E73</f>
        <v/>
      </c>
      <c r="H73" s="5">
        <f>K73*G73</f>
        <v/>
      </c>
      <c r="I73" s="5">
        <f>IF(F73 &lt;= IFERROR(VLOOKUP(B73, Master_Items!C:H, 6, FALSE), 0), "REORDER", "")</f>
        <v/>
      </c>
      <c r="K73">
        <f>C73+D73</f>
        <v/>
      </c>
    </row>
    <row r="74" ht="15.75" customHeight="1" s="14">
      <c r="B74" s="11" t="inlineStr">
        <is>
          <t>Stella Artois</t>
        </is>
      </c>
      <c r="C74" s="5" t="n">
        <v>12</v>
      </c>
      <c r="F74" s="5">
        <f>C74 + D74 - E74</f>
        <v/>
      </c>
      <c r="H74" s="5">
        <f>K74*G74</f>
        <v/>
      </c>
      <c r="I74" s="5">
        <f>IF(F74 &lt;= IFERROR(VLOOKUP(B74, Master_Items!C:H, 6, FALSE), 0), "REORDER", "")</f>
        <v/>
      </c>
      <c r="K74">
        <f>C74+D74</f>
        <v/>
      </c>
    </row>
    <row r="75" ht="15.75" customHeight="1" s="14">
      <c r="B75" s="11" t="inlineStr">
        <is>
          <t>Michelob Ultra</t>
        </is>
      </c>
      <c r="C75" s="5" t="n">
        <v>36</v>
      </c>
      <c r="F75" s="5">
        <f>C75 + D75 - E75</f>
        <v/>
      </c>
      <c r="H75" s="5">
        <f>K75*G75</f>
        <v/>
      </c>
      <c r="I75" s="5">
        <f>IF(F75 &lt;= IFERROR(VLOOKUP(B75, Master_Items!C:H, 6, FALSE), 0), "REORDER", "")</f>
        <v/>
      </c>
      <c r="K75">
        <f>C75+D75</f>
        <v/>
      </c>
    </row>
    <row r="76" ht="15.75" customHeight="1" s="14">
      <c r="B76" s="11" t="inlineStr">
        <is>
          <t>Coors</t>
        </is>
      </c>
      <c r="C76" s="5" t="n">
        <v>12</v>
      </c>
      <c r="F76" s="5">
        <f>C76 + D76 - E76</f>
        <v/>
      </c>
      <c r="H76" s="5">
        <f>K76*G76</f>
        <v/>
      </c>
      <c r="I76" s="5">
        <f>IF(F76 &lt;= IFERROR(VLOOKUP(B76, Master_Items!C:H, 6, FALSE), 0), "REORDER", "")</f>
        <v/>
      </c>
      <c r="K76">
        <f>C76+D76</f>
        <v/>
      </c>
    </row>
    <row r="77" ht="15.75" customHeight="1" s="14">
      <c r="B77" s="11" t="inlineStr">
        <is>
          <t>Yuengling</t>
        </is>
      </c>
      <c r="C77" s="5" t="n">
        <v>12</v>
      </c>
      <c r="F77" s="5">
        <f>C77 + D77 - E77</f>
        <v/>
      </c>
      <c r="H77" s="5">
        <f>K77*G77</f>
        <v/>
      </c>
      <c r="I77" s="5">
        <f>IF(F77 &lt;= IFERROR(VLOOKUP(B77, Master_Items!C:H, 6, FALSE), 0), "REORDER", "")</f>
        <v/>
      </c>
      <c r="K77">
        <f>C77+D77</f>
        <v/>
      </c>
    </row>
    <row r="78" ht="15.75" customHeight="1" s="14">
      <c r="B78" s="11" t="inlineStr">
        <is>
          <t>Nutrl</t>
        </is>
      </c>
      <c r="C78" s="5" t="n">
        <v>12</v>
      </c>
      <c r="F78" s="5">
        <f>C78 + D78 - E78</f>
        <v/>
      </c>
      <c r="H78" s="5">
        <f>K78*G78</f>
        <v/>
      </c>
      <c r="I78" s="5">
        <f>IF(F78 &lt;= IFERROR(VLOOKUP(B78, Master_Items!C:H, 6, FALSE), 0), "REORDER", "")</f>
        <v/>
      </c>
      <c r="K78">
        <f>C78+D78</f>
        <v/>
      </c>
    </row>
    <row r="79" ht="15.75" customHeight="1" s="14">
      <c r="B79" s="13" t="inlineStr">
        <is>
          <t>Dos Equis</t>
        </is>
      </c>
      <c r="C79" s="5" t="n">
        <v>52</v>
      </c>
      <c r="F79" s="5">
        <f>C79 + D79 - E79</f>
        <v/>
      </c>
      <c r="H79" s="5">
        <f>K79*G79</f>
        <v/>
      </c>
      <c r="I79" s="5">
        <f>IF(F79 &lt;= IFERROR(VLOOKUP(B79, Master_Items!C:H, 6, FALSE), 0), "REORDER", "")</f>
        <v/>
      </c>
      <c r="K79">
        <f>C79+D79</f>
        <v/>
      </c>
    </row>
    <row r="80" ht="15.75" customHeight="1" s="14">
      <c r="B80" s="13" t="inlineStr">
        <is>
          <t>Corona Extra</t>
        </is>
      </c>
      <c r="C80" s="5" t="n">
        <v>56</v>
      </c>
      <c r="F80" s="5">
        <f>C80 + D80 - E80</f>
        <v/>
      </c>
      <c r="H80" s="5">
        <f>K80*G80</f>
        <v/>
      </c>
      <c r="I80" s="5">
        <f>IF(F80 &lt;= IFERROR(VLOOKUP(B80, Master_Items!C:H, 6, FALSE), 0), "REORDER", "")</f>
        <v/>
      </c>
      <c r="K80">
        <f>C80+D80</f>
        <v/>
      </c>
    </row>
    <row r="81" ht="15.75" customHeight="1" s="14">
      <c r="B81" s="13" t="inlineStr">
        <is>
          <t>Budweiser</t>
        </is>
      </c>
      <c r="C81" s="5" t="n">
        <v>27</v>
      </c>
      <c r="F81" s="5">
        <f>C81 + D81 - E81</f>
        <v/>
      </c>
      <c r="H81" s="5">
        <f>K81*G81</f>
        <v/>
      </c>
      <c r="I81" s="5">
        <f>IF(F81 &lt;= IFERROR(VLOOKUP(B81, Master_Items!C:H, 6, FALSE), 0), "REORDER", "")</f>
        <v/>
      </c>
      <c r="K81">
        <f>C81+D81</f>
        <v/>
      </c>
    </row>
    <row r="82" ht="15.75" customHeight="1" s="14">
      <c r="B82" s="13" t="inlineStr">
        <is>
          <t>Michelob Ultra</t>
        </is>
      </c>
      <c r="C82" s="5" t="n">
        <v>54</v>
      </c>
      <c r="F82" s="5">
        <f>C82 + D82 - E82</f>
        <v/>
      </c>
      <c r="H82" s="5">
        <f>K82*G82</f>
        <v/>
      </c>
      <c r="I82" s="5">
        <f>IF(F82 &lt;= IFERROR(VLOOKUP(B82, Master_Items!C:H, 6, FALSE), 0), "REORDER", "")</f>
        <v/>
      </c>
      <c r="K82">
        <f>C82+D82</f>
        <v/>
      </c>
    </row>
    <row r="83" ht="15.75" customHeight="1" s="14">
      <c r="B83" s="13" t="inlineStr">
        <is>
          <t>Bud Light</t>
        </is>
      </c>
      <c r="C83" s="5" t="n">
        <v>31</v>
      </c>
      <c r="F83" s="5">
        <f>C83 + D83 - E83</f>
        <v/>
      </c>
      <c r="H83" s="5">
        <f>K83*G83</f>
        <v/>
      </c>
      <c r="I83" s="5">
        <f>IF(F83 &lt;= IFERROR(VLOOKUP(B83, Master_Items!C:H, 6, FALSE), 0), "REORDER", "")</f>
        <v/>
      </c>
      <c r="K83">
        <f>C83+D83</f>
        <v/>
      </c>
    </row>
    <row r="84" ht="15.75" customHeight="1" s="14">
      <c r="B84" s="13" t="inlineStr">
        <is>
          <t>Miller Light</t>
        </is>
      </c>
      <c r="C84" s="5" t="n">
        <v>18</v>
      </c>
      <c r="F84" s="5">
        <f>C84 + D84 - E84</f>
        <v/>
      </c>
      <c r="H84" s="5">
        <f>K84*G84</f>
        <v/>
      </c>
      <c r="I84" s="5">
        <f>IF(F84 &lt;= IFERROR(VLOOKUP(B84, Master_Items!C:H, 6, FALSE), 0), "REORDER", "")</f>
        <v/>
      </c>
      <c r="K84">
        <f>C84+D84</f>
        <v/>
      </c>
    </row>
    <row r="85" ht="15.75" customHeight="1" s="14">
      <c r="B85" s="13" t="inlineStr">
        <is>
          <t>Coors</t>
        </is>
      </c>
      <c r="C85" s="5" t="n">
        <v>22</v>
      </c>
      <c r="F85" s="5">
        <f>C85 + D85 - E85</f>
        <v/>
      </c>
      <c r="H85" s="5">
        <f>K85*G85</f>
        <v/>
      </c>
      <c r="I85" s="5">
        <f>IF(F85 &lt;= IFERROR(VLOOKUP(B85, Master_Items!C:H, 6, FALSE), 0), "REORDER", "")</f>
        <v/>
      </c>
      <c r="K85">
        <f>C85+D85</f>
        <v/>
      </c>
    </row>
    <row r="86" ht="15.75" customHeight="1" s="14">
      <c r="B86" s="13" t="inlineStr">
        <is>
          <t>Shiner Bock</t>
        </is>
      </c>
      <c r="C86" s="5" t="n">
        <v>26</v>
      </c>
      <c r="F86" s="5">
        <f>C86 + D86 - E86</f>
        <v/>
      </c>
      <c r="H86" s="5">
        <f>K86*G86</f>
        <v/>
      </c>
      <c r="I86" s="5">
        <f>IF(F86 &lt;= IFERROR(VLOOKUP(B86, Master_Items!C:H, 6, FALSE), 0), "REORDER", "")</f>
        <v/>
      </c>
      <c r="K86">
        <f>C86+D86</f>
        <v/>
      </c>
    </row>
    <row r="87" ht="15.75" customHeight="1" s="14">
      <c r="B87" s="13" t="inlineStr">
        <is>
          <t>Modelo</t>
        </is>
      </c>
      <c r="C87" s="5" t="n">
        <v>21</v>
      </c>
      <c r="F87" s="5">
        <f>C87 + D87 - E87</f>
        <v/>
      </c>
      <c r="H87" s="5">
        <f>K87*G87</f>
        <v/>
      </c>
      <c r="I87" s="5">
        <f>IF(F87 &lt;= IFERROR(VLOOKUP(B87, Master_Items!C:H, 6, FALSE), 0), "REORDER", "")</f>
        <v/>
      </c>
      <c r="K87">
        <f>C87+D87</f>
        <v/>
      </c>
    </row>
    <row r="88" ht="15.75" customHeight="1" s="14">
      <c r="B88" s="13" t="inlineStr">
        <is>
          <t>Guinness</t>
        </is>
      </c>
      <c r="C88" s="5" t="n">
        <v>24</v>
      </c>
      <c r="F88" s="5">
        <f>C88 + D88 - E88</f>
        <v/>
      </c>
      <c r="H88" s="5">
        <f>K88*G88</f>
        <v/>
      </c>
      <c r="I88" s="5">
        <f>IF(F88 &lt;= IFERROR(VLOOKUP(B88, Master_Items!C:H, 6, FALSE), 0), "REORDER", "")</f>
        <v/>
      </c>
      <c r="K88">
        <f>C88+D88</f>
        <v/>
      </c>
    </row>
    <row r="89" ht="15.75" customHeight="1" s="14">
      <c r="B89" s="13" t="inlineStr">
        <is>
          <t>Heineken</t>
        </is>
      </c>
      <c r="C89" s="5" t="n">
        <v>32</v>
      </c>
      <c r="F89" s="5">
        <f>C89 + D89 - E89</f>
        <v/>
      </c>
      <c r="H89" s="5">
        <f>K89*G89</f>
        <v/>
      </c>
      <c r="I89" s="5">
        <f>IF(F89 &lt;= IFERROR(VLOOKUP(B89, Master_Items!C:H, 6, FALSE), 0), "REORDER", "")</f>
        <v/>
      </c>
      <c r="K89">
        <f>C89+D89</f>
        <v/>
      </c>
    </row>
    <row r="90" ht="15.75" customHeight="1" s="14">
      <c r="B90" s="13" t="inlineStr">
        <is>
          <t>Stella Artois</t>
        </is>
      </c>
      <c r="C90" s="5" t="n">
        <v>19</v>
      </c>
      <c r="F90" s="5">
        <f>C90 + D90 - E90</f>
        <v/>
      </c>
      <c r="H90" s="5">
        <f>K90*G90</f>
        <v/>
      </c>
      <c r="I90" s="5">
        <f>IF(F90 &lt;= IFERROR(VLOOKUP(B90, Master_Items!C:H, 6, FALSE), 0), "REORDER", "")</f>
        <v/>
      </c>
      <c r="K90">
        <f>C90+D90</f>
        <v/>
      </c>
    </row>
    <row r="91" ht="15.75" customHeight="1" s="14">
      <c r="B91" s="13" t="inlineStr">
        <is>
          <t>Kona Big Wave</t>
        </is>
      </c>
      <c r="C91" s="5" t="n">
        <v>7</v>
      </c>
      <c r="F91" s="5">
        <f>C91 + D91 - E91</f>
        <v/>
      </c>
      <c r="H91" s="5">
        <f>K91*G91</f>
        <v/>
      </c>
      <c r="I91" s="5">
        <f>IF(F91 &lt;= IFERROR(VLOOKUP(B91, Master_Items!C:H, 6, FALSE), 0), "REORDER", "")</f>
        <v/>
      </c>
      <c r="K91">
        <f>C91+D91</f>
        <v/>
      </c>
    </row>
    <row r="92" ht="15.75" customHeight="1" s="14">
      <c r="B92" s="13" t="inlineStr">
        <is>
          <t>Blue Moon</t>
        </is>
      </c>
      <c r="C92" s="5" t="n">
        <v>24</v>
      </c>
      <c r="F92" s="5">
        <f>C92 + D92 - E92</f>
        <v/>
      </c>
      <c r="H92" s="5">
        <f>K92*G92</f>
        <v/>
      </c>
      <c r="I92" s="5">
        <f>IF(F92 &lt;= IFERROR(VLOOKUP(B92, Master_Items!C:H, 6, FALSE), 0), "REORDER", "")</f>
        <v/>
      </c>
      <c r="K92">
        <f>C92+D92</f>
        <v/>
      </c>
    </row>
    <row r="93" ht="15.75" customHeight="1" s="14">
      <c r="B93" s="13" t="inlineStr">
        <is>
          <t>Yuengling</t>
        </is>
      </c>
      <c r="C93" s="5" t="n">
        <v>7</v>
      </c>
      <c r="F93" s="5">
        <f>C93 + D93 - E93</f>
        <v/>
      </c>
      <c r="H93" s="5">
        <f>K93*G93</f>
        <v/>
      </c>
      <c r="I93" s="5">
        <f>IF(F93 &lt;= IFERROR(VLOOKUP(B93, Master_Items!C:H, 6, FALSE), 0), "REORDER", "")</f>
        <v/>
      </c>
      <c r="K93">
        <f>C93+D93</f>
        <v/>
      </c>
    </row>
    <row r="94" ht="15.75" customHeight="1" s="14">
      <c r="B94" s="13" t="inlineStr">
        <is>
          <t>Pineapple Cider</t>
        </is>
      </c>
      <c r="C94" s="5" t="n">
        <v>26</v>
      </c>
      <c r="F94" s="5">
        <f>C94 + D94 - E94</f>
        <v/>
      </c>
      <c r="H94" s="5">
        <f>K94*G94</f>
        <v/>
      </c>
      <c r="I94" s="5">
        <f>IF(F94 &lt;= IFERROR(VLOOKUP(B94, Master_Items!C:H, 6, FALSE), 0), "REORDER", "")</f>
        <v/>
      </c>
      <c r="K94">
        <f>C94+D94</f>
        <v/>
      </c>
    </row>
    <row r="95" ht="15.75" customHeight="1" s="14">
      <c r="B95" s="13" t="inlineStr">
        <is>
          <t>Sun Cruiser</t>
        </is>
      </c>
      <c r="C95" s="5" t="n">
        <v>36</v>
      </c>
      <c r="F95" s="5">
        <f>C95 + D95 - E95</f>
        <v/>
      </c>
      <c r="H95" s="5">
        <f>K95*G95</f>
        <v/>
      </c>
      <c r="I95" s="5">
        <f>IF(F95 &lt;= IFERROR(VLOOKUP(B95, Master_Items!C:H, 6, FALSE), 0), "REORDER", "")</f>
        <v/>
      </c>
      <c r="K95">
        <f>C95+D95</f>
        <v/>
      </c>
    </row>
    <row r="96" ht="15.75" customHeight="1" s="14">
      <c r="B96" s="13" t="inlineStr">
        <is>
          <t>Nutrl</t>
        </is>
      </c>
      <c r="C96" s="5" t="n">
        <v>52</v>
      </c>
      <c r="F96" s="5">
        <f>C96 + D96 - E96</f>
        <v/>
      </c>
      <c r="H96" s="5">
        <f>K96*G96</f>
        <v/>
      </c>
      <c r="I96" s="5">
        <f>IF(F96 &lt;= IFERROR(VLOOKUP(B96, Master_Items!C:H, 6, FALSE), 0), "REORDER", "")</f>
        <v/>
      </c>
      <c r="K96">
        <f>C96+D96</f>
        <v/>
      </c>
    </row>
    <row r="97" ht="15.75" customHeight="1" s="14">
      <c r="B97" s="13" t="inlineStr">
        <is>
          <t>White Claw</t>
        </is>
      </c>
      <c r="C97" s="5" t="n">
        <v>39</v>
      </c>
      <c r="F97" s="5">
        <f>C97 + D97 - E97</f>
        <v/>
      </c>
      <c r="H97" s="5">
        <f>K97*G97</f>
        <v/>
      </c>
      <c r="I97" s="5">
        <f>IF(F97 &lt;= IFERROR(VLOOKUP(B97, Master_Items!C:H, 6, FALSE), 0), "REORDER", "")</f>
        <v/>
      </c>
      <c r="K97">
        <f>C97+D97</f>
        <v/>
      </c>
    </row>
    <row r="98" ht="15.75" customHeight="1" s="14">
      <c r="B98" s="13" t="inlineStr">
        <is>
          <t>Big IPA</t>
        </is>
      </c>
      <c r="C98" s="5" t="n">
        <v>4</v>
      </c>
      <c r="F98" s="5">
        <f>C98 + D98 - E98</f>
        <v/>
      </c>
      <c r="H98" s="5">
        <f>K98*G98</f>
        <v/>
      </c>
      <c r="I98" s="5">
        <f>IF(F98 &lt;= IFERROR(VLOOKUP(B98, Master_Items!C:H, 6, FALSE), 0), "REORDER", "")</f>
        <v/>
      </c>
      <c r="K98">
        <f>C98+D98</f>
        <v/>
      </c>
    </row>
    <row r="99" ht="15.75" customHeight="1" s="14">
      <c r="B99" s="13" t="inlineStr">
        <is>
          <t>Cayman Jack</t>
        </is>
      </c>
      <c r="C99" s="5" t="n">
        <v>16</v>
      </c>
      <c r="F99" s="5">
        <f>C99 + D99 - E99</f>
        <v/>
      </c>
      <c r="H99" s="5">
        <f>K99*G99</f>
        <v/>
      </c>
      <c r="I99" s="5">
        <f>IF(F99 &lt;= IFERROR(VLOOKUP(B99, Master_Items!C:H, 6, FALSE), 0), "REORDER", "")</f>
        <v/>
      </c>
      <c r="K99">
        <f>C99+D99</f>
        <v/>
      </c>
    </row>
    <row r="100" ht="15.75" customHeight="1" s="14">
      <c r="B100" s="13" t="inlineStr">
        <is>
          <t>Seagram’s</t>
        </is>
      </c>
      <c r="C100" s="5" t="n">
        <v>23</v>
      </c>
      <c r="F100" s="5">
        <f>C100 + D100 - E100</f>
        <v/>
      </c>
      <c r="H100" s="5">
        <f>K100*G100</f>
        <v/>
      </c>
      <c r="I100" s="5">
        <f>IF(F100 &lt;= IFERROR(VLOOKUP(B100, Master_Items!C:H, 6, FALSE), 0), "REORDER", "")</f>
        <v/>
      </c>
      <c r="K100">
        <f>C100+D100</f>
        <v/>
      </c>
    </row>
    <row r="101" ht="15.75" customHeight="1" s="14">
      <c r="B101" s="13" t="inlineStr">
        <is>
          <t>Prosecco</t>
        </is>
      </c>
      <c r="C101" s="5" t="n">
        <v>6</v>
      </c>
      <c r="F101" s="5">
        <f>C101 + D101 - E101</f>
        <v/>
      </c>
      <c r="H101" s="5">
        <f>K101*G101</f>
        <v/>
      </c>
      <c r="I101" s="5">
        <f>IF(F101 &lt;= IFERROR(VLOOKUP(B101, Master_Items!C:H, 6, FALSE), 0), "REORDER", "")</f>
        <v/>
      </c>
      <c r="K101">
        <f>C101+D101</f>
        <v/>
      </c>
    </row>
    <row r="102" ht="15.75" customHeight="1" s="14">
      <c r="B102" s="13" t="inlineStr">
        <is>
          <t>Prosecco</t>
        </is>
      </c>
      <c r="C102" s="5" t="n">
        <v>14</v>
      </c>
      <c r="F102" s="5">
        <f>C102 + D102 - E102</f>
        <v/>
      </c>
      <c r="H102" s="5">
        <f>K102*G102</f>
        <v/>
      </c>
      <c r="I102" s="5">
        <f>IF(F102 &lt;= IFERROR(VLOOKUP(B102, Master_Items!C:H, 6, FALSE), 0), "REORDER", "")</f>
        <v/>
      </c>
      <c r="K102">
        <f>C102+D102</f>
        <v/>
      </c>
    </row>
    <row r="103" ht="15.75" customHeight="1" s="14">
      <c r="B103" s="13" t="inlineStr">
        <is>
          <t>Topo Chico Hard Seltzer</t>
        </is>
      </c>
      <c r="C103" s="5" t="n">
        <v>34</v>
      </c>
      <c r="H103">
        <f>K103*G103</f>
        <v/>
      </c>
      <c r="K103">
        <f>C103+D103</f>
        <v/>
      </c>
    </row>
    <row r="104" ht="15.75" customHeight="1" s="14">
      <c r="B104" s="5" t="inlineStr">
        <is>
          <t>Rose’s Grenadine</t>
        </is>
      </c>
      <c r="C104" s="5" t="n">
        <v>7</v>
      </c>
      <c r="F104" s="5">
        <f>C104 + D104 - E104</f>
        <v/>
      </c>
      <c r="H104" s="5">
        <f>K104*G104</f>
        <v/>
      </c>
      <c r="I104" s="5">
        <f>IF(F104 &lt;= IFERROR(VLOOKUP(B104, Master_Items!C:H, 6, FALSE), 0), "REORDER", "")</f>
        <v/>
      </c>
      <c r="K104">
        <f>C104+D104</f>
        <v/>
      </c>
    </row>
    <row r="105" ht="15.75" customHeight="1" s="14">
      <c r="B105" s="5" t="inlineStr">
        <is>
          <t>Rose’s Lime Juice</t>
        </is>
      </c>
      <c r="C105" s="5" t="n">
        <v>2</v>
      </c>
      <c r="F105" s="5">
        <f>C105 + D105 - E105</f>
        <v/>
      </c>
      <c r="H105" s="5">
        <f>K105*G105</f>
        <v/>
      </c>
      <c r="I105" s="5">
        <f>IF(F105 &lt;= IFERROR(VLOOKUP(B105, Master_Items!C:H, 6, FALSE), 0), "REORDER", "")</f>
        <v/>
      </c>
      <c r="K105">
        <f>C105+D105</f>
        <v/>
      </c>
    </row>
    <row r="106" ht="15.75" customHeight="1" s="14">
      <c r="B106" s="5" t="inlineStr">
        <is>
          <t>Monin Cucumber</t>
        </is>
      </c>
      <c r="C106" s="5" t="n">
        <v>4</v>
      </c>
      <c r="F106" s="5">
        <f>C106 + D106 - E106</f>
        <v/>
      </c>
      <c r="H106" s="5">
        <f>K106*G106</f>
        <v/>
      </c>
      <c r="I106" s="5">
        <f>IF(F106 &lt;= IFERROR(VLOOKUP(B106, Master_Items!C:H, 6, FALSE), 0), "REORDER", "")</f>
        <v/>
      </c>
      <c r="K106">
        <f>C106+D106</f>
        <v/>
      </c>
    </row>
    <row r="107" ht="15.75" customHeight="1" s="14">
      <c r="B107" s="5" t="inlineStr">
        <is>
          <t>Pineapple Juice</t>
        </is>
      </c>
      <c r="C107" s="5" t="n">
        <v>2</v>
      </c>
      <c r="F107" s="5">
        <f>C107 + D107 - E107</f>
        <v/>
      </c>
      <c r="H107" s="5">
        <f>K107*G107</f>
        <v/>
      </c>
      <c r="I107" s="5">
        <f>IF(F107 &lt;= IFERROR(VLOOKUP(B107, Master_Items!C:H, 6, FALSE), 0), "REORDER", "")</f>
        <v/>
      </c>
      <c r="K107">
        <f>C107+D107</f>
        <v/>
      </c>
    </row>
    <row r="108" ht="15.75" customHeight="1" s="14">
      <c r="B108" s="5" t="inlineStr">
        <is>
          <t>Bar Syrup</t>
        </is>
      </c>
      <c r="C108" s="5" t="n">
        <v>3</v>
      </c>
      <c r="F108" s="5">
        <f>C108 + D108 - E108</f>
        <v/>
      </c>
      <c r="H108" s="5">
        <f>K108*G108</f>
        <v/>
      </c>
      <c r="I108" s="5">
        <f>IF(F108 &lt;= IFERROR(VLOOKUP(B108, Master_Items!C:H, 6, FALSE), 0), "REORDER", "")</f>
        <v/>
      </c>
      <c r="K108">
        <f>C108+D108</f>
        <v/>
      </c>
    </row>
    <row r="109" ht="15.75" customHeight="1" s="14">
      <c r="B109" s="5" t="inlineStr">
        <is>
          <t>Pina Colada Mix</t>
        </is>
      </c>
      <c r="C109" s="5" t="n">
        <v>4</v>
      </c>
      <c r="F109" s="5">
        <f>C109 + D109 - E109</f>
        <v/>
      </c>
      <c r="H109" s="5">
        <f>K109*G109</f>
        <v/>
      </c>
      <c r="I109" s="5">
        <f>IF(F109 &lt;= IFERROR(VLOOKUP(B109, Master_Items!C:H, 6, FALSE), 0), "REORDER", "")</f>
        <v/>
      </c>
      <c r="K109">
        <f>C109+D109</f>
        <v/>
      </c>
    </row>
    <row r="110" ht="15.75" customHeight="1" s="14">
      <c r="B110" s="5" t="inlineStr">
        <is>
          <t>Strawberry Puree</t>
        </is>
      </c>
      <c r="C110" s="5" t="n">
        <v>5</v>
      </c>
      <c r="F110" s="5">
        <f>C110 + D110 - E110</f>
        <v/>
      </c>
      <c r="H110" s="5">
        <f>K110*G110</f>
        <v/>
      </c>
      <c r="I110" s="5">
        <f>IF(F110 &lt;= IFERROR(VLOOKUP(B110, Master_Items!C:H, 6, FALSE), 0), "REORDER", "")</f>
        <v/>
      </c>
      <c r="K110">
        <f>C110+D110</f>
        <v/>
      </c>
    </row>
    <row r="111" ht="15.75" customHeight="1" s="14">
      <c r="B111" s="5" t="inlineStr">
        <is>
          <t>Passion Fruit Puree</t>
        </is>
      </c>
      <c r="C111" s="5" t="n">
        <v>2</v>
      </c>
      <c r="F111" s="5">
        <f>C111 + D111 - E111</f>
        <v/>
      </c>
      <c r="H111" s="5">
        <f>K111*G111</f>
        <v/>
      </c>
      <c r="I111" s="5">
        <f>IF(F111 &lt;= IFERROR(VLOOKUP(B111, Master_Items!C:H, 6, FALSE), 0), "REORDER", "")</f>
        <v/>
      </c>
      <c r="K111">
        <f>C111+D111</f>
        <v/>
      </c>
    </row>
    <row r="112" ht="15.75" customHeight="1" s="14">
      <c r="B112" s="5" t="inlineStr">
        <is>
          <t>Agave Syrup</t>
        </is>
      </c>
      <c r="C112" s="5" t="n">
        <v>3</v>
      </c>
      <c r="F112" s="5">
        <f>C112 + D112 - E112</f>
        <v/>
      </c>
      <c r="H112" s="5">
        <f>K112*G112</f>
        <v/>
      </c>
      <c r="I112" s="5">
        <f>IF(F112 &lt;= IFERROR(VLOOKUP(B112, Master_Items!C:H, 6, FALSE), 0), "REORDER", "")</f>
        <v/>
      </c>
      <c r="K112">
        <f>C112+D112</f>
        <v/>
      </c>
    </row>
    <row r="113" ht="15.75" customHeight="1" s="14">
      <c r="B113" s="5" t="inlineStr">
        <is>
          <t>Lemon Juice</t>
        </is>
      </c>
      <c r="C113" s="5" t="n">
        <v>3</v>
      </c>
      <c r="F113" s="5">
        <f>C113 + D113 - E113</f>
        <v/>
      </c>
      <c r="H113" s="5">
        <f>K113*G113</f>
        <v/>
      </c>
      <c r="I113" s="5">
        <f>IF(F113 &lt;= IFERROR(VLOOKUP(B113, Master_Items!C:H, 6, FALSE), 0), "REORDER", "")</f>
        <v/>
      </c>
      <c r="K113">
        <f>C113+D113</f>
        <v/>
      </c>
    </row>
    <row r="114" ht="15.75" customHeight="1" s="14">
      <c r="B114" s="5" t="inlineStr">
        <is>
          <t>Lime Juice</t>
        </is>
      </c>
      <c r="C114" s="5" t="n">
        <v>1</v>
      </c>
      <c r="F114" s="5">
        <f>C114 + D114 - E114</f>
        <v/>
      </c>
      <c r="H114" s="5">
        <f>K114*G114</f>
        <v/>
      </c>
      <c r="I114" s="5">
        <f>IF(F114 &lt;= IFERROR(VLOOKUP(B114, Master_Items!C:H, 6, FALSE), 0), "REORDER", "")</f>
        <v/>
      </c>
      <c r="K114">
        <f>C114+D114</f>
        <v/>
      </c>
    </row>
    <row r="115" ht="15.75" customHeight="1" s="14">
      <c r="B115" s="5" t="n"/>
      <c r="F115" s="5">
        <f>C115 + D115 - E115</f>
        <v/>
      </c>
      <c r="H115" s="5">
        <f>K115*G115</f>
        <v/>
      </c>
      <c r="I115" s="5">
        <f>IF(F115 &lt;= IFERROR(VLOOKUP(B115, Master_Items!C:H, 6, FALSE), 0), "REORDER", "")</f>
        <v/>
      </c>
      <c r="K115">
        <f>C115+D115</f>
        <v/>
      </c>
    </row>
    <row r="116" ht="15.75" customHeight="1" s="14">
      <c r="B116" s="5" t="n"/>
      <c r="F116" s="5">
        <f>C116 + D116 - E116</f>
        <v/>
      </c>
      <c r="H116" s="5">
        <f>K116*G116</f>
        <v/>
      </c>
      <c r="I116" s="5">
        <f>IF(F116 &lt;= IFERROR(VLOOKUP(B116, Master_Items!C:H, 6, FALSE), 0), "REORDER", "")</f>
        <v/>
      </c>
      <c r="K116">
        <f>C116+D116</f>
        <v/>
      </c>
    </row>
    <row r="117" ht="15.75" customHeight="1" s="14">
      <c r="B117" s="5" t="n"/>
      <c r="F117" s="5">
        <f>C117 + D117 - E117</f>
        <v/>
      </c>
      <c r="H117" s="5">
        <f>K117*G117</f>
        <v/>
      </c>
      <c r="I117" s="5">
        <f>IF(F117 &lt;= IFERROR(VLOOKUP(B117, Master_Items!C:H, 6, FALSE), 0), "REORDER", "")</f>
        <v/>
      </c>
      <c r="K117">
        <f>C117+D117</f>
        <v/>
      </c>
    </row>
    <row r="118" ht="15.75" customHeight="1" s="14">
      <c r="B118" s="5" t="n"/>
      <c r="F118" s="5">
        <f>C118 + D118 - E118</f>
        <v/>
      </c>
      <c r="H118" s="5">
        <f>K118*G118</f>
        <v/>
      </c>
      <c r="I118" s="5">
        <f>IF(F118 &lt;= IFERROR(VLOOKUP(B118, Master_Items!C:H, 6, FALSE), 0), "REORDER", "")</f>
        <v/>
      </c>
      <c r="K118">
        <f>C118+D118</f>
        <v/>
      </c>
    </row>
    <row r="119" ht="15.75" customHeight="1" s="14">
      <c r="B119" s="5" t="n"/>
      <c r="F119" s="5">
        <f>C119 + D119 - E119</f>
        <v/>
      </c>
      <c r="H119" s="5">
        <f>K119*G119</f>
        <v/>
      </c>
      <c r="I119" s="5">
        <f>IF(F119 &lt;= IFERROR(VLOOKUP(B119, Master_Items!C:H, 6, FALSE), 0), "REORDER", "")</f>
        <v/>
      </c>
      <c r="K119">
        <f>C119+D119</f>
        <v/>
      </c>
    </row>
    <row r="120" ht="15.75" customHeight="1" s="14">
      <c r="B120" s="5" t="n"/>
      <c r="F120" s="5">
        <f>C120 + D120 - E120</f>
        <v/>
      </c>
      <c r="H120" s="5">
        <f>K120*G120</f>
        <v/>
      </c>
      <c r="I120" s="5">
        <f>IF(F120 &lt;= IFERROR(VLOOKUP(B120, Master_Items!C:H, 6, FALSE), 0), "REORDER", "")</f>
        <v/>
      </c>
      <c r="K120">
        <f>C120+D120</f>
        <v/>
      </c>
    </row>
    <row r="121" ht="15.75" customHeight="1" s="14">
      <c r="B121" s="5" t="n"/>
      <c r="F121" s="5">
        <f>C121 + D121 - E121</f>
        <v/>
      </c>
      <c r="H121" s="5">
        <f>K121*G121</f>
        <v/>
      </c>
      <c r="I121" s="5">
        <f>IF(F121 &lt;= IFERROR(VLOOKUP(B121, Master_Items!C:H, 6, FALSE), 0), "REORDER", "")</f>
        <v/>
      </c>
      <c r="K121">
        <f>C121+D121</f>
        <v/>
      </c>
    </row>
    <row r="122" ht="15.75" customHeight="1" s="14">
      <c r="B122" s="5" t="n"/>
      <c r="F122" s="5">
        <f>C122 + D122 - E122</f>
        <v/>
      </c>
      <c r="H122" s="5">
        <f>K122*G122</f>
        <v/>
      </c>
      <c r="I122" s="5">
        <f>IF(F122 &lt;= IFERROR(VLOOKUP(B122, Master_Items!C:H, 6, FALSE), 0), "REORDER", "")</f>
        <v/>
      </c>
      <c r="K122">
        <f>C122+D122</f>
        <v/>
      </c>
    </row>
    <row r="123" ht="15.75" customHeight="1" s="14">
      <c r="B123" s="5" t="n"/>
      <c r="F123" s="5">
        <f>C123 + D123 - E123</f>
        <v/>
      </c>
      <c r="H123" s="5">
        <f>K123*G123</f>
        <v/>
      </c>
      <c r="I123" s="5">
        <f>IF(F123 &lt;= IFERROR(VLOOKUP(B123, Master_Items!C:H, 6, FALSE), 0), "REORDER", "")</f>
        <v/>
      </c>
      <c r="K123">
        <f>C123+D123</f>
        <v/>
      </c>
    </row>
    <row r="124" ht="15.75" customHeight="1" s="14">
      <c r="B124" s="5" t="n"/>
      <c r="F124" s="5">
        <f>C124 + D124 - E124</f>
        <v/>
      </c>
      <c r="H124" s="5">
        <f>K124*G124</f>
        <v/>
      </c>
      <c r="I124" s="5">
        <f>IF(F124 &lt;= IFERROR(VLOOKUP(B124, Master_Items!C:H, 6, FALSE), 0), "REORDER", "")</f>
        <v/>
      </c>
      <c r="K124">
        <f>C124+D124</f>
        <v/>
      </c>
    </row>
    <row r="125" ht="15.75" customHeight="1" s="14">
      <c r="B125" s="5" t="n"/>
      <c r="F125" s="5">
        <f>C125 + D125 - E125</f>
        <v/>
      </c>
      <c r="H125" s="5">
        <f>K125*G125</f>
        <v/>
      </c>
      <c r="I125" s="5">
        <f>IF(F125 &lt;= IFERROR(VLOOKUP(B125, Master_Items!C:H, 6, FALSE), 0), "REORDER", "")</f>
        <v/>
      </c>
      <c r="K125">
        <f>C125+D125</f>
        <v/>
      </c>
    </row>
    <row r="126" ht="15.75" customHeight="1" s="14">
      <c r="B126" s="5" t="n"/>
      <c r="F126" s="5">
        <f>C126 + D126 - E126</f>
        <v/>
      </c>
      <c r="H126" s="5">
        <f>K126*G126</f>
        <v/>
      </c>
      <c r="I126" s="5">
        <f>IF(F126 &lt;= IFERROR(VLOOKUP(B126, Master_Items!C:H, 6, FALSE), 0), "REORDER", "")</f>
        <v/>
      </c>
      <c r="K126">
        <f>C126+D126</f>
        <v/>
      </c>
    </row>
    <row r="127" ht="15.75" customHeight="1" s="14">
      <c r="B127" s="5" t="n"/>
      <c r="F127" s="5">
        <f>C127 + D127 - E127</f>
        <v/>
      </c>
      <c r="H127" s="5">
        <f>K127*G127</f>
        <v/>
      </c>
      <c r="I127" s="5">
        <f>IF(F127 &lt;= IFERROR(VLOOKUP(B127, Master_Items!C:H, 6, FALSE), 0), "REORDER", "")</f>
        <v/>
      </c>
      <c r="K127">
        <f>C127+D127</f>
        <v/>
      </c>
    </row>
    <row r="128" ht="15.75" customHeight="1" s="14">
      <c r="B128" s="5" t="n"/>
      <c r="F128" s="5">
        <f>C128 + D128 - E128</f>
        <v/>
      </c>
      <c r="H128" s="5">
        <f>K128*G128</f>
        <v/>
      </c>
      <c r="I128" s="5">
        <f>IF(F128 &lt;= IFERROR(VLOOKUP(B128, Master_Items!C:H, 6, FALSE), 0), "REORDER", "")</f>
        <v/>
      </c>
      <c r="K128">
        <f>C128+D128</f>
        <v/>
      </c>
    </row>
    <row r="129" ht="15.75" customHeight="1" s="14">
      <c r="B129" s="5" t="n"/>
      <c r="F129" s="5">
        <f>C129 + D129 - E129</f>
        <v/>
      </c>
      <c r="H129" s="5">
        <f>K129*G129</f>
        <v/>
      </c>
      <c r="I129" s="5">
        <f>IF(F129 &lt;= IFERROR(VLOOKUP(B129, Master_Items!C:H, 6, FALSE), 0), "REORDER", "")</f>
        <v/>
      </c>
      <c r="K129">
        <f>C129+D129</f>
        <v/>
      </c>
    </row>
    <row r="130" ht="15.75" customHeight="1" s="14">
      <c r="B130" s="5" t="n"/>
      <c r="F130" s="5">
        <f>C130 + D130 - E130</f>
        <v/>
      </c>
      <c r="H130" s="5">
        <f>K130*G130</f>
        <v/>
      </c>
      <c r="I130" s="5">
        <f>IF(F130 &lt;= IFERROR(VLOOKUP(B130, Master_Items!C:H, 6, FALSE), 0), "REORDER", "")</f>
        <v/>
      </c>
      <c r="K130">
        <f>C130+D130</f>
        <v/>
      </c>
    </row>
    <row r="131" ht="15.75" customHeight="1" s="14">
      <c r="B131" s="5" t="n"/>
      <c r="F131" s="5">
        <f>C131 + D131 - E131</f>
        <v/>
      </c>
      <c r="H131" s="5">
        <f>K131*G131</f>
        <v/>
      </c>
      <c r="I131" s="5">
        <f>IF(F131 &lt;= IFERROR(VLOOKUP(B131, Master_Items!C:H, 6, FALSE), 0), "REORDER", "")</f>
        <v/>
      </c>
      <c r="K131">
        <f>C131+D131</f>
        <v/>
      </c>
    </row>
    <row r="132" ht="15.75" customHeight="1" s="14">
      <c r="B132" s="5" t="n"/>
      <c r="F132" s="5">
        <f>C132 + D132 - E132</f>
        <v/>
      </c>
      <c r="H132" s="5">
        <f>K132*G132</f>
        <v/>
      </c>
      <c r="I132" s="5">
        <f>IF(F132 &lt;= IFERROR(VLOOKUP(B132, Master_Items!C:H, 6, FALSE), 0), "REORDER", "")</f>
        <v/>
      </c>
      <c r="K132">
        <f>C132+D132</f>
        <v/>
      </c>
    </row>
    <row r="133" ht="15.75" customHeight="1" s="14">
      <c r="B133" s="5" t="n"/>
      <c r="F133" s="5">
        <f>C133 + D133 - E133</f>
        <v/>
      </c>
      <c r="H133" s="5">
        <f>K133*G133</f>
        <v/>
      </c>
      <c r="I133" s="5">
        <f>IF(F133 &lt;= IFERROR(VLOOKUP(B133, Master_Items!C:H, 6, FALSE), 0), "REORDER", "")</f>
        <v/>
      </c>
      <c r="K133">
        <f>C133+D133</f>
        <v/>
      </c>
    </row>
    <row r="134" ht="15.75" customHeight="1" s="14">
      <c r="B134" s="5" t="n"/>
      <c r="F134" s="5">
        <f>C134 + D134 - E134</f>
        <v/>
      </c>
      <c r="H134" s="5">
        <f>K134*G134</f>
        <v/>
      </c>
      <c r="I134" s="5">
        <f>IF(F134 &lt;= IFERROR(VLOOKUP(B134, Master_Items!C:H, 6, FALSE), 0), "REORDER", "")</f>
        <v/>
      </c>
      <c r="K134">
        <f>C134+D134</f>
        <v/>
      </c>
    </row>
    <row r="135" ht="15.75" customHeight="1" s="14">
      <c r="B135" s="5" t="n"/>
      <c r="F135" s="5">
        <f>C135 + D135 - E135</f>
        <v/>
      </c>
      <c r="H135" s="5">
        <f>K135*G135</f>
        <v/>
      </c>
      <c r="I135" s="5">
        <f>IF(F135 &lt;= IFERROR(VLOOKUP(B135, Master_Items!C:H, 6, FALSE), 0), "REORDER", "")</f>
        <v/>
      </c>
      <c r="K135">
        <f>C135+D135</f>
        <v/>
      </c>
    </row>
    <row r="136" ht="15.75" customHeight="1" s="14">
      <c r="B136" s="5" t="n"/>
      <c r="F136" s="5">
        <f>C136 + D136 - E136</f>
        <v/>
      </c>
      <c r="H136" s="5">
        <f>K136*G136</f>
        <v/>
      </c>
      <c r="I136" s="5">
        <f>IF(F136 &lt;= IFERROR(VLOOKUP(B136, Master_Items!C:H, 6, FALSE), 0), "REORDER", "")</f>
        <v/>
      </c>
      <c r="K136">
        <f>C136+D136</f>
        <v/>
      </c>
    </row>
    <row r="137" ht="15.75" customHeight="1" s="14">
      <c r="B137" s="5" t="n"/>
      <c r="F137" s="5">
        <f>C137 + D137 - E137</f>
        <v/>
      </c>
      <c r="H137" s="5">
        <f>K137*G137</f>
        <v/>
      </c>
      <c r="I137" s="5">
        <f>IF(F137 &lt;= IFERROR(VLOOKUP(B137, Master_Items!C:H, 6, FALSE), 0), "REORDER", "")</f>
        <v/>
      </c>
      <c r="K137">
        <f>C137+D137</f>
        <v/>
      </c>
    </row>
    <row r="138" ht="15.75" customHeight="1" s="14">
      <c r="B138" s="5" t="n"/>
      <c r="F138" s="5">
        <f>C138 + D138 - E138</f>
        <v/>
      </c>
      <c r="H138" s="5">
        <f>K138*G138</f>
        <v/>
      </c>
      <c r="I138" s="5">
        <f>IF(F138 &lt;= IFERROR(VLOOKUP(B138, Master_Items!C:H, 6, FALSE), 0), "REORDER", "")</f>
        <v/>
      </c>
      <c r="K138">
        <f>C138+D138</f>
        <v/>
      </c>
    </row>
    <row r="139" ht="15.75" customHeight="1" s="14">
      <c r="B139" s="5" t="n"/>
      <c r="F139" s="5">
        <f>C139 + D139 - E139</f>
        <v/>
      </c>
      <c r="H139" s="5">
        <f>K139*G139</f>
        <v/>
      </c>
      <c r="I139" s="5">
        <f>IF(F139 &lt;= IFERROR(VLOOKUP(B139, Master_Items!C:H, 6, FALSE), 0), "REORDER", "")</f>
        <v/>
      </c>
      <c r="K139">
        <f>C139+D139</f>
        <v/>
      </c>
    </row>
    <row r="140" ht="15.75" customHeight="1" s="14">
      <c r="B140" s="5" t="n"/>
      <c r="F140" s="5">
        <f>C140 + D140 - E140</f>
        <v/>
      </c>
      <c r="H140" s="5">
        <f>K140*G140</f>
        <v/>
      </c>
      <c r="I140" s="5">
        <f>IF(F140 &lt;= IFERROR(VLOOKUP(B140, Master_Items!C:H, 6, FALSE), 0), "REORDER", "")</f>
        <v/>
      </c>
      <c r="K140">
        <f>C140+D140</f>
        <v/>
      </c>
    </row>
    <row r="141" ht="15.75" customHeight="1" s="14">
      <c r="B141" s="5" t="n"/>
      <c r="F141" s="5">
        <f>C141 + D141 - E141</f>
        <v/>
      </c>
      <c r="H141" s="5">
        <f>K141*G141</f>
        <v/>
      </c>
      <c r="I141" s="5">
        <f>IF(F141 &lt;= IFERROR(VLOOKUP(B141, Master_Items!C:H, 6, FALSE), 0), "REORDER", "")</f>
        <v/>
      </c>
      <c r="K141">
        <f>C141+D141</f>
        <v/>
      </c>
    </row>
    <row r="142" ht="15.75" customHeight="1" s="14">
      <c r="B142" s="5" t="n"/>
      <c r="F142" s="5">
        <f>C142 + D142 - E142</f>
        <v/>
      </c>
      <c r="H142" s="5">
        <f>K142*G142</f>
        <v/>
      </c>
      <c r="I142" s="5">
        <f>IF(F142 &lt;= IFERROR(VLOOKUP(B142, Master_Items!C:H, 6, FALSE), 0), "REORDER", "")</f>
        <v/>
      </c>
      <c r="K142">
        <f>C142+D142</f>
        <v/>
      </c>
    </row>
    <row r="143" ht="15.75" customHeight="1" s="14">
      <c r="B143" s="5" t="n"/>
      <c r="F143" s="5">
        <f>C143 + D143 - E143</f>
        <v/>
      </c>
      <c r="H143" s="5">
        <f>K143*G143</f>
        <v/>
      </c>
      <c r="I143" s="5">
        <f>IF(F143 &lt;= IFERROR(VLOOKUP(B143, Master_Items!C:H, 6, FALSE), 0), "REORDER", "")</f>
        <v/>
      </c>
      <c r="K143">
        <f>C143+D143</f>
        <v/>
      </c>
    </row>
    <row r="144" ht="15.75" customHeight="1" s="14">
      <c r="B144" s="5" t="n"/>
      <c r="F144" s="5">
        <f>C144 + D144 - E144</f>
        <v/>
      </c>
      <c r="H144" s="5">
        <f>K144*G144</f>
        <v/>
      </c>
      <c r="I144" s="5">
        <f>IF(F144 &lt;= IFERROR(VLOOKUP(B144, Master_Items!C:H, 6, FALSE), 0), "REORDER", "")</f>
        <v/>
      </c>
      <c r="K144">
        <f>C144+D144</f>
        <v/>
      </c>
    </row>
    <row r="145" ht="15.75" customHeight="1" s="14">
      <c r="B145" s="5" t="n"/>
      <c r="F145" s="5">
        <f>C145 + D145 - E145</f>
        <v/>
      </c>
      <c r="H145" s="5">
        <f>K145*G145</f>
        <v/>
      </c>
      <c r="I145" s="5">
        <f>IF(F145 &lt;= IFERROR(VLOOKUP(B145, Master_Items!C:H, 6, FALSE), 0), "REORDER", "")</f>
        <v/>
      </c>
      <c r="K145">
        <f>C145+D145</f>
        <v/>
      </c>
    </row>
    <row r="146" ht="15.75" customHeight="1" s="14">
      <c r="B146" s="5" t="n"/>
      <c r="F146" s="5">
        <f>C146 + D146 - E146</f>
        <v/>
      </c>
      <c r="H146" s="5">
        <f>K146*G146</f>
        <v/>
      </c>
      <c r="I146" s="5">
        <f>IF(F146 &lt;= IFERROR(VLOOKUP(B146, Master_Items!C:H, 6, FALSE), 0), "REORDER", "")</f>
        <v/>
      </c>
      <c r="K146">
        <f>C146+D146</f>
        <v/>
      </c>
    </row>
    <row r="147" ht="15.75" customHeight="1" s="14">
      <c r="B147" s="5" t="n"/>
      <c r="F147" s="5">
        <f>C147 + D147 - E147</f>
        <v/>
      </c>
      <c r="H147" s="5">
        <f>K147*G147</f>
        <v/>
      </c>
      <c r="I147" s="5">
        <f>IF(F147 &lt;= IFERROR(VLOOKUP(B147, Master_Items!C:H, 6, FALSE), 0), "REORDER", "")</f>
        <v/>
      </c>
      <c r="K147">
        <f>C147+D147</f>
        <v/>
      </c>
    </row>
    <row r="148" ht="15.75" customHeight="1" s="14">
      <c r="B148" s="5" t="n"/>
      <c r="F148" s="5">
        <f>C148 + D148 - E148</f>
        <v/>
      </c>
      <c r="H148" s="5">
        <f>K148*G148</f>
        <v/>
      </c>
      <c r="I148" s="5">
        <f>IF(F148 &lt;= IFERROR(VLOOKUP(B148, Master_Items!C:H, 6, FALSE), 0), "REORDER", "")</f>
        <v/>
      </c>
      <c r="K148">
        <f>C148+D148</f>
        <v/>
      </c>
    </row>
    <row r="149" ht="15.75" customHeight="1" s="14">
      <c r="B149" s="5" t="n"/>
      <c r="F149" s="5">
        <f>C149 + D149 - E149</f>
        <v/>
      </c>
      <c r="H149" s="5">
        <f>K149*G149</f>
        <v/>
      </c>
      <c r="I149" s="5">
        <f>IF(F149 &lt;= IFERROR(VLOOKUP(B149, Master_Items!C:H, 6, FALSE), 0), "REORDER", "")</f>
        <v/>
      </c>
      <c r="K149">
        <f>C149+D149</f>
        <v/>
      </c>
    </row>
    <row r="150" ht="15.75" customHeight="1" s="14">
      <c r="B150" s="5" t="n"/>
      <c r="F150" s="5">
        <f>C150 + D150 - E150</f>
        <v/>
      </c>
      <c r="H150" s="5">
        <f>K150*G150</f>
        <v/>
      </c>
      <c r="I150" s="5">
        <f>IF(F150 &lt;= IFERROR(VLOOKUP(B150, Master_Items!C:H, 6, FALSE), 0), "REORDER", "")</f>
        <v/>
      </c>
      <c r="K150">
        <f>C150+D150</f>
        <v/>
      </c>
    </row>
    <row r="151" ht="15.75" customHeight="1" s="14">
      <c r="B151" s="5" t="n"/>
      <c r="F151" s="5">
        <f>C151 + D151 - E151</f>
        <v/>
      </c>
      <c r="H151" s="5">
        <f>K151*G151</f>
        <v/>
      </c>
      <c r="I151" s="5">
        <f>IF(F151 &lt;= IFERROR(VLOOKUP(B151, Master_Items!C:H, 6, FALSE), 0), "REORDER", "")</f>
        <v/>
      </c>
      <c r="K151">
        <f>C151+D151</f>
        <v/>
      </c>
    </row>
    <row r="152" ht="15.75" customHeight="1" s="14">
      <c r="B152" s="5" t="n"/>
      <c r="F152" s="5">
        <f>C152 + D152 - E152</f>
        <v/>
      </c>
      <c r="H152" s="5">
        <f>K152*G152</f>
        <v/>
      </c>
      <c r="I152" s="5">
        <f>IF(F152 &lt;= IFERROR(VLOOKUP(B152, Master_Items!C:H, 6, FALSE), 0), "REORDER", "")</f>
        <v/>
      </c>
      <c r="K152">
        <f>C152+D152</f>
        <v/>
      </c>
    </row>
    <row r="153" ht="15.75" customHeight="1" s="14">
      <c r="B153" s="5" t="n"/>
      <c r="F153" s="5">
        <f>C153 + D153 - E153</f>
        <v/>
      </c>
      <c r="H153" s="5">
        <f>K153*G153</f>
        <v/>
      </c>
      <c r="I153" s="5">
        <f>IF(F153 &lt;= IFERROR(VLOOKUP(B153, Master_Items!C:H, 6, FALSE), 0), "REORDER", "")</f>
        <v/>
      </c>
      <c r="K153">
        <f>C153+D153</f>
        <v/>
      </c>
    </row>
    <row r="154" ht="15.75" customHeight="1" s="14">
      <c r="B154" s="5" t="n"/>
      <c r="F154" s="5">
        <f>C154 + D154 - E154</f>
        <v/>
      </c>
      <c r="H154" s="5">
        <f>K154*G154</f>
        <v/>
      </c>
      <c r="I154" s="5">
        <f>IF(F154 &lt;= IFERROR(VLOOKUP(B154, Master_Items!C:H, 6, FALSE), 0), "REORDER", "")</f>
        <v/>
      </c>
      <c r="K154">
        <f>C154+D154</f>
        <v/>
      </c>
    </row>
    <row r="155" ht="15.75" customHeight="1" s="14">
      <c r="B155" s="5" t="n"/>
      <c r="F155" s="5">
        <f>C155 + D155 - E155</f>
        <v/>
      </c>
      <c r="H155" s="5">
        <f>K155*G155</f>
        <v/>
      </c>
      <c r="I155" s="5">
        <f>IF(F155 &lt;= IFERROR(VLOOKUP(B155, Master_Items!C:H, 6, FALSE), 0), "REORDER", "")</f>
        <v/>
      </c>
      <c r="K155">
        <f>C155+D155</f>
        <v/>
      </c>
    </row>
    <row r="156" ht="15.75" customHeight="1" s="14">
      <c r="B156" s="5" t="n"/>
      <c r="F156" s="5">
        <f>C156 + D156 - E156</f>
        <v/>
      </c>
      <c r="H156" s="5">
        <f>K156*G156</f>
        <v/>
      </c>
      <c r="I156" s="5">
        <f>IF(F156 &lt;= IFERROR(VLOOKUP(B156, Master_Items!C:H, 6, FALSE), 0), "REORDER", "")</f>
        <v/>
      </c>
      <c r="K156">
        <f>C156+D156</f>
        <v/>
      </c>
    </row>
    <row r="157" ht="15.75" customHeight="1" s="14">
      <c r="B157" s="5" t="n"/>
      <c r="F157" s="5">
        <f>C157 + D157 - E157</f>
        <v/>
      </c>
      <c r="H157" s="5">
        <f>K157*G157</f>
        <v/>
      </c>
      <c r="I157" s="5">
        <f>IF(F157 &lt;= IFERROR(VLOOKUP(B157, Master_Items!C:H, 6, FALSE), 0), "REORDER", "")</f>
        <v/>
      </c>
      <c r="K157">
        <f>C157+D157</f>
        <v/>
      </c>
    </row>
    <row r="158" ht="15.75" customHeight="1" s="14">
      <c r="B158" s="5" t="n"/>
      <c r="F158" s="5">
        <f>C158 + D158 - E158</f>
        <v/>
      </c>
      <c r="H158" s="5">
        <f>K158*G158</f>
        <v/>
      </c>
      <c r="I158" s="5">
        <f>IF(F158 &lt;= IFERROR(VLOOKUP(B158, Master_Items!C:H, 6, FALSE), 0), "REORDER", "")</f>
        <v/>
      </c>
      <c r="K158">
        <f>C158+D158</f>
        <v/>
      </c>
    </row>
    <row r="159" ht="15.75" customHeight="1" s="14">
      <c r="B159" s="5" t="n"/>
      <c r="F159" s="5">
        <f>C159 + D159 - E159</f>
        <v/>
      </c>
      <c r="H159" s="5">
        <f>K159*G159</f>
        <v/>
      </c>
      <c r="I159" s="5">
        <f>IF(F159 &lt;= IFERROR(VLOOKUP(B159, Master_Items!C:H, 6, FALSE), 0), "REORDER", "")</f>
        <v/>
      </c>
      <c r="K159">
        <f>C159+D159</f>
        <v/>
      </c>
    </row>
    <row r="160" ht="15.75" customHeight="1" s="14">
      <c r="B160" s="5" t="n"/>
      <c r="F160" s="5">
        <f>C160 + D160 - E160</f>
        <v/>
      </c>
      <c r="H160" s="5">
        <f>K160*G160</f>
        <v/>
      </c>
      <c r="I160" s="5">
        <f>IF(F160 &lt;= IFERROR(VLOOKUP(B160, Master_Items!C:H, 6, FALSE), 0), "REORDER", "")</f>
        <v/>
      </c>
      <c r="K160">
        <f>C160+D160</f>
        <v/>
      </c>
    </row>
    <row r="161" ht="15.75" customHeight="1" s="14">
      <c r="B161" s="5" t="n"/>
      <c r="F161" s="5">
        <f>C161 + D161 - E161</f>
        <v/>
      </c>
      <c r="H161" s="5">
        <f>K161*G161</f>
        <v/>
      </c>
      <c r="I161" s="5">
        <f>IF(F161 &lt;= IFERROR(VLOOKUP(B161, Master_Items!C:H, 6, FALSE), 0), "REORDER", "")</f>
        <v/>
      </c>
      <c r="K161">
        <f>C161+D161</f>
        <v/>
      </c>
    </row>
    <row r="162" ht="15.75" customHeight="1" s="14">
      <c r="B162" s="5" t="n"/>
      <c r="F162" s="5">
        <f>C162 + D162 - E162</f>
        <v/>
      </c>
      <c r="H162" s="5">
        <f>K162*G162</f>
        <v/>
      </c>
      <c r="I162" s="5">
        <f>IF(F162 &lt;= IFERROR(VLOOKUP(B162, Master_Items!C:H, 6, FALSE), 0), "REORDER", "")</f>
        <v/>
      </c>
      <c r="K162">
        <f>C162+D162</f>
        <v/>
      </c>
    </row>
    <row r="163" ht="15.75" customHeight="1" s="14">
      <c r="B163" s="5" t="n"/>
      <c r="F163" s="5">
        <f>C163 + D163 - E163</f>
        <v/>
      </c>
      <c r="H163" s="5">
        <f>K163*G163</f>
        <v/>
      </c>
      <c r="I163" s="5">
        <f>IF(F163 &lt;= IFERROR(VLOOKUP(B163, Master_Items!C:H, 6, FALSE), 0), "REORDER", "")</f>
        <v/>
      </c>
      <c r="K163">
        <f>C163+D163</f>
        <v/>
      </c>
    </row>
    <row r="164" ht="15.75" customHeight="1" s="14">
      <c r="B164" s="5" t="n"/>
      <c r="F164" s="5">
        <f>C164 + D164 - E164</f>
        <v/>
      </c>
      <c r="H164" s="5">
        <f>K164*G164</f>
        <v/>
      </c>
      <c r="I164" s="5">
        <f>IF(F164 &lt;= IFERROR(VLOOKUP(B164, Master_Items!C:H, 6, FALSE), 0), "REORDER", "")</f>
        <v/>
      </c>
      <c r="K164">
        <f>C164+D164</f>
        <v/>
      </c>
    </row>
    <row r="165" ht="15.75" customHeight="1" s="14">
      <c r="B165" s="5" t="n"/>
      <c r="F165" s="5">
        <f>C165 + D165 - E165</f>
        <v/>
      </c>
      <c r="H165" s="5">
        <f>K165*G165</f>
        <v/>
      </c>
      <c r="I165" s="5">
        <f>IF(F165 &lt;= IFERROR(VLOOKUP(B165, Master_Items!C:H, 6, FALSE), 0), "REORDER", "")</f>
        <v/>
      </c>
      <c r="K165">
        <f>C165+D165</f>
        <v/>
      </c>
    </row>
    <row r="166" ht="15.75" customHeight="1" s="14">
      <c r="B166" s="5" t="n"/>
      <c r="F166" s="5">
        <f>C166 + D166 - E166</f>
        <v/>
      </c>
      <c r="H166" s="5">
        <f>K166*G166</f>
        <v/>
      </c>
      <c r="I166" s="5">
        <f>IF(F166 &lt;= IFERROR(VLOOKUP(B166, Master_Items!C:H, 6, FALSE), 0), "REORDER", "")</f>
        <v/>
      </c>
      <c r="K166">
        <f>C166+D166</f>
        <v/>
      </c>
    </row>
    <row r="167" ht="15.75" customHeight="1" s="14">
      <c r="B167" s="5" t="n"/>
      <c r="F167" s="5">
        <f>C167 + D167 - E167</f>
        <v/>
      </c>
      <c r="H167" s="5">
        <f>K167*G167</f>
        <v/>
      </c>
      <c r="I167" s="5">
        <f>IF(F167 &lt;= IFERROR(VLOOKUP(B167, Master_Items!C:H, 6, FALSE), 0), "REORDER", "")</f>
        <v/>
      </c>
      <c r="K167">
        <f>C167+D167</f>
        <v/>
      </c>
    </row>
    <row r="168" ht="15.75" customHeight="1" s="14">
      <c r="B168" s="5" t="n"/>
      <c r="F168" s="5">
        <f>C168 + D168 - E168</f>
        <v/>
      </c>
      <c r="H168" s="5">
        <f>K168*G168</f>
        <v/>
      </c>
      <c r="I168" s="5">
        <f>IF(F168 &lt;= IFERROR(VLOOKUP(B168, Master_Items!C:H, 6, FALSE), 0), "REORDER", "")</f>
        <v/>
      </c>
      <c r="K168">
        <f>C168+D168</f>
        <v/>
      </c>
    </row>
    <row r="169" ht="15.75" customHeight="1" s="14">
      <c r="B169" s="5" t="n"/>
      <c r="F169" s="5">
        <f>C169 + D169 - E169</f>
        <v/>
      </c>
      <c r="H169" s="5">
        <f>K169*G169</f>
        <v/>
      </c>
      <c r="I169" s="5">
        <f>IF(F169 &lt;= IFERROR(VLOOKUP(B169, Master_Items!C:H, 6, FALSE), 0), "REORDER", "")</f>
        <v/>
      </c>
      <c r="K169">
        <f>C169+D169</f>
        <v/>
      </c>
    </row>
    <row r="170" ht="15.75" customHeight="1" s="14">
      <c r="B170" s="5" t="n"/>
      <c r="F170" s="5">
        <f>C170 + D170 - E170</f>
        <v/>
      </c>
      <c r="H170" s="5">
        <f>K170*G170</f>
        <v/>
      </c>
      <c r="I170" s="5">
        <f>IF(F170 &lt;= IFERROR(VLOOKUP(B170, Master_Items!C:H, 6, FALSE), 0), "REORDER", "")</f>
        <v/>
      </c>
      <c r="K170">
        <f>C170+D170</f>
        <v/>
      </c>
    </row>
    <row r="171" ht="15.75" customHeight="1" s="14">
      <c r="B171" s="5" t="n"/>
      <c r="F171" s="5">
        <f>C171 + D171 - E171</f>
        <v/>
      </c>
      <c r="H171" s="5">
        <f>K171*G171</f>
        <v/>
      </c>
      <c r="I171" s="5">
        <f>IF(F171 &lt;= IFERROR(VLOOKUP(B171, Master_Items!C:H, 6, FALSE), 0), "REORDER", "")</f>
        <v/>
      </c>
      <c r="K171">
        <f>C171+D171</f>
        <v/>
      </c>
    </row>
    <row r="172" ht="15.75" customHeight="1" s="14">
      <c r="B172" s="5" t="n"/>
      <c r="F172" s="5">
        <f>C172 + D172 - E172</f>
        <v/>
      </c>
      <c r="H172" s="5">
        <f>K172*G172</f>
        <v/>
      </c>
      <c r="I172" s="5">
        <f>IF(F172 &lt;= IFERROR(VLOOKUP(B172, Master_Items!C:H, 6, FALSE), 0), "REORDER", "")</f>
        <v/>
      </c>
      <c r="K172">
        <f>C172+D172</f>
        <v/>
      </c>
    </row>
    <row r="173" ht="15.75" customHeight="1" s="14">
      <c r="B173" s="5" t="n"/>
      <c r="F173" s="5">
        <f>C173 + D173 - E173</f>
        <v/>
      </c>
      <c r="H173" s="5">
        <f>K173*G173</f>
        <v/>
      </c>
      <c r="I173" s="5">
        <f>IF(F173 &lt;= IFERROR(VLOOKUP(B173, Master_Items!C:H, 6, FALSE), 0), "REORDER", "")</f>
        <v/>
      </c>
      <c r="K173">
        <f>C173+D173</f>
        <v/>
      </c>
    </row>
    <row r="174" ht="15.75" customHeight="1" s="14">
      <c r="B174" s="5" t="n"/>
      <c r="F174" s="5">
        <f>C174 + D174 - E174</f>
        <v/>
      </c>
      <c r="H174" s="5">
        <f>K174*G174</f>
        <v/>
      </c>
      <c r="I174" s="5">
        <f>IF(F174 &lt;= IFERROR(VLOOKUP(B174, Master_Items!C:H, 6, FALSE), 0), "REORDER", "")</f>
        <v/>
      </c>
      <c r="K174">
        <f>C174+D174</f>
        <v/>
      </c>
    </row>
    <row r="175" ht="15.75" customHeight="1" s="14">
      <c r="B175" s="5" t="n"/>
      <c r="F175" s="5">
        <f>C175 + D175 - E175</f>
        <v/>
      </c>
      <c r="H175" s="5">
        <f>K175*G175</f>
        <v/>
      </c>
      <c r="I175" s="5">
        <f>IF(F175 &lt;= IFERROR(VLOOKUP(B175, Master_Items!C:H, 6, FALSE), 0), "REORDER", "")</f>
        <v/>
      </c>
      <c r="K175">
        <f>C175+D175</f>
        <v/>
      </c>
    </row>
    <row r="176" ht="15.75" customHeight="1" s="14">
      <c r="B176" s="5" t="n"/>
      <c r="F176" s="5">
        <f>C176 + D176 - E176</f>
        <v/>
      </c>
      <c r="H176" s="5">
        <f>K176*G176</f>
        <v/>
      </c>
      <c r="I176" s="5">
        <f>IF(F176 &lt;= IFERROR(VLOOKUP(B176, Master_Items!C:H, 6, FALSE), 0), "REORDER", "")</f>
        <v/>
      </c>
      <c r="K176">
        <f>C176+D176</f>
        <v/>
      </c>
    </row>
    <row r="177" ht="15.75" customHeight="1" s="14">
      <c r="B177" s="5" t="n"/>
      <c r="F177" s="5">
        <f>C177 + D177 - E177</f>
        <v/>
      </c>
      <c r="H177" s="5">
        <f>K177*G177</f>
        <v/>
      </c>
      <c r="I177" s="5">
        <f>IF(F177 &lt;= IFERROR(VLOOKUP(B177, Master_Items!C:H, 6, FALSE), 0), "REORDER", "")</f>
        <v/>
      </c>
      <c r="K177">
        <f>C177+D177</f>
        <v/>
      </c>
    </row>
    <row r="178" ht="15.75" customHeight="1" s="14">
      <c r="B178" s="5" t="n"/>
      <c r="F178" s="5">
        <f>C178 + D178 - E178</f>
        <v/>
      </c>
      <c r="H178" s="5">
        <f>K178*G178</f>
        <v/>
      </c>
      <c r="I178" s="5">
        <f>IF(F178 &lt;= IFERROR(VLOOKUP(B178, Master_Items!C:H, 6, FALSE), 0), "REORDER", "")</f>
        <v/>
      </c>
      <c r="K178">
        <f>C178+D178</f>
        <v/>
      </c>
    </row>
    <row r="179" ht="15.75" customHeight="1" s="14">
      <c r="B179" s="5" t="n"/>
      <c r="F179" s="5">
        <f>C179 + D179 - E179</f>
        <v/>
      </c>
      <c r="H179" s="5">
        <f>K179*G179</f>
        <v/>
      </c>
      <c r="I179" s="5">
        <f>IF(F179 &lt;= IFERROR(VLOOKUP(B179, Master_Items!C:H, 6, FALSE), 0), "REORDER", "")</f>
        <v/>
      </c>
      <c r="K179">
        <f>C179+D179</f>
        <v/>
      </c>
    </row>
    <row r="180" ht="15.75" customHeight="1" s="14">
      <c r="B180" s="5" t="n"/>
      <c r="F180" s="5">
        <f>C180 + D180 - E180</f>
        <v/>
      </c>
      <c r="H180" s="5">
        <f>K180*G180</f>
        <v/>
      </c>
      <c r="I180" s="5">
        <f>IF(F180 &lt;= IFERROR(VLOOKUP(B180, Master_Items!C:H, 6, FALSE), 0), "REORDER", "")</f>
        <v/>
      </c>
      <c r="K180">
        <f>C180+D180</f>
        <v/>
      </c>
    </row>
    <row r="181" ht="15.75" customHeight="1" s="14">
      <c r="B181" s="5" t="n"/>
      <c r="F181" s="5">
        <f>C181 + D181 - E181</f>
        <v/>
      </c>
      <c r="H181" s="5">
        <f>K181*G181</f>
        <v/>
      </c>
      <c r="I181" s="5">
        <f>IF(F181 &lt;= IFERROR(VLOOKUP(B181, Master_Items!C:H, 6, FALSE), 0), "REORDER", "")</f>
        <v/>
      </c>
      <c r="K181">
        <f>C181+D181</f>
        <v/>
      </c>
    </row>
    <row r="182" ht="15.75" customHeight="1" s="14">
      <c r="B182" s="5" t="n"/>
      <c r="F182" s="5">
        <f>C182 + D182 - E182</f>
        <v/>
      </c>
      <c r="H182" s="5">
        <f>K182*G182</f>
        <v/>
      </c>
      <c r="I182" s="5">
        <f>IF(F182 &lt;= IFERROR(VLOOKUP(B182, Master_Items!C:H, 6, FALSE), 0), "REORDER", "")</f>
        <v/>
      </c>
      <c r="K182">
        <f>C182+D182</f>
        <v/>
      </c>
    </row>
    <row r="183" ht="15.75" customHeight="1" s="14">
      <c r="B183" s="5" t="n"/>
      <c r="F183" s="5">
        <f>C183 + D183 - E183</f>
        <v/>
      </c>
      <c r="H183" s="5">
        <f>K183*G183</f>
        <v/>
      </c>
      <c r="I183" s="5">
        <f>IF(F183 &lt;= IFERROR(VLOOKUP(B183, Master_Items!C:H, 6, FALSE), 0), "REORDER", "")</f>
        <v/>
      </c>
      <c r="K183">
        <f>C183+D183</f>
        <v/>
      </c>
    </row>
    <row r="184" ht="15.75" customHeight="1" s="14">
      <c r="B184" s="5" t="n"/>
      <c r="F184" s="5">
        <f>C184 + D184 - E184</f>
        <v/>
      </c>
      <c r="H184" s="5">
        <f>K184*G184</f>
        <v/>
      </c>
      <c r="I184" s="5">
        <f>IF(F184 &lt;= IFERROR(VLOOKUP(B184, Master_Items!C:H, 6, FALSE), 0), "REORDER", "")</f>
        <v/>
      </c>
      <c r="K184">
        <f>C184+D184</f>
        <v/>
      </c>
    </row>
    <row r="185" ht="15.75" customHeight="1" s="14">
      <c r="B185" s="5" t="n"/>
      <c r="F185" s="5">
        <f>C185 + D185 - E185</f>
        <v/>
      </c>
      <c r="H185" s="5">
        <f>K185*G185</f>
        <v/>
      </c>
      <c r="I185" s="5">
        <f>IF(F185 &lt;= IFERROR(VLOOKUP(B185, Master_Items!C:H, 6, FALSE), 0), "REORDER", "")</f>
        <v/>
      </c>
      <c r="K185">
        <f>C185+D185</f>
        <v/>
      </c>
    </row>
    <row r="186" ht="15.75" customHeight="1" s="14">
      <c r="B186" s="5" t="n"/>
      <c r="F186" s="5">
        <f>C186 + D186 - E186</f>
        <v/>
      </c>
      <c r="H186" s="5">
        <f>K186*G186</f>
        <v/>
      </c>
      <c r="I186" s="5">
        <f>IF(F186 &lt;= IFERROR(VLOOKUP(B186, Master_Items!C:H, 6, FALSE), 0), "REORDER", "")</f>
        <v/>
      </c>
      <c r="K186">
        <f>C186+D186</f>
        <v/>
      </c>
    </row>
    <row r="187" ht="15.75" customHeight="1" s="14">
      <c r="B187" s="5" t="n"/>
      <c r="F187" s="5">
        <f>C187 + D187 - E187</f>
        <v/>
      </c>
      <c r="H187" s="5">
        <f>K187*G187</f>
        <v/>
      </c>
      <c r="I187" s="5">
        <f>IF(F187 &lt;= IFERROR(VLOOKUP(B187, Master_Items!C:H, 6, FALSE), 0), "REORDER", "")</f>
        <v/>
      </c>
      <c r="K187">
        <f>C187+D187</f>
        <v/>
      </c>
    </row>
    <row r="188" ht="15.75" customHeight="1" s="14">
      <c r="B188" s="5" t="n"/>
      <c r="F188" s="5">
        <f>C188 + D188 - E188</f>
        <v/>
      </c>
      <c r="H188" s="5">
        <f>K188*G188</f>
        <v/>
      </c>
      <c r="I188" s="5">
        <f>IF(F188 &lt;= IFERROR(VLOOKUP(B188, Master_Items!C:H, 6, FALSE), 0), "REORDER", "")</f>
        <v/>
      </c>
      <c r="K188">
        <f>C188+D188</f>
        <v/>
      </c>
    </row>
    <row r="189" ht="15.75" customHeight="1" s="14">
      <c r="B189" s="5" t="n"/>
      <c r="F189" s="5">
        <f>C189 + D189 - E189</f>
        <v/>
      </c>
      <c r="H189" s="5">
        <f>K189*G189</f>
        <v/>
      </c>
      <c r="I189" s="5">
        <f>IF(F189 &lt;= IFERROR(VLOOKUP(B189, Master_Items!C:H, 6, FALSE), 0), "REORDER", "")</f>
        <v/>
      </c>
      <c r="K189">
        <f>C189+D189</f>
        <v/>
      </c>
    </row>
    <row r="190" ht="15.75" customHeight="1" s="14">
      <c r="B190" s="5" t="n"/>
      <c r="F190" s="5">
        <f>C190 + D190 - E190</f>
        <v/>
      </c>
      <c r="H190" s="5">
        <f>K190*G190</f>
        <v/>
      </c>
      <c r="I190" s="5">
        <f>IF(F190 &lt;= IFERROR(VLOOKUP(B190, Master_Items!C:H, 6, FALSE), 0), "REORDER", "")</f>
        <v/>
      </c>
      <c r="K190">
        <f>C190+D190</f>
        <v/>
      </c>
    </row>
    <row r="191" ht="15.75" customHeight="1" s="14">
      <c r="B191" s="5" t="n"/>
      <c r="F191" s="5">
        <f>C191 + D191 - E191</f>
        <v/>
      </c>
      <c r="H191" s="5">
        <f>K191*G191</f>
        <v/>
      </c>
      <c r="I191" s="5">
        <f>IF(F191 &lt;= IFERROR(VLOOKUP(B191, Master_Items!C:H, 6, FALSE), 0), "REORDER", "")</f>
        <v/>
      </c>
      <c r="K191">
        <f>C191+D191</f>
        <v/>
      </c>
    </row>
    <row r="192" ht="15.75" customHeight="1" s="14">
      <c r="B192" s="5" t="n"/>
      <c r="F192" s="5">
        <f>C192 + D192 - E192</f>
        <v/>
      </c>
      <c r="H192" s="5">
        <f>K192*G192</f>
        <v/>
      </c>
      <c r="I192" s="5">
        <f>IF(F192 &lt;= IFERROR(VLOOKUP(B192, Master_Items!C:H, 6, FALSE), 0), "REORDER", "")</f>
        <v/>
      </c>
      <c r="K192">
        <f>C192+D192</f>
        <v/>
      </c>
    </row>
    <row r="193" ht="15.75" customHeight="1" s="14">
      <c r="B193" s="5" t="n"/>
      <c r="F193" s="5">
        <f>C193 + D193 - E193</f>
        <v/>
      </c>
      <c r="H193" s="5">
        <f>K193*G193</f>
        <v/>
      </c>
      <c r="I193" s="5">
        <f>IF(F193 &lt;= IFERROR(VLOOKUP(B193, Master_Items!C:H, 6, FALSE), 0), "REORDER", "")</f>
        <v/>
      </c>
      <c r="K193">
        <f>C193+D193</f>
        <v/>
      </c>
    </row>
    <row r="194" ht="15.75" customHeight="1" s="14">
      <c r="B194" s="5" t="n"/>
      <c r="F194" s="5">
        <f>C194 + D194 - E194</f>
        <v/>
      </c>
      <c r="H194" s="5">
        <f>K194*G194</f>
        <v/>
      </c>
      <c r="I194" s="5">
        <f>IF(F194 &lt;= IFERROR(VLOOKUP(B194, Master_Items!C:H, 6, FALSE), 0), "REORDER", "")</f>
        <v/>
      </c>
      <c r="K194">
        <f>C194+D194</f>
        <v/>
      </c>
    </row>
    <row r="195" ht="15.75" customHeight="1" s="14">
      <c r="B195" s="5" t="n"/>
      <c r="F195" s="5">
        <f>C195 + D195 - E195</f>
        <v/>
      </c>
      <c r="H195" s="5">
        <f>K195*G195</f>
        <v/>
      </c>
      <c r="I195" s="5">
        <f>IF(F195 &lt;= IFERROR(VLOOKUP(B195, Master_Items!C:H, 6, FALSE), 0), "REORDER", "")</f>
        <v/>
      </c>
      <c r="K195">
        <f>C195+D195</f>
        <v/>
      </c>
    </row>
    <row r="196" ht="15.75" customHeight="1" s="14">
      <c r="B196" s="5" t="n"/>
      <c r="F196" s="5">
        <f>C196 + D196 - E196</f>
        <v/>
      </c>
      <c r="H196" s="5">
        <f>K196*G196</f>
        <v/>
      </c>
      <c r="I196" s="5">
        <f>IF(F196 &lt;= IFERROR(VLOOKUP(B196, Master_Items!C:H, 6, FALSE), 0), "REORDER", "")</f>
        <v/>
      </c>
      <c r="K196">
        <f>C196+D196</f>
        <v/>
      </c>
    </row>
    <row r="197" ht="15.75" customHeight="1" s="14">
      <c r="B197" s="5" t="n"/>
      <c r="F197" s="5">
        <f>C197 + D197 - E197</f>
        <v/>
      </c>
      <c r="H197" s="5">
        <f>K197*G197</f>
        <v/>
      </c>
      <c r="I197" s="5">
        <f>IF(F197 &lt;= IFERROR(VLOOKUP(B197, Master_Items!C:H, 6, FALSE), 0), "REORDER", "")</f>
        <v/>
      </c>
      <c r="K197">
        <f>C197+D197</f>
        <v/>
      </c>
    </row>
    <row r="198" ht="15.75" customHeight="1" s="14">
      <c r="B198" s="5" t="n"/>
      <c r="F198" s="5">
        <f>C198 + D198 - E198</f>
        <v/>
      </c>
      <c r="H198" s="5">
        <f>K198*G198</f>
        <v/>
      </c>
      <c r="I198" s="5">
        <f>IF(F198 &lt;= IFERROR(VLOOKUP(B198, Master_Items!C:H, 6, FALSE), 0), "REORDER", "")</f>
        <v/>
      </c>
      <c r="K198">
        <f>C198+D198</f>
        <v/>
      </c>
    </row>
    <row r="199" ht="15.75" customHeight="1" s="14">
      <c r="B199" s="5" t="n"/>
      <c r="F199" s="5">
        <f>C199 + D199 - E199</f>
        <v/>
      </c>
      <c r="H199" s="5">
        <f>K199*G199</f>
        <v/>
      </c>
      <c r="I199" s="5">
        <f>IF(F199 &lt;= IFERROR(VLOOKUP(B199, Master_Items!C:H, 6, FALSE), 0), "REORDER", "")</f>
        <v/>
      </c>
      <c r="K199">
        <f>C199+D199</f>
        <v/>
      </c>
    </row>
    <row r="200" ht="15.75" customHeight="1" s="14">
      <c r="B200" s="5" t="n"/>
      <c r="F200" s="5">
        <f>C200 + D200 - E200</f>
        <v/>
      </c>
      <c r="H200" s="5">
        <f>K200*G200</f>
        <v/>
      </c>
      <c r="I200" s="5">
        <f>IF(F200 &lt;= IFERROR(VLOOKUP(B200, Master_Items!C:H, 6, FALSE), 0), "REORDER", "")</f>
        <v/>
      </c>
      <c r="K200">
        <f>C200+D200</f>
        <v/>
      </c>
    </row>
    <row r="201" ht="15.75" customHeight="1" s="14">
      <c r="B201" s="5" t="n"/>
      <c r="F201" s="5">
        <f>C201 + D201 - E201</f>
        <v/>
      </c>
      <c r="H201" s="5">
        <f>K201*G201</f>
        <v/>
      </c>
      <c r="I201" s="5">
        <f>IF(F201 &lt;= IFERROR(VLOOKUP(B201, Master_Items!C:H, 6, FALSE), 0), "REORDER", "")</f>
        <v/>
      </c>
      <c r="K201">
        <f>C201+D201</f>
        <v/>
      </c>
    </row>
    <row r="202" ht="15.75" customHeight="1" s="14">
      <c r="B202" s="5" t="n"/>
      <c r="F202" s="5">
        <f>C202 + D202 - E202</f>
        <v/>
      </c>
      <c r="H202" s="5">
        <f>K202*G202</f>
        <v/>
      </c>
      <c r="I202" s="5">
        <f>IF(F202 &lt;= IFERROR(VLOOKUP(B202, Master_Items!C:H, 6, FALSE), 0), "REORDER", "")</f>
        <v/>
      </c>
      <c r="K202">
        <f>C202+D202</f>
        <v/>
      </c>
    </row>
    <row r="203" ht="15.75" customHeight="1" s="14">
      <c r="B203" s="5" t="n"/>
      <c r="F203" s="5">
        <f>C203 + D203 - E203</f>
        <v/>
      </c>
      <c r="H203" s="5">
        <f>K203*G203</f>
        <v/>
      </c>
      <c r="I203" s="5">
        <f>IF(F203 &lt;= IFERROR(VLOOKUP(B203, Master_Items!C:H, 6, FALSE), 0), "REORDER", "")</f>
        <v/>
      </c>
      <c r="K203">
        <f>C203+D203</f>
        <v/>
      </c>
    </row>
    <row r="204" ht="15.75" customHeight="1" s="14">
      <c r="B204" s="5" t="n"/>
      <c r="F204" s="5">
        <f>C204 + D204 - E204</f>
        <v/>
      </c>
      <c r="H204" s="5">
        <f>K204*G204</f>
        <v/>
      </c>
      <c r="I204" s="5">
        <f>IF(F204 &lt;= IFERROR(VLOOKUP(B204, Master_Items!C:H, 6, FALSE), 0), "REORDER", "")</f>
        <v/>
      </c>
      <c r="K204">
        <f>C204+D204</f>
        <v/>
      </c>
    </row>
    <row r="205" ht="15.75" customHeight="1" s="14">
      <c r="B205" s="5" t="n"/>
      <c r="F205" s="5">
        <f>C205 + D205 - E205</f>
        <v/>
      </c>
      <c r="H205" s="5">
        <f>K205*G205</f>
        <v/>
      </c>
      <c r="I205" s="5">
        <f>IF(F205 &lt;= IFERROR(VLOOKUP(B205, Master_Items!C:H, 6, FALSE), 0), "REORDER", "")</f>
        <v/>
      </c>
      <c r="K205">
        <f>C205+D205</f>
        <v/>
      </c>
    </row>
    <row r="206" ht="15.75" customHeight="1" s="14">
      <c r="B206" s="5" t="n"/>
      <c r="F206" s="5">
        <f>C206 + D206 - E206</f>
        <v/>
      </c>
      <c r="H206" s="5">
        <f>K206*G206</f>
        <v/>
      </c>
      <c r="I206" s="5">
        <f>IF(F206 &lt;= IFERROR(VLOOKUP(B206, Master_Items!C:H, 6, FALSE), 0), "REORDER", "")</f>
        <v/>
      </c>
      <c r="K206">
        <f>C206+D206</f>
        <v/>
      </c>
    </row>
    <row r="207" ht="15.75" customHeight="1" s="14">
      <c r="B207" s="5" t="n"/>
      <c r="F207" s="5">
        <f>C207 + D207 - E207</f>
        <v/>
      </c>
      <c r="H207" s="5">
        <f>K207*G207</f>
        <v/>
      </c>
      <c r="I207" s="5">
        <f>IF(F207 &lt;= IFERROR(VLOOKUP(B207, Master_Items!C:H, 6, FALSE), 0), "REORDER", "")</f>
        <v/>
      </c>
      <c r="K207">
        <f>C207+D207</f>
        <v/>
      </c>
    </row>
    <row r="208" ht="15.75" customHeight="1" s="14">
      <c r="B208" s="5" t="n"/>
      <c r="F208" s="5">
        <f>C208 + D208 - E208</f>
        <v/>
      </c>
      <c r="H208" s="5">
        <f>K208*G208</f>
        <v/>
      </c>
      <c r="I208" s="5">
        <f>IF(F208 &lt;= IFERROR(VLOOKUP(B208, Master_Items!C:H, 6, FALSE), 0), "REORDER", "")</f>
        <v/>
      </c>
      <c r="K208">
        <f>C208+D208</f>
        <v/>
      </c>
    </row>
    <row r="209" ht="15.75" customHeight="1" s="14">
      <c r="B209" s="5" t="n"/>
      <c r="F209" s="5">
        <f>C209 + D209 - E209</f>
        <v/>
      </c>
      <c r="H209" s="5">
        <f>K209*G209</f>
        <v/>
      </c>
      <c r="I209" s="5">
        <f>IF(F209 &lt;= IFERROR(VLOOKUP(B209, Master_Items!C:H, 6, FALSE), 0), "REORDER", "")</f>
        <v/>
      </c>
      <c r="K209">
        <f>C209+D209</f>
        <v/>
      </c>
    </row>
    <row r="210" ht="15.75" customHeight="1" s="14">
      <c r="B210" s="5" t="n"/>
      <c r="F210" s="5">
        <f>C210 + D210 - E210</f>
        <v/>
      </c>
      <c r="H210" s="5">
        <f>K210*G210</f>
        <v/>
      </c>
      <c r="I210" s="5">
        <f>IF(F210 &lt;= IFERROR(VLOOKUP(B210, Master_Items!C:H, 6, FALSE), 0), "REORDER", "")</f>
        <v/>
      </c>
      <c r="K210">
        <f>C210+D210</f>
        <v/>
      </c>
    </row>
    <row r="211" ht="15.75" customHeight="1" s="14">
      <c r="B211" s="5" t="n"/>
      <c r="F211" s="5">
        <f>C211 + D211 - E211</f>
        <v/>
      </c>
      <c r="H211" s="5">
        <f>K211*G211</f>
        <v/>
      </c>
      <c r="I211" s="5">
        <f>IF(F211 &lt;= IFERROR(VLOOKUP(B211, Master_Items!C:H, 6, FALSE), 0), "REORDER", "")</f>
        <v/>
      </c>
      <c r="K211">
        <f>C211+D211</f>
        <v/>
      </c>
    </row>
    <row r="212" ht="15.75" customHeight="1" s="14">
      <c r="B212" s="5" t="n"/>
      <c r="F212" s="5">
        <f>C212 + D212 - E212</f>
        <v/>
      </c>
      <c r="H212" s="5">
        <f>K212*G212</f>
        <v/>
      </c>
      <c r="I212" s="5">
        <f>IF(F212 &lt;= IFERROR(VLOOKUP(B212, Master_Items!C:H, 6, FALSE), 0), "REORDER", "")</f>
        <v/>
      </c>
      <c r="K212">
        <f>C212+D212</f>
        <v/>
      </c>
    </row>
    <row r="213" ht="15.75" customHeight="1" s="14">
      <c r="B213" s="5" t="n"/>
      <c r="F213" s="5">
        <f>C213 + D213 - E213</f>
        <v/>
      </c>
      <c r="H213" s="5">
        <f>K213*G213</f>
        <v/>
      </c>
      <c r="I213" s="5">
        <f>IF(F213 &lt;= IFERROR(VLOOKUP(B213, Master_Items!C:H, 6, FALSE), 0), "REORDER", "")</f>
        <v/>
      </c>
      <c r="K213">
        <f>C213+D213</f>
        <v/>
      </c>
    </row>
    <row r="214" ht="15.75" customHeight="1" s="14">
      <c r="B214" s="5" t="n"/>
      <c r="F214" s="5">
        <f>C214 + D214 - E214</f>
        <v/>
      </c>
      <c r="H214" s="5">
        <f>K214*G214</f>
        <v/>
      </c>
      <c r="I214" s="5">
        <f>IF(F214 &lt;= IFERROR(VLOOKUP(B214, Master_Items!C:H, 6, FALSE), 0), "REORDER", "")</f>
        <v/>
      </c>
      <c r="K214">
        <f>C214+D214</f>
        <v/>
      </c>
    </row>
    <row r="215" ht="15.75" customHeight="1" s="14">
      <c r="B215" s="5" t="n"/>
      <c r="F215" s="5">
        <f>C215 + D215 - E215</f>
        <v/>
      </c>
      <c r="H215" s="5">
        <f>K215*G215</f>
        <v/>
      </c>
      <c r="I215" s="5">
        <f>IF(F215 &lt;= IFERROR(VLOOKUP(B215, Master_Items!C:H, 6, FALSE), 0), "REORDER", "")</f>
        <v/>
      </c>
      <c r="K215">
        <f>C215+D215</f>
        <v/>
      </c>
    </row>
    <row r="216" ht="15.75" customHeight="1" s="14">
      <c r="B216" s="5" t="n"/>
      <c r="F216" s="5">
        <f>C216 + D216 - E216</f>
        <v/>
      </c>
      <c r="H216" s="5">
        <f>K216*G216</f>
        <v/>
      </c>
      <c r="I216" s="5">
        <f>IF(F216 &lt;= IFERROR(VLOOKUP(B216, Master_Items!C:H, 6, FALSE), 0), "REORDER", "")</f>
        <v/>
      </c>
      <c r="K216">
        <f>C216+D216</f>
        <v/>
      </c>
    </row>
    <row r="217" ht="15.75" customHeight="1" s="14">
      <c r="B217" s="5" t="n"/>
      <c r="F217" s="5">
        <f>C217 + D217 - E217</f>
        <v/>
      </c>
      <c r="H217" s="5">
        <f>K217*G217</f>
        <v/>
      </c>
      <c r="I217" s="5">
        <f>IF(F217 &lt;= IFERROR(VLOOKUP(B217, Master_Items!C:H, 6, FALSE), 0), "REORDER", "")</f>
        <v/>
      </c>
      <c r="K217">
        <f>C217+D217</f>
        <v/>
      </c>
    </row>
    <row r="218" ht="15.75" customHeight="1" s="14">
      <c r="B218" s="5" t="n"/>
      <c r="F218" s="5">
        <f>C218 + D218 - E218</f>
        <v/>
      </c>
      <c r="H218" s="5">
        <f>K218*G218</f>
        <v/>
      </c>
      <c r="I218" s="5">
        <f>IF(F218 &lt;= IFERROR(VLOOKUP(B218, Master_Items!C:H, 6, FALSE), 0), "REORDER", "")</f>
        <v/>
      </c>
      <c r="K218">
        <f>C218+D218</f>
        <v/>
      </c>
    </row>
    <row r="219" ht="15.75" customHeight="1" s="14">
      <c r="B219" s="5" t="n"/>
      <c r="F219" s="5">
        <f>C219 + D219 - E219</f>
        <v/>
      </c>
      <c r="H219" s="5">
        <f>K219*G219</f>
        <v/>
      </c>
      <c r="I219" s="5">
        <f>IF(F219 &lt;= IFERROR(VLOOKUP(B219, Master_Items!C:H, 6, FALSE), 0), "REORDER", "")</f>
        <v/>
      </c>
      <c r="K219">
        <f>C219+D219</f>
        <v/>
      </c>
    </row>
    <row r="220" ht="15.75" customHeight="1" s="14">
      <c r="B220" s="5" t="n"/>
      <c r="F220" s="5">
        <f>C220 + D220 - E220</f>
        <v/>
      </c>
      <c r="H220" s="5">
        <f>K220*G220</f>
        <v/>
      </c>
      <c r="I220" s="5">
        <f>IF(F220 &lt;= IFERROR(VLOOKUP(B220, Master_Items!C:H, 6, FALSE), 0), "REORDER", "")</f>
        <v/>
      </c>
      <c r="K220">
        <f>C220+D220</f>
        <v/>
      </c>
    </row>
    <row r="221" ht="15.75" customHeight="1" s="14">
      <c r="B221" s="5" t="n"/>
      <c r="F221" s="5">
        <f>C221 + D221 - E221</f>
        <v/>
      </c>
      <c r="H221" s="5">
        <f>K221*G221</f>
        <v/>
      </c>
      <c r="I221" s="5">
        <f>IF(F221 &lt;= IFERROR(VLOOKUP(B221, Master_Items!C:H, 6, FALSE), 0), "REORDER", "")</f>
        <v/>
      </c>
      <c r="K221">
        <f>C221+D221</f>
        <v/>
      </c>
    </row>
    <row r="222" ht="15.75" customHeight="1" s="14">
      <c r="B222" s="5" t="n"/>
      <c r="F222" s="5">
        <f>C222 + D222 - E222</f>
        <v/>
      </c>
      <c r="H222" s="5">
        <f>K222*G222</f>
        <v/>
      </c>
      <c r="I222" s="5">
        <f>IF(F222 &lt;= IFERROR(VLOOKUP(B222, Master_Items!C:H, 6, FALSE), 0), "REORDER", "")</f>
        <v/>
      </c>
      <c r="K222">
        <f>C222+D222</f>
        <v/>
      </c>
    </row>
    <row r="223" ht="15.75" customHeight="1" s="14">
      <c r="B223" s="5" t="n"/>
      <c r="F223" s="5">
        <f>C223 + D223 - E223</f>
        <v/>
      </c>
      <c r="H223" s="5">
        <f>K223*G223</f>
        <v/>
      </c>
      <c r="I223" s="5">
        <f>IF(F223 &lt;= IFERROR(VLOOKUP(B223, Master_Items!C:H, 6, FALSE), 0), "REORDER", "")</f>
        <v/>
      </c>
      <c r="K223">
        <f>C223+D223</f>
        <v/>
      </c>
    </row>
    <row r="224" ht="15.75" customHeight="1" s="14">
      <c r="B224" s="5" t="n"/>
      <c r="F224" s="5">
        <f>C224 + D224 - E224</f>
        <v/>
      </c>
      <c r="H224" s="5">
        <f>K224*G224</f>
        <v/>
      </c>
      <c r="I224" s="5">
        <f>IF(F224 &lt;= IFERROR(VLOOKUP(B224, Master_Items!C:H, 6, FALSE), 0), "REORDER", "")</f>
        <v/>
      </c>
      <c r="K224">
        <f>C224+D224</f>
        <v/>
      </c>
    </row>
    <row r="225" ht="15.75" customHeight="1" s="14">
      <c r="B225" s="5" t="n"/>
      <c r="F225" s="5">
        <f>C225 + D225 - E225</f>
        <v/>
      </c>
      <c r="H225" s="5">
        <f>K225*G225</f>
        <v/>
      </c>
      <c r="I225" s="5">
        <f>IF(F225 &lt;= IFERROR(VLOOKUP(B225, Master_Items!C:H, 6, FALSE), 0), "REORDER", "")</f>
        <v/>
      </c>
      <c r="K225">
        <f>C225+D225</f>
        <v/>
      </c>
    </row>
    <row r="226" ht="15.75" customHeight="1" s="14">
      <c r="B226" s="5" t="n"/>
      <c r="F226" s="5">
        <f>C226 + D226 - E226</f>
        <v/>
      </c>
      <c r="H226" s="5">
        <f>K226*G226</f>
        <v/>
      </c>
      <c r="I226" s="5">
        <f>IF(F226 &lt;= IFERROR(VLOOKUP(B226, Master_Items!C:H, 6, FALSE), 0), "REORDER", "")</f>
        <v/>
      </c>
      <c r="K226">
        <f>C226+D226</f>
        <v/>
      </c>
    </row>
    <row r="227" ht="15.75" customHeight="1" s="14">
      <c r="B227" s="5" t="n"/>
      <c r="F227" s="5">
        <f>C227 + D227 - E227</f>
        <v/>
      </c>
      <c r="H227" s="5">
        <f>K227*G227</f>
        <v/>
      </c>
      <c r="I227" s="5">
        <f>IF(F227 &lt;= IFERROR(VLOOKUP(B227, Master_Items!C:H, 6, FALSE), 0), "REORDER", "")</f>
        <v/>
      </c>
      <c r="K227">
        <f>C227+D227</f>
        <v/>
      </c>
    </row>
    <row r="228" ht="15.75" customHeight="1" s="14">
      <c r="B228" s="5" t="n"/>
      <c r="F228" s="5">
        <f>C228 + D228 - E228</f>
        <v/>
      </c>
      <c r="H228" s="5">
        <f>K228*G228</f>
        <v/>
      </c>
      <c r="I228" s="5">
        <f>IF(F228 &lt;= IFERROR(VLOOKUP(B228, Master_Items!C:H, 6, FALSE), 0), "REORDER", "")</f>
        <v/>
      </c>
      <c r="K228">
        <f>C228+D228</f>
        <v/>
      </c>
    </row>
    <row r="229" ht="15.75" customHeight="1" s="14">
      <c r="B229" s="5" t="n"/>
      <c r="F229" s="5">
        <f>C229 + D229 - E229</f>
        <v/>
      </c>
      <c r="H229" s="5">
        <f>K229*G229</f>
        <v/>
      </c>
      <c r="I229" s="5">
        <f>IF(F229 &lt;= IFERROR(VLOOKUP(B229, Master_Items!C:H, 6, FALSE), 0), "REORDER", "")</f>
        <v/>
      </c>
      <c r="K229">
        <f>C229+D229</f>
        <v/>
      </c>
    </row>
    <row r="230" ht="15.75" customHeight="1" s="14">
      <c r="B230" s="5" t="n"/>
      <c r="F230" s="5">
        <f>C230 + D230 - E230</f>
        <v/>
      </c>
      <c r="H230" s="5">
        <f>K230*G230</f>
        <v/>
      </c>
      <c r="I230" s="5">
        <f>IF(F230 &lt;= IFERROR(VLOOKUP(B230, Master_Items!C:H, 6, FALSE), 0), "REORDER", "")</f>
        <v/>
      </c>
      <c r="K230">
        <f>C230+D230</f>
        <v/>
      </c>
    </row>
    <row r="231" ht="15.75" customHeight="1" s="14">
      <c r="B231" s="5" t="n"/>
      <c r="F231" s="5">
        <f>C231 + D231 - E231</f>
        <v/>
      </c>
      <c r="H231" s="5">
        <f>K231*G231</f>
        <v/>
      </c>
      <c r="I231" s="5">
        <f>IF(F231 &lt;= IFERROR(VLOOKUP(B231, Master_Items!C:H, 6, FALSE), 0), "REORDER", "")</f>
        <v/>
      </c>
      <c r="K231">
        <f>C231+D231</f>
        <v/>
      </c>
    </row>
    <row r="232" ht="15.75" customHeight="1" s="14">
      <c r="B232" s="5" t="n"/>
      <c r="F232" s="5">
        <f>C232 + D232 - E232</f>
        <v/>
      </c>
      <c r="H232" s="5">
        <f>K232*G232</f>
        <v/>
      </c>
      <c r="I232" s="5">
        <f>IF(F232 &lt;= IFERROR(VLOOKUP(B232, Master_Items!C:H, 6, FALSE), 0), "REORDER", "")</f>
        <v/>
      </c>
      <c r="K232">
        <f>C232+D232</f>
        <v/>
      </c>
    </row>
    <row r="233" ht="15.75" customHeight="1" s="14">
      <c r="B233" s="5" t="n"/>
      <c r="F233" s="5">
        <f>C233 + D233 - E233</f>
        <v/>
      </c>
      <c r="H233" s="5">
        <f>K233*G233</f>
        <v/>
      </c>
      <c r="I233" s="5">
        <f>IF(F233 &lt;= IFERROR(VLOOKUP(B233, Master_Items!C:H, 6, FALSE), 0), "REORDER", "")</f>
        <v/>
      </c>
      <c r="K233">
        <f>C233+D233</f>
        <v/>
      </c>
    </row>
    <row r="234" ht="15.75" customHeight="1" s="14">
      <c r="B234" s="5" t="n"/>
      <c r="F234" s="5">
        <f>C234 + D234 - E234</f>
        <v/>
      </c>
      <c r="H234" s="5">
        <f>K234*G234</f>
        <v/>
      </c>
      <c r="I234" s="5">
        <f>IF(F234 &lt;= IFERROR(VLOOKUP(B234, Master_Items!C:H, 6, FALSE), 0), "REORDER", "")</f>
        <v/>
      </c>
      <c r="K234">
        <f>C234+D234</f>
        <v/>
      </c>
    </row>
    <row r="235" ht="15.75" customHeight="1" s="14">
      <c r="B235" s="5" t="n"/>
      <c r="F235" s="5">
        <f>C235 + D235 - E235</f>
        <v/>
      </c>
      <c r="H235" s="5">
        <f>K235*G235</f>
        <v/>
      </c>
      <c r="I235" s="5">
        <f>IF(F235 &lt;= IFERROR(VLOOKUP(B235, Master_Items!C:H, 6, FALSE), 0), "REORDER", "")</f>
        <v/>
      </c>
      <c r="K235">
        <f>C235+D235</f>
        <v/>
      </c>
    </row>
    <row r="236" ht="15.75" customHeight="1" s="14">
      <c r="B236" s="5" t="n"/>
      <c r="F236" s="5">
        <f>C236 + D236 - E236</f>
        <v/>
      </c>
      <c r="H236" s="5">
        <f>K236*G236</f>
        <v/>
      </c>
      <c r="I236" s="5">
        <f>IF(F236 &lt;= IFERROR(VLOOKUP(B236, Master_Items!C:H, 6, FALSE), 0), "REORDER", "")</f>
        <v/>
      </c>
      <c r="K236">
        <f>C236+D236</f>
        <v/>
      </c>
    </row>
    <row r="237" ht="15.75" customHeight="1" s="14">
      <c r="B237" s="5" t="n"/>
      <c r="F237" s="5">
        <f>C237 + D237 - E237</f>
        <v/>
      </c>
      <c r="H237" s="5">
        <f>K237*G237</f>
        <v/>
      </c>
      <c r="I237" s="5">
        <f>IF(F237 &lt;= IFERROR(VLOOKUP(B237, Master_Items!C:H, 6, FALSE), 0), "REORDER", "")</f>
        <v/>
      </c>
      <c r="K237">
        <f>C237+D237</f>
        <v/>
      </c>
    </row>
    <row r="238" ht="15.75" customHeight="1" s="14">
      <c r="B238" s="5" t="n"/>
      <c r="F238" s="5">
        <f>C238 + D238 - E238</f>
        <v/>
      </c>
      <c r="H238" s="5">
        <f>K238*G238</f>
        <v/>
      </c>
      <c r="I238" s="5">
        <f>IF(F238 &lt;= IFERROR(VLOOKUP(B238, Master_Items!C:H, 6, FALSE), 0), "REORDER", "")</f>
        <v/>
      </c>
      <c r="K238">
        <f>C238+D238</f>
        <v/>
      </c>
    </row>
    <row r="239" ht="15.75" customHeight="1" s="14">
      <c r="B239" s="5" t="n"/>
      <c r="F239" s="5">
        <f>C239 + D239 - E239</f>
        <v/>
      </c>
      <c r="H239" s="5">
        <f>K239*G239</f>
        <v/>
      </c>
      <c r="I239" s="5">
        <f>IF(F239 &lt;= IFERROR(VLOOKUP(B239, Master_Items!C:H, 6, FALSE), 0), "REORDER", "")</f>
        <v/>
      </c>
      <c r="K239">
        <f>C239+D239</f>
        <v/>
      </c>
    </row>
    <row r="240" ht="15.75" customHeight="1" s="14">
      <c r="B240" s="5" t="n"/>
      <c r="F240" s="5">
        <f>C240 + D240 - E240</f>
        <v/>
      </c>
      <c r="H240" s="5">
        <f>K240*G240</f>
        <v/>
      </c>
      <c r="I240" s="5">
        <f>IF(F240 &lt;= IFERROR(VLOOKUP(B240, Master_Items!C:H, 6, FALSE), 0), "REORDER", "")</f>
        <v/>
      </c>
      <c r="K240">
        <f>C240+D240</f>
        <v/>
      </c>
    </row>
    <row r="241" ht="15.75" customHeight="1" s="14">
      <c r="B241" s="5" t="n"/>
      <c r="F241" s="5">
        <f>C241 + D241 - E241</f>
        <v/>
      </c>
      <c r="H241" s="5">
        <f>K241*G241</f>
        <v/>
      </c>
      <c r="I241" s="5">
        <f>IF(F241 &lt;= IFERROR(VLOOKUP(B241, Master_Items!C:H, 6, FALSE), 0), "REORDER", "")</f>
        <v/>
      </c>
      <c r="K241">
        <f>C241+D241</f>
        <v/>
      </c>
    </row>
    <row r="242" ht="15.75" customHeight="1" s="14">
      <c r="B242" s="5" t="n"/>
      <c r="F242" s="5">
        <f>C242 + D242 - E242</f>
        <v/>
      </c>
      <c r="H242" s="5">
        <f>K242*G242</f>
        <v/>
      </c>
      <c r="I242" s="5">
        <f>IF(F242 &lt;= IFERROR(VLOOKUP(B242, Master_Items!C:H, 6, FALSE), 0), "REORDER", "")</f>
        <v/>
      </c>
      <c r="K242">
        <f>C242+D242</f>
        <v/>
      </c>
    </row>
    <row r="243" ht="15.75" customHeight="1" s="14">
      <c r="B243" s="5" t="n"/>
      <c r="F243" s="5">
        <f>C243 + D243 - E243</f>
        <v/>
      </c>
      <c r="H243" s="5">
        <f>K243*G243</f>
        <v/>
      </c>
      <c r="I243" s="5">
        <f>IF(F243 &lt;= IFERROR(VLOOKUP(B243, Master_Items!C:H, 6, FALSE), 0), "REORDER", "")</f>
        <v/>
      </c>
      <c r="K243">
        <f>C243+D243</f>
        <v/>
      </c>
    </row>
    <row r="244" ht="15.75" customHeight="1" s="14">
      <c r="B244" s="5" t="n"/>
      <c r="F244" s="5">
        <f>C244 + D244 - E244</f>
        <v/>
      </c>
      <c r="H244" s="5">
        <f>K244*G244</f>
        <v/>
      </c>
      <c r="I244" s="5">
        <f>IF(F244 &lt;= IFERROR(VLOOKUP(B244, Master_Items!C:H, 6, FALSE), 0), "REORDER", "")</f>
        <v/>
      </c>
      <c r="K244">
        <f>C244+D244</f>
        <v/>
      </c>
    </row>
    <row r="245" ht="15.75" customHeight="1" s="14">
      <c r="B245" s="5" t="n"/>
      <c r="F245" s="5">
        <f>C245 + D245 - E245</f>
        <v/>
      </c>
      <c r="H245" s="5">
        <f>K245*G245</f>
        <v/>
      </c>
      <c r="I245" s="5">
        <f>IF(F245 &lt;= IFERROR(VLOOKUP(B245, Master_Items!C:H, 6, FALSE), 0), "REORDER", "")</f>
        <v/>
      </c>
      <c r="K245">
        <f>C245+D245</f>
        <v/>
      </c>
    </row>
    <row r="246" ht="15.75" customHeight="1" s="14">
      <c r="B246" s="5" t="n"/>
      <c r="F246" s="5">
        <f>C246 + D246 - E246</f>
        <v/>
      </c>
      <c r="H246" s="5">
        <f>K246*G246</f>
        <v/>
      </c>
      <c r="I246" s="5">
        <f>IF(F246 &lt;= IFERROR(VLOOKUP(B246, Master_Items!C:H, 6, FALSE), 0), "REORDER", "")</f>
        <v/>
      </c>
      <c r="K246">
        <f>C246+D246</f>
        <v/>
      </c>
    </row>
    <row r="247" ht="15.75" customHeight="1" s="14">
      <c r="B247" s="5" t="n"/>
      <c r="F247" s="5">
        <f>C247 + D247 - E247</f>
        <v/>
      </c>
      <c r="H247" s="5">
        <f>K247*G247</f>
        <v/>
      </c>
      <c r="I247" s="5">
        <f>IF(F247 &lt;= IFERROR(VLOOKUP(B247, Master_Items!C:H, 6, FALSE), 0), "REORDER", "")</f>
        <v/>
      </c>
      <c r="K247">
        <f>C247+D247</f>
        <v/>
      </c>
    </row>
    <row r="248" ht="15.75" customHeight="1" s="14">
      <c r="B248" s="5" t="n"/>
      <c r="F248" s="5">
        <f>C248 + D248 - E248</f>
        <v/>
      </c>
      <c r="H248" s="5">
        <f>K248*G248</f>
        <v/>
      </c>
      <c r="I248" s="5">
        <f>IF(F248 &lt;= IFERROR(VLOOKUP(B248, Master_Items!C:H, 6, FALSE), 0), "REORDER", "")</f>
        <v/>
      </c>
      <c r="K248">
        <f>C248+D248</f>
        <v/>
      </c>
    </row>
    <row r="249" ht="15.75" customHeight="1" s="14">
      <c r="B249" s="5" t="n"/>
      <c r="F249" s="5">
        <f>C249 + D249 - E249</f>
        <v/>
      </c>
      <c r="H249" s="5">
        <f>K249*G249</f>
        <v/>
      </c>
      <c r="I249" s="5">
        <f>IF(F249 &lt;= IFERROR(VLOOKUP(B249, Master_Items!C:H, 6, FALSE), 0), "REORDER", "")</f>
        <v/>
      </c>
      <c r="K249">
        <f>C249+D249</f>
        <v/>
      </c>
    </row>
    <row r="250" ht="15.75" customHeight="1" s="14">
      <c r="B250" s="5" t="n"/>
      <c r="F250" s="5">
        <f>C250 + D250 - E250</f>
        <v/>
      </c>
      <c r="H250" s="5">
        <f>K250*G250</f>
        <v/>
      </c>
      <c r="I250" s="5">
        <f>IF(F250 &lt;= IFERROR(VLOOKUP(B250, Master_Items!C:H, 6, FALSE), 0), "REORDER", "")</f>
        <v/>
      </c>
      <c r="K250">
        <f>C250+D250</f>
        <v/>
      </c>
    </row>
    <row r="251" ht="15.75" customHeight="1" s="14">
      <c r="B251" s="5" t="n"/>
      <c r="F251" s="5">
        <f>C251 + D251 - E251</f>
        <v/>
      </c>
      <c r="H251" s="5">
        <f>K251*G251</f>
        <v/>
      </c>
      <c r="I251" s="5">
        <f>IF(F251 &lt;= IFERROR(VLOOKUP(B251, Master_Items!C:H, 6, FALSE), 0), "REORDER", "")</f>
        <v/>
      </c>
      <c r="K251">
        <f>C251+D251</f>
        <v/>
      </c>
    </row>
    <row r="252" ht="15.75" customHeight="1" s="14">
      <c r="B252" s="5" t="n"/>
      <c r="F252" s="5">
        <f>C252 + D252 - E252</f>
        <v/>
      </c>
      <c r="H252" s="5">
        <f>K252*G252</f>
        <v/>
      </c>
      <c r="I252" s="5">
        <f>IF(F252 &lt;= IFERROR(VLOOKUP(B252, Master_Items!C:H, 6, FALSE), 0), "REORDER", "")</f>
        <v/>
      </c>
      <c r="K252">
        <f>C252+D252</f>
        <v/>
      </c>
    </row>
    <row r="253" ht="15.75" customHeight="1" s="14">
      <c r="B253" s="5" t="n"/>
      <c r="F253" s="5">
        <f>C253 + D253 - E253</f>
        <v/>
      </c>
      <c r="H253" s="5">
        <f>K253*G253</f>
        <v/>
      </c>
      <c r="I253" s="5">
        <f>IF(F253 &lt;= IFERROR(VLOOKUP(B253, Master_Items!C:H, 6, FALSE), 0), "REORDER", "")</f>
        <v/>
      </c>
      <c r="K253">
        <f>C253+D253</f>
        <v/>
      </c>
    </row>
    <row r="254" ht="15.75" customHeight="1" s="14">
      <c r="B254" s="5" t="n"/>
      <c r="F254" s="5">
        <f>C254 + D254 - E254</f>
        <v/>
      </c>
      <c r="H254" s="5">
        <f>K254*G254</f>
        <v/>
      </c>
      <c r="I254" s="5">
        <f>IF(F254 &lt;= IFERROR(VLOOKUP(B254, Master_Items!C:H, 6, FALSE), 0), "REORDER", "")</f>
        <v/>
      </c>
      <c r="K254">
        <f>C254+D254</f>
        <v/>
      </c>
    </row>
    <row r="255" ht="15.75" customHeight="1" s="14">
      <c r="B255" s="5" t="n"/>
      <c r="F255" s="5">
        <f>C255 + D255 - E255</f>
        <v/>
      </c>
      <c r="H255" s="5">
        <f>K255*G255</f>
        <v/>
      </c>
      <c r="I255" s="5">
        <f>IF(F255 &lt;= IFERROR(VLOOKUP(B255, Master_Items!C:H, 6, FALSE), 0), "REORDER", "")</f>
        <v/>
      </c>
      <c r="K255">
        <f>C255+D255</f>
        <v/>
      </c>
    </row>
    <row r="256" ht="15.75" customHeight="1" s="14">
      <c r="B256" s="5" t="n"/>
      <c r="F256" s="5">
        <f>C256 + D256 - E256</f>
        <v/>
      </c>
      <c r="H256" s="5">
        <f>K256*G256</f>
        <v/>
      </c>
      <c r="I256" s="5">
        <f>IF(F256 &lt;= IFERROR(VLOOKUP(B256, Master_Items!C:H, 6, FALSE), 0), "REORDER", "")</f>
        <v/>
      </c>
      <c r="K256">
        <f>C256+D256</f>
        <v/>
      </c>
    </row>
    <row r="257" ht="15.75" customHeight="1" s="14">
      <c r="B257" s="5" t="n"/>
      <c r="F257" s="5">
        <f>C257 + D257 - E257</f>
        <v/>
      </c>
      <c r="H257" s="5">
        <f>K257*G257</f>
        <v/>
      </c>
      <c r="I257" s="5">
        <f>IF(F257 &lt;= IFERROR(VLOOKUP(B257, Master_Items!C:H, 6, FALSE), 0), "REORDER", "")</f>
        <v/>
      </c>
      <c r="K257">
        <f>C257+D257</f>
        <v/>
      </c>
    </row>
    <row r="258" ht="15.75" customHeight="1" s="14">
      <c r="B258" s="5" t="n"/>
      <c r="F258" s="5">
        <f>C258 + D258 - E258</f>
        <v/>
      </c>
      <c r="H258" s="5">
        <f>K258*G258</f>
        <v/>
      </c>
      <c r="I258" s="5">
        <f>IF(F258 &lt;= IFERROR(VLOOKUP(B258, Master_Items!C:H, 6, FALSE), 0), "REORDER", "")</f>
        <v/>
      </c>
      <c r="K258">
        <f>C258+D258</f>
        <v/>
      </c>
    </row>
    <row r="259" ht="15.75" customHeight="1" s="14">
      <c r="B259" s="5" t="n"/>
      <c r="F259" s="5">
        <f>C259 + D259 - E259</f>
        <v/>
      </c>
      <c r="H259" s="5">
        <f>K259*G259</f>
        <v/>
      </c>
      <c r="I259" s="5">
        <f>IF(F259 &lt;= IFERROR(VLOOKUP(B259, Master_Items!C:H, 6, FALSE), 0), "REORDER", "")</f>
        <v/>
      </c>
      <c r="K259">
        <f>C259+D259</f>
        <v/>
      </c>
    </row>
    <row r="260" ht="15.75" customHeight="1" s="14">
      <c r="B260" s="5" t="n"/>
      <c r="F260" s="5">
        <f>C260 + D260 - E260</f>
        <v/>
      </c>
      <c r="H260" s="5">
        <f>K260*G260</f>
        <v/>
      </c>
      <c r="I260" s="5">
        <f>IF(F260 &lt;= IFERROR(VLOOKUP(B260, Master_Items!C:H, 6, FALSE), 0), "REORDER", "")</f>
        <v/>
      </c>
      <c r="K260">
        <f>C260+D260</f>
        <v/>
      </c>
    </row>
    <row r="261" ht="15.75" customHeight="1" s="14">
      <c r="B261" s="5" t="n"/>
      <c r="F261" s="5">
        <f>C261 + D261 - E261</f>
        <v/>
      </c>
      <c r="H261" s="5">
        <f>K261*G261</f>
        <v/>
      </c>
      <c r="I261" s="5">
        <f>IF(F261 &lt;= IFERROR(VLOOKUP(B261, Master_Items!C:H, 6, FALSE), 0), "REORDER", "")</f>
        <v/>
      </c>
      <c r="K261">
        <f>C261+D261</f>
        <v/>
      </c>
    </row>
    <row r="262" ht="15.75" customHeight="1" s="14">
      <c r="B262" s="5" t="n"/>
      <c r="F262" s="5">
        <f>C262 + D262 - E262</f>
        <v/>
      </c>
      <c r="H262" s="5">
        <f>K262*G262</f>
        <v/>
      </c>
      <c r="I262" s="5">
        <f>IF(F262 &lt;= IFERROR(VLOOKUP(B262, Master_Items!C:H, 6, FALSE), 0), "REORDER", "")</f>
        <v/>
      </c>
      <c r="K262">
        <f>C262+D262</f>
        <v/>
      </c>
    </row>
    <row r="263" ht="15.75" customHeight="1" s="14">
      <c r="B263" s="5" t="n"/>
      <c r="F263" s="5">
        <f>C263 + D263 - E263</f>
        <v/>
      </c>
      <c r="H263" s="5">
        <f>K263*G263</f>
        <v/>
      </c>
      <c r="I263" s="5">
        <f>IF(F263 &lt;= IFERROR(VLOOKUP(B263, Master_Items!C:H, 6, FALSE), 0), "REORDER", "")</f>
        <v/>
      </c>
      <c r="K263">
        <f>C263+D263</f>
        <v/>
      </c>
    </row>
    <row r="264" ht="15.75" customHeight="1" s="14">
      <c r="B264" s="5" t="n"/>
      <c r="F264" s="5">
        <f>C264 + D264 - E264</f>
        <v/>
      </c>
      <c r="H264" s="5">
        <f>K264*G264</f>
        <v/>
      </c>
      <c r="I264" s="5">
        <f>IF(F264 &lt;= IFERROR(VLOOKUP(B264, Master_Items!C:H, 6, FALSE), 0), "REORDER", "")</f>
        <v/>
      </c>
      <c r="K264">
        <f>C264+D264</f>
        <v/>
      </c>
    </row>
    <row r="265" ht="15.75" customHeight="1" s="14">
      <c r="B265" s="5" t="n"/>
      <c r="F265" s="5">
        <f>C265 + D265 - E265</f>
        <v/>
      </c>
      <c r="H265" s="5">
        <f>K265*G265</f>
        <v/>
      </c>
      <c r="I265" s="5">
        <f>IF(F265 &lt;= IFERROR(VLOOKUP(B265, Master_Items!C:H, 6, FALSE), 0), "REORDER", "")</f>
        <v/>
      </c>
      <c r="K265">
        <f>C265+D265</f>
        <v/>
      </c>
    </row>
    <row r="266" ht="15.75" customHeight="1" s="14">
      <c r="B266" s="5" t="n"/>
      <c r="F266" s="5">
        <f>C266 + D266 - E266</f>
        <v/>
      </c>
      <c r="H266" s="5">
        <f>K266*G266</f>
        <v/>
      </c>
      <c r="I266" s="5">
        <f>IF(F266 &lt;= IFERROR(VLOOKUP(B266, Master_Items!C:H, 6, FALSE), 0), "REORDER", "")</f>
        <v/>
      </c>
      <c r="K266">
        <f>C266+D266</f>
        <v/>
      </c>
    </row>
    <row r="267" ht="15.75" customHeight="1" s="14">
      <c r="B267" s="5" t="n"/>
      <c r="F267" s="5">
        <f>C267 + D267 - E267</f>
        <v/>
      </c>
      <c r="H267" s="5">
        <f>K267*G267</f>
        <v/>
      </c>
      <c r="I267" s="5">
        <f>IF(F267 &lt;= IFERROR(VLOOKUP(B267, Master_Items!C:H, 6, FALSE), 0), "REORDER", "")</f>
        <v/>
      </c>
      <c r="K267">
        <f>C267+D267</f>
        <v/>
      </c>
    </row>
    <row r="268" ht="15.75" customHeight="1" s="14">
      <c r="B268" s="5" t="n"/>
      <c r="F268" s="5">
        <f>C268 + D268 - E268</f>
        <v/>
      </c>
      <c r="H268" s="5">
        <f>K268*G268</f>
        <v/>
      </c>
      <c r="I268" s="5">
        <f>IF(F268 &lt;= IFERROR(VLOOKUP(B268, Master_Items!C:H, 6, FALSE), 0), "REORDER", "")</f>
        <v/>
      </c>
      <c r="K268">
        <f>C268+D268</f>
        <v/>
      </c>
    </row>
    <row r="269" ht="15.75" customHeight="1" s="14">
      <c r="B269" s="5" t="n"/>
      <c r="F269" s="5">
        <f>C269 + D269 - E269</f>
        <v/>
      </c>
      <c r="H269" s="5">
        <f>K269*G269</f>
        <v/>
      </c>
      <c r="I269" s="5">
        <f>IF(F269 &lt;= IFERROR(VLOOKUP(B269, Master_Items!C:H, 6, FALSE), 0), "REORDER", "")</f>
        <v/>
      </c>
      <c r="K269">
        <f>C269+D269</f>
        <v/>
      </c>
    </row>
    <row r="270" ht="15.75" customHeight="1" s="14">
      <c r="B270" s="5" t="n"/>
      <c r="F270" s="5">
        <f>C270 + D270 - E270</f>
        <v/>
      </c>
      <c r="H270" s="5">
        <f>K270*G270</f>
        <v/>
      </c>
      <c r="I270" s="5">
        <f>IF(F270 &lt;= IFERROR(VLOOKUP(B270, Master_Items!C:H, 6, FALSE), 0), "REORDER", "")</f>
        <v/>
      </c>
      <c r="K270">
        <f>C270+D270</f>
        <v/>
      </c>
    </row>
    <row r="271" ht="15.75" customHeight="1" s="14">
      <c r="B271" s="5" t="n"/>
      <c r="F271" s="5">
        <f>C271 + D271 - E271</f>
        <v/>
      </c>
      <c r="H271" s="5">
        <f>K271*G271</f>
        <v/>
      </c>
      <c r="I271" s="5">
        <f>IF(F271 &lt;= IFERROR(VLOOKUP(B271, Master_Items!C:H, 6, FALSE), 0), "REORDER", "")</f>
        <v/>
      </c>
      <c r="K271">
        <f>C271+D271</f>
        <v/>
      </c>
    </row>
    <row r="272" ht="15.75" customHeight="1" s="14">
      <c r="B272" s="5" t="n"/>
      <c r="F272" s="5">
        <f>C272 + D272 - E272</f>
        <v/>
      </c>
      <c r="H272" s="5">
        <f>K272*G272</f>
        <v/>
      </c>
      <c r="I272" s="5">
        <f>IF(F272 &lt;= IFERROR(VLOOKUP(B272, Master_Items!C:H, 6, FALSE), 0), "REORDER", "")</f>
        <v/>
      </c>
      <c r="K272">
        <f>C272+D272</f>
        <v/>
      </c>
    </row>
    <row r="273" ht="15.75" customHeight="1" s="14">
      <c r="B273" s="5" t="n"/>
      <c r="F273" s="5">
        <f>C273 + D273 - E273</f>
        <v/>
      </c>
      <c r="H273" s="5">
        <f>K273*G273</f>
        <v/>
      </c>
      <c r="I273" s="5">
        <f>IF(F273 &lt;= IFERROR(VLOOKUP(B273, Master_Items!C:H, 6, FALSE), 0), "REORDER", "")</f>
        <v/>
      </c>
      <c r="K273">
        <f>C273+D273</f>
        <v/>
      </c>
    </row>
    <row r="274" ht="15.75" customHeight="1" s="14">
      <c r="B274" s="5" t="n"/>
      <c r="F274" s="5">
        <f>C274 + D274 - E274</f>
        <v/>
      </c>
      <c r="H274" s="5">
        <f>K274*G274</f>
        <v/>
      </c>
      <c r="I274" s="5">
        <f>IF(F274 &lt;= IFERROR(VLOOKUP(B274, Master_Items!C:H, 6, FALSE), 0), "REORDER", "")</f>
        <v/>
      </c>
      <c r="K274">
        <f>C274+D274</f>
        <v/>
      </c>
    </row>
    <row r="275" ht="15.75" customHeight="1" s="14">
      <c r="B275" s="5" t="n"/>
      <c r="F275" s="5">
        <f>C275 + D275 - E275</f>
        <v/>
      </c>
      <c r="H275" s="5">
        <f>K275*G275</f>
        <v/>
      </c>
      <c r="I275" s="5">
        <f>IF(F275 &lt;= IFERROR(VLOOKUP(B275, Master_Items!C:H, 6, FALSE), 0), "REORDER", "")</f>
        <v/>
      </c>
      <c r="K275">
        <f>C275+D275</f>
        <v/>
      </c>
    </row>
    <row r="276" ht="15.75" customHeight="1" s="14">
      <c r="B276" s="5" t="n"/>
      <c r="F276" s="5">
        <f>C276 + D276 - E276</f>
        <v/>
      </c>
      <c r="H276" s="5">
        <f>K276*G276</f>
        <v/>
      </c>
      <c r="I276" s="5">
        <f>IF(F276 &lt;= IFERROR(VLOOKUP(B276, Master_Items!C:H, 6, FALSE), 0), "REORDER", "")</f>
        <v/>
      </c>
      <c r="K276">
        <f>C276+D276</f>
        <v/>
      </c>
    </row>
    <row r="277" ht="15.75" customHeight="1" s="14">
      <c r="B277" s="5" t="n"/>
      <c r="F277" s="5">
        <f>C277 + D277 - E277</f>
        <v/>
      </c>
      <c r="H277" s="5">
        <f>K277*G277</f>
        <v/>
      </c>
      <c r="I277" s="5">
        <f>IF(F277 &lt;= IFERROR(VLOOKUP(B277, Master_Items!C:H, 6, FALSE), 0), "REORDER", "")</f>
        <v/>
      </c>
      <c r="K277">
        <f>C277+D277</f>
        <v/>
      </c>
    </row>
    <row r="278" ht="15.75" customHeight="1" s="14">
      <c r="B278" s="5" t="n"/>
      <c r="F278" s="5">
        <f>C278 + D278 - E278</f>
        <v/>
      </c>
      <c r="H278" s="5">
        <f>K278*G278</f>
        <v/>
      </c>
      <c r="I278" s="5">
        <f>IF(F278 &lt;= IFERROR(VLOOKUP(B278, Master_Items!C:H, 6, FALSE), 0), "REORDER", "")</f>
        <v/>
      </c>
      <c r="K278">
        <f>C278+D278</f>
        <v/>
      </c>
    </row>
    <row r="279" ht="15.75" customHeight="1" s="14">
      <c r="B279" s="5" t="n"/>
      <c r="F279" s="5">
        <f>C279 + D279 - E279</f>
        <v/>
      </c>
      <c r="H279" s="5">
        <f>K279*G279</f>
        <v/>
      </c>
      <c r="I279" s="5">
        <f>IF(F279 &lt;= IFERROR(VLOOKUP(B279, Master_Items!C:H, 6, FALSE), 0), "REORDER", "")</f>
        <v/>
      </c>
      <c r="K279">
        <f>C279+D279</f>
        <v/>
      </c>
    </row>
    <row r="280" ht="15.75" customHeight="1" s="14">
      <c r="B280" s="5" t="n"/>
      <c r="F280" s="5">
        <f>C280 + D280 - E280</f>
        <v/>
      </c>
      <c r="H280" s="5">
        <f>K280*G280</f>
        <v/>
      </c>
      <c r="I280" s="5">
        <f>IF(F280 &lt;= IFERROR(VLOOKUP(B280, Master_Items!C:H, 6, FALSE), 0), "REORDER", "")</f>
        <v/>
      </c>
      <c r="K280">
        <f>C280+D280</f>
        <v/>
      </c>
    </row>
    <row r="281" ht="15.75" customHeight="1" s="14">
      <c r="B281" s="5" t="n"/>
      <c r="F281" s="5">
        <f>C281 + D281 - E281</f>
        <v/>
      </c>
      <c r="H281" s="5">
        <f>K281*G281</f>
        <v/>
      </c>
      <c r="I281" s="5">
        <f>IF(F281 &lt;= IFERROR(VLOOKUP(B281, Master_Items!C:H, 6, FALSE), 0), "REORDER", "")</f>
        <v/>
      </c>
      <c r="K281">
        <f>C281+D281</f>
        <v/>
      </c>
    </row>
    <row r="282" ht="15.75" customHeight="1" s="14">
      <c r="B282" s="5" t="n"/>
      <c r="F282" s="5">
        <f>C282 + D282 - E282</f>
        <v/>
      </c>
      <c r="H282" s="5">
        <f>K282*G282</f>
        <v/>
      </c>
      <c r="I282" s="5">
        <f>IF(F282 &lt;= IFERROR(VLOOKUP(B282, Master_Items!C:H, 6, FALSE), 0), "REORDER", "")</f>
        <v/>
      </c>
      <c r="K282">
        <f>C282+D282</f>
        <v/>
      </c>
    </row>
    <row r="283" ht="15.75" customHeight="1" s="14">
      <c r="B283" s="5" t="n"/>
      <c r="F283" s="5">
        <f>C283 + D283 - E283</f>
        <v/>
      </c>
      <c r="H283" s="5">
        <f>K283*G283</f>
        <v/>
      </c>
      <c r="I283" s="5">
        <f>IF(F283 &lt;= IFERROR(VLOOKUP(B283, Master_Items!C:H, 6, FALSE), 0), "REORDER", "")</f>
        <v/>
      </c>
      <c r="K283">
        <f>C283+D283</f>
        <v/>
      </c>
    </row>
    <row r="284" ht="15.75" customHeight="1" s="14">
      <c r="B284" s="5" t="n"/>
      <c r="F284" s="5">
        <f>C284 + D284 - E284</f>
        <v/>
      </c>
      <c r="H284" s="5">
        <f>K284*G284</f>
        <v/>
      </c>
      <c r="I284" s="5">
        <f>IF(F284 &lt;= IFERROR(VLOOKUP(B284, Master_Items!C:H, 6, FALSE), 0), "REORDER", "")</f>
        <v/>
      </c>
      <c r="K284">
        <f>C284+D284</f>
        <v/>
      </c>
    </row>
    <row r="285" ht="15.75" customHeight="1" s="14">
      <c r="B285" s="5" t="n"/>
      <c r="F285" s="5">
        <f>C285 + D285 - E285</f>
        <v/>
      </c>
      <c r="H285" s="5">
        <f>K285*G285</f>
        <v/>
      </c>
      <c r="I285" s="5">
        <f>IF(F285 &lt;= IFERROR(VLOOKUP(B285, Master_Items!C:H, 6, FALSE), 0), "REORDER", "")</f>
        <v/>
      </c>
      <c r="K285">
        <f>C285+D285</f>
        <v/>
      </c>
    </row>
    <row r="286" ht="15.75" customHeight="1" s="14">
      <c r="B286" s="5" t="n"/>
      <c r="F286" s="5">
        <f>C286 + D286 - E286</f>
        <v/>
      </c>
      <c r="H286" s="5">
        <f>K286*G286</f>
        <v/>
      </c>
      <c r="I286" s="5">
        <f>IF(F286 &lt;= IFERROR(VLOOKUP(B286, Master_Items!C:H, 6, FALSE), 0), "REORDER", "")</f>
        <v/>
      </c>
      <c r="K286">
        <f>C286+D286</f>
        <v/>
      </c>
    </row>
    <row r="287" ht="15.75" customHeight="1" s="14">
      <c r="B287" s="5" t="n"/>
      <c r="F287" s="5">
        <f>C287 + D287 - E287</f>
        <v/>
      </c>
      <c r="H287" s="5">
        <f>K287*G287</f>
        <v/>
      </c>
      <c r="I287" s="5">
        <f>IF(F287 &lt;= IFERROR(VLOOKUP(B287, Master_Items!C:H, 6, FALSE), 0), "REORDER", "")</f>
        <v/>
      </c>
      <c r="K287">
        <f>C287+D287</f>
        <v/>
      </c>
    </row>
    <row r="288" ht="15.75" customHeight="1" s="14">
      <c r="B288" s="5" t="n"/>
      <c r="F288" s="5">
        <f>C288 + D288 - E288</f>
        <v/>
      </c>
      <c r="H288" s="5">
        <f>K288*G288</f>
        <v/>
      </c>
      <c r="I288" s="5">
        <f>IF(F288 &lt;= IFERROR(VLOOKUP(B288, Master_Items!C:H, 6, FALSE), 0), "REORDER", "")</f>
        <v/>
      </c>
      <c r="K288">
        <f>C288+D288</f>
        <v/>
      </c>
    </row>
    <row r="289" ht="15.75" customHeight="1" s="14">
      <c r="B289" s="5" t="n"/>
      <c r="F289" s="5">
        <f>C289 + D289 - E289</f>
        <v/>
      </c>
      <c r="H289" s="5">
        <f>K289*G289</f>
        <v/>
      </c>
      <c r="I289" s="5">
        <f>IF(F289 &lt;= IFERROR(VLOOKUP(B289, Master_Items!C:H, 6, FALSE), 0), "REORDER", "")</f>
        <v/>
      </c>
      <c r="K289">
        <f>C289+D289</f>
        <v/>
      </c>
    </row>
    <row r="290" ht="15.75" customHeight="1" s="14">
      <c r="B290" s="5" t="n"/>
      <c r="F290" s="5">
        <f>C290 + D290 - E290</f>
        <v/>
      </c>
      <c r="H290" s="5">
        <f>K290*G290</f>
        <v/>
      </c>
      <c r="I290" s="5">
        <f>IF(F290 &lt;= IFERROR(VLOOKUP(B290, Master_Items!C:H, 6, FALSE), 0), "REORDER", "")</f>
        <v/>
      </c>
      <c r="K290">
        <f>C290+D290</f>
        <v/>
      </c>
    </row>
    <row r="291" ht="15.75" customHeight="1" s="14">
      <c r="B291" s="5" t="n"/>
      <c r="F291" s="5">
        <f>C291 + D291 - E291</f>
        <v/>
      </c>
      <c r="H291" s="5">
        <f>K291*G291</f>
        <v/>
      </c>
      <c r="I291" s="5">
        <f>IF(F291 &lt;= IFERROR(VLOOKUP(B291, Master_Items!C:H, 6, FALSE), 0), "REORDER", "")</f>
        <v/>
      </c>
      <c r="K291">
        <f>C291+D291</f>
        <v/>
      </c>
    </row>
    <row r="292" ht="15.75" customHeight="1" s="14">
      <c r="B292" s="5" t="n"/>
      <c r="F292" s="5">
        <f>C292 + D292 - E292</f>
        <v/>
      </c>
      <c r="H292" s="5">
        <f>K292*G292</f>
        <v/>
      </c>
      <c r="I292" s="5">
        <f>IF(F292 &lt;= IFERROR(VLOOKUP(B292, Master_Items!C:H, 6, FALSE), 0), "REORDER", "")</f>
        <v/>
      </c>
      <c r="K292">
        <f>C292+D292</f>
        <v/>
      </c>
    </row>
    <row r="293" ht="15.75" customHeight="1" s="14">
      <c r="B293" s="5" t="n"/>
      <c r="F293" s="5">
        <f>C293 + D293 - E293</f>
        <v/>
      </c>
      <c r="H293" s="5">
        <f>K293*G293</f>
        <v/>
      </c>
      <c r="I293" s="5">
        <f>IF(F293 &lt;= IFERROR(VLOOKUP(B293, Master_Items!C:H, 6, FALSE), 0), "REORDER", "")</f>
        <v/>
      </c>
      <c r="K293">
        <f>C293+D293</f>
        <v/>
      </c>
    </row>
    <row r="294" ht="15.75" customHeight="1" s="14">
      <c r="B294" s="5" t="n"/>
      <c r="F294" s="5">
        <f>C294 + D294 - E294</f>
        <v/>
      </c>
      <c r="H294" s="5">
        <f>K294*G294</f>
        <v/>
      </c>
      <c r="I294" s="5">
        <f>IF(F294 &lt;= IFERROR(VLOOKUP(B294, Master_Items!C:H, 6, FALSE), 0), "REORDER", "")</f>
        <v/>
      </c>
      <c r="K294">
        <f>C294+D294</f>
        <v/>
      </c>
    </row>
    <row r="295" ht="15.75" customHeight="1" s="14">
      <c r="B295" s="5" t="n"/>
      <c r="F295" s="5">
        <f>C295 + D295 - E295</f>
        <v/>
      </c>
      <c r="H295" s="5">
        <f>K295*G295</f>
        <v/>
      </c>
      <c r="I295" s="5">
        <f>IF(F295 &lt;= IFERROR(VLOOKUP(B295, Master_Items!C:H, 6, FALSE), 0), "REORDER", "")</f>
        <v/>
      </c>
      <c r="K295">
        <f>C295+D295</f>
        <v/>
      </c>
    </row>
    <row r="296" ht="15.75" customHeight="1" s="14">
      <c r="B296" s="5" t="n"/>
      <c r="F296" s="5">
        <f>C296 + D296 - E296</f>
        <v/>
      </c>
      <c r="H296" s="5">
        <f>K296*G296</f>
        <v/>
      </c>
      <c r="I296" s="5">
        <f>IF(F296 &lt;= IFERROR(VLOOKUP(B296, Master_Items!C:H, 6, FALSE), 0), "REORDER", "")</f>
        <v/>
      </c>
      <c r="K296">
        <f>C296+D296</f>
        <v/>
      </c>
    </row>
    <row r="297" ht="15.75" customHeight="1" s="14">
      <c r="B297" s="5" t="n"/>
      <c r="F297" s="5">
        <f>C297 + D297 - E297</f>
        <v/>
      </c>
      <c r="H297" s="5">
        <f>K297*G297</f>
        <v/>
      </c>
      <c r="I297" s="5">
        <f>IF(F297 &lt;= IFERROR(VLOOKUP(B297, Master_Items!C:H, 6, FALSE), 0), "REORDER", "")</f>
        <v/>
      </c>
      <c r="K297">
        <f>C297+D297</f>
        <v/>
      </c>
    </row>
    <row r="298" ht="15.75" customHeight="1" s="14">
      <c r="B298" s="5" t="n"/>
      <c r="F298" s="5">
        <f>C298 + D298 - E298</f>
        <v/>
      </c>
      <c r="H298" s="5">
        <f>K298*G298</f>
        <v/>
      </c>
      <c r="I298" s="5">
        <f>IF(F298 &lt;= IFERROR(VLOOKUP(B298, Master_Items!C:H, 6, FALSE), 0), "REORDER", "")</f>
        <v/>
      </c>
      <c r="K298">
        <f>C298+D298</f>
        <v/>
      </c>
    </row>
    <row r="299" ht="15.75" customHeight="1" s="14">
      <c r="B299" s="5" t="n"/>
      <c r="F299" s="5">
        <f>C299 + D299 - E299</f>
        <v/>
      </c>
      <c r="H299" s="5">
        <f>K299*G299</f>
        <v/>
      </c>
      <c r="I299" s="5">
        <f>IF(F299 &lt;= IFERROR(VLOOKUP(B299, Master_Items!C:H, 6, FALSE), 0), "REORDER", "")</f>
        <v/>
      </c>
      <c r="K299">
        <f>C299+D299</f>
        <v/>
      </c>
    </row>
    <row r="300" ht="15.75" customHeight="1" s="14">
      <c r="B300" s="5" t="n"/>
      <c r="F300" s="5">
        <f>C300 + D300 - E300</f>
        <v/>
      </c>
      <c r="H300" s="5">
        <f>K300*G300</f>
        <v/>
      </c>
      <c r="I300" s="5">
        <f>IF(F300 &lt;= IFERROR(VLOOKUP(B300, Master_Items!C:H, 6, FALSE), 0), "REORDER", "")</f>
        <v/>
      </c>
      <c r="K300">
        <f>C300+D300</f>
        <v/>
      </c>
    </row>
    <row r="301" ht="15.75" customHeight="1" s="14">
      <c r="B301" s="5" t="n"/>
      <c r="F301" s="5">
        <f>C301 + D301 - E301</f>
        <v/>
      </c>
      <c r="H301" s="5">
        <f>K301*G301</f>
        <v/>
      </c>
      <c r="I301" s="5">
        <f>IF(F301 &lt;= IFERROR(VLOOKUP(B301, Master_Items!C:H, 6, FALSE), 0), "REORDER", "")</f>
        <v/>
      </c>
      <c r="K301">
        <f>C301+D301</f>
        <v/>
      </c>
    </row>
    <row r="302" ht="15.75" customHeight="1" s="14">
      <c r="B302" s="5" t="n"/>
      <c r="F302" s="5">
        <f>C302 + D302 - E302</f>
        <v/>
      </c>
      <c r="H302" s="5">
        <f>K302*G302</f>
        <v/>
      </c>
      <c r="I302" s="5">
        <f>IF(F302 &lt;= IFERROR(VLOOKUP(B302, Master_Items!C:H, 6, FALSE), 0), "REORDER", "")</f>
        <v/>
      </c>
      <c r="K302">
        <f>C302+D302</f>
        <v/>
      </c>
    </row>
    <row r="303" ht="15.75" customHeight="1" s="14">
      <c r="B303" s="5" t="n"/>
      <c r="F303" s="5">
        <f>C303 + D303 - E303</f>
        <v/>
      </c>
      <c r="H303" s="5">
        <f>K303*G303</f>
        <v/>
      </c>
      <c r="I303" s="5">
        <f>IF(F303 &lt;= IFERROR(VLOOKUP(B303, Master_Items!C:H, 6, FALSE), 0), "REORDER", "")</f>
        <v/>
      </c>
      <c r="K303">
        <f>C303+D303</f>
        <v/>
      </c>
    </row>
    <row r="304" ht="15.75" customHeight="1" s="14">
      <c r="B304" s="5" t="n"/>
      <c r="F304" s="5">
        <f>C304 + D304 - E304</f>
        <v/>
      </c>
      <c r="H304" s="5">
        <f>K304*G304</f>
        <v/>
      </c>
      <c r="I304" s="5">
        <f>IF(F304 &lt;= IFERROR(VLOOKUP(B304, Master_Items!C:H, 6, FALSE), 0), "REORDER", "")</f>
        <v/>
      </c>
      <c r="K304">
        <f>C304+D304</f>
        <v/>
      </c>
    </row>
    <row r="305" ht="15.75" customHeight="1" s="14">
      <c r="B305" s="5" t="n"/>
      <c r="F305" s="5">
        <f>C305 + D305 - E305</f>
        <v/>
      </c>
      <c r="H305" s="5">
        <f>K305*G305</f>
        <v/>
      </c>
      <c r="I305" s="5">
        <f>IF(F305 &lt;= IFERROR(VLOOKUP(B305, Master_Items!C:H, 6, FALSE), 0), "REORDER", "")</f>
        <v/>
      </c>
      <c r="K305">
        <f>C305+D305</f>
        <v/>
      </c>
    </row>
    <row r="306" ht="15.75" customHeight="1" s="14">
      <c r="B306" s="5" t="n"/>
      <c r="F306" s="5">
        <f>C306 + D306 - E306</f>
        <v/>
      </c>
      <c r="H306" s="5">
        <f>K306*G306</f>
        <v/>
      </c>
      <c r="I306" s="5">
        <f>IF(F306 &lt;= IFERROR(VLOOKUP(B306, Master_Items!C:H, 6, FALSE), 0), "REORDER", "")</f>
        <v/>
      </c>
      <c r="K306">
        <f>C306+D306</f>
        <v/>
      </c>
    </row>
    <row r="307" ht="15.75" customHeight="1" s="14">
      <c r="B307" s="5" t="n"/>
      <c r="F307" s="5">
        <f>C307 + D307 - E307</f>
        <v/>
      </c>
      <c r="H307" s="5">
        <f>K307*G307</f>
        <v/>
      </c>
      <c r="I307" s="5">
        <f>IF(F307 &lt;= IFERROR(VLOOKUP(B307, Master_Items!C:H, 6, FALSE), 0), "REORDER", "")</f>
        <v/>
      </c>
      <c r="K307">
        <f>C307+D307</f>
        <v/>
      </c>
    </row>
    <row r="308" ht="15.75" customHeight="1" s="14">
      <c r="B308" s="5" t="n"/>
      <c r="F308" s="5">
        <f>C308 + D308 - E308</f>
        <v/>
      </c>
      <c r="H308" s="5">
        <f>K308*G308</f>
        <v/>
      </c>
      <c r="I308" s="5">
        <f>IF(F308 &lt;= IFERROR(VLOOKUP(B308, Master_Items!C:H, 6, FALSE), 0), "REORDER", "")</f>
        <v/>
      </c>
      <c r="K308">
        <f>C308+D308</f>
        <v/>
      </c>
    </row>
    <row r="309" ht="15.75" customHeight="1" s="14">
      <c r="B309" s="5" t="n"/>
      <c r="F309" s="5">
        <f>C309 + D309 - E309</f>
        <v/>
      </c>
      <c r="H309" s="5">
        <f>K309*G309</f>
        <v/>
      </c>
      <c r="I309" s="5">
        <f>IF(F309 &lt;= IFERROR(VLOOKUP(B309, Master_Items!C:H, 6, FALSE), 0), "REORDER", "")</f>
        <v/>
      </c>
      <c r="K309">
        <f>C309+D309</f>
        <v/>
      </c>
    </row>
    <row r="310" ht="15.75" customHeight="1" s="14">
      <c r="B310" s="5" t="n"/>
      <c r="F310" s="5">
        <f>C310 + D310 - E310</f>
        <v/>
      </c>
      <c r="H310" s="5">
        <f>K310*G310</f>
        <v/>
      </c>
      <c r="I310" s="5">
        <f>IF(F310 &lt;= IFERROR(VLOOKUP(B310, Master_Items!C:H, 6, FALSE), 0), "REORDER", "")</f>
        <v/>
      </c>
      <c r="K310">
        <f>C310+D310</f>
        <v/>
      </c>
    </row>
    <row r="311" ht="15.75" customHeight="1" s="14">
      <c r="B311" s="5" t="n"/>
      <c r="F311" s="5">
        <f>C311 + D311 - E311</f>
        <v/>
      </c>
      <c r="H311" s="5">
        <f>K311*G311</f>
        <v/>
      </c>
      <c r="I311" s="5">
        <f>IF(F311 &lt;= IFERROR(VLOOKUP(B311, Master_Items!C:H, 6, FALSE), 0), "REORDER", "")</f>
        <v/>
      </c>
      <c r="K311">
        <f>C311+D311</f>
        <v/>
      </c>
    </row>
    <row r="312" ht="15.75" customHeight="1" s="14">
      <c r="B312" s="5" t="n"/>
      <c r="F312" s="5">
        <f>C312 + D312 - E312</f>
        <v/>
      </c>
      <c r="H312" s="5">
        <f>K312*G312</f>
        <v/>
      </c>
      <c r="I312" s="5">
        <f>IF(F312 &lt;= IFERROR(VLOOKUP(B312, Master_Items!C:H, 6, FALSE), 0), "REORDER", "")</f>
        <v/>
      </c>
      <c r="K312">
        <f>C312+D312</f>
        <v/>
      </c>
    </row>
    <row r="313" ht="15.75" customHeight="1" s="14">
      <c r="B313" s="5" t="n"/>
      <c r="F313" s="5">
        <f>C313 + D313 - E313</f>
        <v/>
      </c>
      <c r="H313" s="5">
        <f>K313*G313</f>
        <v/>
      </c>
      <c r="I313" s="5">
        <f>IF(F313 &lt;= IFERROR(VLOOKUP(B313, Master_Items!C:H, 6, FALSE), 0), "REORDER", "")</f>
        <v/>
      </c>
      <c r="K313">
        <f>C313+D313</f>
        <v/>
      </c>
    </row>
    <row r="314" ht="15.75" customHeight="1" s="14">
      <c r="B314" s="5" t="n"/>
      <c r="F314" s="5">
        <f>C314 + D314 - E314</f>
        <v/>
      </c>
      <c r="H314" s="5">
        <f>K314*G314</f>
        <v/>
      </c>
      <c r="I314" s="5">
        <f>IF(F314 &lt;= IFERROR(VLOOKUP(B314, Master_Items!C:H, 6, FALSE), 0), "REORDER", "")</f>
        <v/>
      </c>
      <c r="K314">
        <f>C314+D314</f>
        <v/>
      </c>
    </row>
    <row r="315" ht="15.75" customHeight="1" s="14">
      <c r="B315" s="5" t="n"/>
      <c r="F315" s="5">
        <f>C315 + D315 - E315</f>
        <v/>
      </c>
      <c r="H315" s="5">
        <f>K315*G315</f>
        <v/>
      </c>
      <c r="I315" s="5">
        <f>IF(F315 &lt;= IFERROR(VLOOKUP(B315, Master_Items!C:H, 6, FALSE), 0), "REORDER", "")</f>
        <v/>
      </c>
      <c r="K315">
        <f>C315+D315</f>
        <v/>
      </c>
    </row>
    <row r="316" ht="15.75" customHeight="1" s="14">
      <c r="B316" s="5" t="n"/>
      <c r="F316" s="5">
        <f>C316 + D316 - E316</f>
        <v/>
      </c>
      <c r="H316" s="5">
        <f>K316*G316</f>
        <v/>
      </c>
      <c r="I316" s="5">
        <f>IF(F316 &lt;= IFERROR(VLOOKUP(B316, Master_Items!C:H, 6, FALSE), 0), "REORDER", "")</f>
        <v/>
      </c>
      <c r="K316">
        <f>C316+D316</f>
        <v/>
      </c>
    </row>
    <row r="317" ht="15.75" customHeight="1" s="14">
      <c r="B317" s="5" t="n"/>
      <c r="F317" s="5">
        <f>C317 + D317 - E317</f>
        <v/>
      </c>
      <c r="H317" s="5">
        <f>K317*G317</f>
        <v/>
      </c>
      <c r="I317" s="5">
        <f>IF(F317 &lt;= IFERROR(VLOOKUP(B317, Master_Items!C:H, 6, FALSE), 0), "REORDER", "")</f>
        <v/>
      </c>
      <c r="K317">
        <f>C317+D317</f>
        <v/>
      </c>
    </row>
    <row r="318" ht="15.75" customHeight="1" s="14">
      <c r="B318" s="5" t="n"/>
      <c r="F318" s="5">
        <f>C318 + D318 - E318</f>
        <v/>
      </c>
      <c r="H318" s="5">
        <f>K318*G318</f>
        <v/>
      </c>
      <c r="I318" s="5">
        <f>IF(F318 &lt;= IFERROR(VLOOKUP(B318, Master_Items!C:H, 6, FALSE), 0), "REORDER", "")</f>
        <v/>
      </c>
      <c r="K318">
        <f>C318+D318</f>
        <v/>
      </c>
    </row>
    <row r="319" ht="15.75" customHeight="1" s="14">
      <c r="B319" s="5" t="n"/>
      <c r="F319" s="5">
        <f>C319 + D319 - E319</f>
        <v/>
      </c>
      <c r="H319" s="5">
        <f>K319*G319</f>
        <v/>
      </c>
      <c r="I319" s="5">
        <f>IF(F319 &lt;= IFERROR(VLOOKUP(B319, Master_Items!C:H, 6, FALSE), 0), "REORDER", "")</f>
        <v/>
      </c>
      <c r="K319">
        <f>C319+D319</f>
        <v/>
      </c>
    </row>
    <row r="320" ht="15.75" customHeight="1" s="14">
      <c r="B320" s="5" t="n"/>
      <c r="F320" s="5">
        <f>C320 + D320 - E320</f>
        <v/>
      </c>
      <c r="H320" s="5">
        <f>K320*G320</f>
        <v/>
      </c>
      <c r="I320" s="5">
        <f>IF(F320 &lt;= IFERROR(VLOOKUP(B320, Master_Items!C:H, 6, FALSE), 0), "REORDER", "")</f>
        <v/>
      </c>
      <c r="K320">
        <f>C320+D320</f>
        <v/>
      </c>
    </row>
    <row r="321" ht="15.75" customHeight="1" s="14">
      <c r="B321" s="5" t="n"/>
      <c r="F321" s="5">
        <f>C321 + D321 - E321</f>
        <v/>
      </c>
      <c r="H321" s="5">
        <f>K321*G321</f>
        <v/>
      </c>
      <c r="I321" s="5">
        <f>IF(F321 &lt;= IFERROR(VLOOKUP(B321, Master_Items!C:H, 6, FALSE), 0), "REORDER", "")</f>
        <v/>
      </c>
      <c r="K321">
        <f>C321+D321</f>
        <v/>
      </c>
    </row>
    <row r="322" ht="15.75" customHeight="1" s="14">
      <c r="B322" s="5" t="n"/>
      <c r="F322" s="5">
        <f>C322 + D322 - E322</f>
        <v/>
      </c>
      <c r="H322" s="5">
        <f>K322*G322</f>
        <v/>
      </c>
      <c r="I322" s="5">
        <f>IF(F322 &lt;= IFERROR(VLOOKUP(B322, Master_Items!C:H, 6, FALSE), 0), "REORDER", "")</f>
        <v/>
      </c>
      <c r="K322">
        <f>C322+D322</f>
        <v/>
      </c>
    </row>
    <row r="323" ht="15.75" customHeight="1" s="14">
      <c r="B323" s="5" t="n"/>
      <c r="F323" s="5">
        <f>C323 + D323 - E323</f>
        <v/>
      </c>
      <c r="H323" s="5">
        <f>K323*G323</f>
        <v/>
      </c>
      <c r="I323" s="5">
        <f>IF(F323 &lt;= IFERROR(VLOOKUP(B323, Master_Items!C:H, 6, FALSE), 0), "REORDER", "")</f>
        <v/>
      </c>
      <c r="K323">
        <f>C323+D323</f>
        <v/>
      </c>
    </row>
    <row r="324" ht="15.75" customHeight="1" s="14">
      <c r="B324" s="5" t="n"/>
      <c r="F324" s="5">
        <f>C324 + D324 - E324</f>
        <v/>
      </c>
      <c r="H324" s="5">
        <f>K324*G324</f>
        <v/>
      </c>
      <c r="I324" s="5">
        <f>IF(F324 &lt;= IFERROR(VLOOKUP(B324, Master_Items!C:H, 6, FALSE), 0), "REORDER", "")</f>
        <v/>
      </c>
      <c r="K324">
        <f>C324+D324</f>
        <v/>
      </c>
    </row>
    <row r="325" ht="15.75" customHeight="1" s="14">
      <c r="B325" s="5" t="n"/>
      <c r="F325" s="5">
        <f>C325 + D325 - E325</f>
        <v/>
      </c>
      <c r="H325" s="5">
        <f>K325*G325</f>
        <v/>
      </c>
      <c r="I325" s="5">
        <f>IF(F325 &lt;= IFERROR(VLOOKUP(B325, Master_Items!C:H, 6, FALSE), 0), "REORDER", "")</f>
        <v/>
      </c>
      <c r="K325">
        <f>C325+D325</f>
        <v/>
      </c>
    </row>
    <row r="326" ht="15.75" customHeight="1" s="14">
      <c r="B326" s="5" t="n"/>
      <c r="F326" s="5">
        <f>C326 + D326 - E326</f>
        <v/>
      </c>
      <c r="H326" s="5">
        <f>K326*G326</f>
        <v/>
      </c>
      <c r="I326" s="5">
        <f>IF(F326 &lt;= IFERROR(VLOOKUP(B326, Master_Items!C:H, 6, FALSE), 0), "REORDER", "")</f>
        <v/>
      </c>
      <c r="K326">
        <f>C326+D326</f>
        <v/>
      </c>
    </row>
    <row r="327" ht="15.75" customHeight="1" s="14">
      <c r="B327" s="5" t="n"/>
      <c r="F327" s="5">
        <f>C327 + D327 - E327</f>
        <v/>
      </c>
      <c r="H327" s="5">
        <f>K327*G327</f>
        <v/>
      </c>
      <c r="I327" s="5">
        <f>IF(F327 &lt;= IFERROR(VLOOKUP(B327, Master_Items!C:H, 6, FALSE), 0), "REORDER", "")</f>
        <v/>
      </c>
      <c r="K327">
        <f>C327+D327</f>
        <v/>
      </c>
    </row>
    <row r="328" ht="15.75" customHeight="1" s="14">
      <c r="B328" s="5" t="n"/>
      <c r="F328" s="5">
        <f>C328 + D328 - E328</f>
        <v/>
      </c>
      <c r="H328" s="5">
        <f>K328*G328</f>
        <v/>
      </c>
      <c r="I328" s="5">
        <f>IF(F328 &lt;= IFERROR(VLOOKUP(B328, Master_Items!C:H, 6, FALSE), 0), "REORDER", "")</f>
        <v/>
      </c>
      <c r="K328">
        <f>C328+D328</f>
        <v/>
      </c>
    </row>
    <row r="329" ht="15.75" customHeight="1" s="14">
      <c r="B329" s="5" t="n"/>
      <c r="F329" s="5">
        <f>C329 + D329 - E329</f>
        <v/>
      </c>
      <c r="H329" s="5">
        <f>K329*G329</f>
        <v/>
      </c>
      <c r="I329" s="5">
        <f>IF(F329 &lt;= IFERROR(VLOOKUP(B329, Master_Items!C:H, 6, FALSE), 0), "REORDER", "")</f>
        <v/>
      </c>
      <c r="K329">
        <f>C329+D329</f>
        <v/>
      </c>
    </row>
    <row r="330" ht="15.75" customHeight="1" s="14">
      <c r="B330" s="5" t="n"/>
      <c r="F330" s="5">
        <f>C330 + D330 - E330</f>
        <v/>
      </c>
      <c r="H330" s="5">
        <f>K330*G330</f>
        <v/>
      </c>
      <c r="I330" s="5">
        <f>IF(F330 &lt;= IFERROR(VLOOKUP(B330, Master_Items!C:H, 6, FALSE), 0), "REORDER", "")</f>
        <v/>
      </c>
      <c r="K330">
        <f>C330+D330</f>
        <v/>
      </c>
    </row>
    <row r="331" ht="15.75" customHeight="1" s="14">
      <c r="B331" s="5" t="n"/>
      <c r="F331" s="5">
        <f>C331 + D331 - E331</f>
        <v/>
      </c>
      <c r="H331" s="5">
        <f>K331*G331</f>
        <v/>
      </c>
      <c r="I331" s="5">
        <f>IF(F331 &lt;= IFERROR(VLOOKUP(B331, Master_Items!C:H, 6, FALSE), 0), "REORDER", "")</f>
        <v/>
      </c>
      <c r="K331">
        <f>C331+D331</f>
        <v/>
      </c>
    </row>
    <row r="332" ht="15.75" customHeight="1" s="14">
      <c r="B332" s="5" t="n"/>
      <c r="F332" s="5">
        <f>C332 + D332 - E332</f>
        <v/>
      </c>
      <c r="H332" s="5">
        <f>K332*G332</f>
        <v/>
      </c>
      <c r="I332" s="5">
        <f>IF(F332 &lt;= IFERROR(VLOOKUP(B332, Master_Items!C:H, 6, FALSE), 0), "REORDER", "")</f>
        <v/>
      </c>
      <c r="K332">
        <f>C332+D332</f>
        <v/>
      </c>
    </row>
    <row r="333" ht="15.75" customHeight="1" s="14">
      <c r="B333" s="5" t="n"/>
      <c r="F333" s="5">
        <f>C333 + D333 - E333</f>
        <v/>
      </c>
      <c r="H333" s="5">
        <f>K333*G333</f>
        <v/>
      </c>
      <c r="I333" s="5">
        <f>IF(F333 &lt;= IFERROR(VLOOKUP(B333, Master_Items!C:H, 6, FALSE), 0), "REORDER", "")</f>
        <v/>
      </c>
      <c r="K333">
        <f>C333+D333</f>
        <v/>
      </c>
    </row>
    <row r="334" ht="15.75" customHeight="1" s="14">
      <c r="B334" s="5" t="n"/>
      <c r="F334" s="5">
        <f>C334 + D334 - E334</f>
        <v/>
      </c>
      <c r="H334" s="5">
        <f>K334*G334</f>
        <v/>
      </c>
      <c r="I334" s="5">
        <f>IF(F334 &lt;= IFERROR(VLOOKUP(B334, Master_Items!C:H, 6, FALSE), 0), "REORDER", "")</f>
        <v/>
      </c>
      <c r="K334">
        <f>C334+D334</f>
        <v/>
      </c>
    </row>
    <row r="335" ht="15.75" customHeight="1" s="14">
      <c r="B335" s="5" t="n"/>
      <c r="F335" s="5">
        <f>C335 + D335 - E335</f>
        <v/>
      </c>
      <c r="H335" s="5">
        <f>K335*G335</f>
        <v/>
      </c>
      <c r="I335" s="5">
        <f>IF(F335 &lt;= IFERROR(VLOOKUP(B335, Master_Items!C:H, 6, FALSE), 0), "REORDER", "")</f>
        <v/>
      </c>
      <c r="K335">
        <f>C335+D335</f>
        <v/>
      </c>
    </row>
    <row r="336" ht="15.75" customHeight="1" s="14">
      <c r="B336" s="5" t="n"/>
      <c r="F336" s="5">
        <f>C336 + D336 - E336</f>
        <v/>
      </c>
      <c r="H336" s="5">
        <f>K336*G336</f>
        <v/>
      </c>
      <c r="I336" s="5">
        <f>IF(F336 &lt;= IFERROR(VLOOKUP(B336, Master_Items!C:H, 6, FALSE), 0), "REORDER", "")</f>
        <v/>
      </c>
      <c r="K336">
        <f>C336+D336</f>
        <v/>
      </c>
    </row>
    <row r="337" ht="15.75" customHeight="1" s="14">
      <c r="B337" s="5" t="n"/>
      <c r="F337" s="5">
        <f>C337 + D337 - E337</f>
        <v/>
      </c>
      <c r="H337" s="5">
        <f>K337*G337</f>
        <v/>
      </c>
      <c r="I337" s="5">
        <f>IF(F337 &lt;= IFERROR(VLOOKUP(B337, Master_Items!C:H, 6, FALSE), 0), "REORDER", "")</f>
        <v/>
      </c>
      <c r="K337">
        <f>C337+D337</f>
        <v/>
      </c>
    </row>
    <row r="338" ht="15.75" customHeight="1" s="14">
      <c r="B338" s="5" t="n"/>
      <c r="F338" s="5">
        <f>C338 + D338 - E338</f>
        <v/>
      </c>
      <c r="H338" s="5">
        <f>K338*G338</f>
        <v/>
      </c>
      <c r="I338" s="5">
        <f>IF(F338 &lt;= IFERROR(VLOOKUP(B338, Master_Items!C:H, 6, FALSE), 0), "REORDER", "")</f>
        <v/>
      </c>
      <c r="K338">
        <f>C338+D338</f>
        <v/>
      </c>
    </row>
    <row r="339" ht="15.75" customHeight="1" s="14">
      <c r="B339" s="5" t="n"/>
      <c r="F339" s="5">
        <f>C339 + D339 - E339</f>
        <v/>
      </c>
      <c r="H339" s="5">
        <f>K339*G339</f>
        <v/>
      </c>
      <c r="I339" s="5">
        <f>IF(F339 &lt;= IFERROR(VLOOKUP(B339, Master_Items!C:H, 6, FALSE), 0), "REORDER", "")</f>
        <v/>
      </c>
      <c r="K339">
        <f>C339+D339</f>
        <v/>
      </c>
    </row>
    <row r="340" ht="15.75" customHeight="1" s="14">
      <c r="B340" s="5" t="n"/>
      <c r="F340" s="5">
        <f>C340 + D340 - E340</f>
        <v/>
      </c>
      <c r="H340" s="5">
        <f>K340*G340</f>
        <v/>
      </c>
      <c r="I340" s="5">
        <f>IF(F340 &lt;= IFERROR(VLOOKUP(B340, Master_Items!C:H, 6, FALSE), 0), "REORDER", "")</f>
        <v/>
      </c>
      <c r="K340">
        <f>C340+D340</f>
        <v/>
      </c>
    </row>
    <row r="341" ht="15.75" customHeight="1" s="14">
      <c r="B341" s="5" t="n"/>
      <c r="F341" s="5">
        <f>C341 + D341 - E341</f>
        <v/>
      </c>
      <c r="H341" s="5">
        <f>K341*G341</f>
        <v/>
      </c>
      <c r="I341" s="5">
        <f>IF(F341 &lt;= IFERROR(VLOOKUP(B341, Master_Items!C:H, 6, FALSE), 0), "REORDER", "")</f>
        <v/>
      </c>
      <c r="K341">
        <f>C341+D341</f>
        <v/>
      </c>
    </row>
    <row r="342" ht="15.75" customHeight="1" s="14">
      <c r="B342" s="5" t="n"/>
      <c r="F342" s="5">
        <f>C342 + D342 - E342</f>
        <v/>
      </c>
      <c r="H342" s="5">
        <f>K342*G342</f>
        <v/>
      </c>
      <c r="I342" s="5">
        <f>IF(F342 &lt;= IFERROR(VLOOKUP(B342, Master_Items!C:H, 6, FALSE), 0), "REORDER", "")</f>
        <v/>
      </c>
      <c r="K342">
        <f>C342+D342</f>
        <v/>
      </c>
    </row>
    <row r="343" ht="15.75" customHeight="1" s="14">
      <c r="B343" s="5" t="n"/>
      <c r="F343" s="5">
        <f>C343 + D343 - E343</f>
        <v/>
      </c>
      <c r="H343" s="5">
        <f>K343*G343</f>
        <v/>
      </c>
      <c r="I343" s="5">
        <f>IF(F343 &lt;= IFERROR(VLOOKUP(B343, Master_Items!C:H, 6, FALSE), 0), "REORDER", "")</f>
        <v/>
      </c>
      <c r="K343">
        <f>C343+D343</f>
        <v/>
      </c>
    </row>
    <row r="344" ht="15.75" customHeight="1" s="14">
      <c r="B344" s="5" t="n"/>
      <c r="F344" s="5">
        <f>C344 + D344 - E344</f>
        <v/>
      </c>
      <c r="H344" s="5">
        <f>K344*G344</f>
        <v/>
      </c>
      <c r="I344" s="5">
        <f>IF(F344 &lt;= IFERROR(VLOOKUP(B344, Master_Items!C:H, 6, FALSE), 0), "REORDER", "")</f>
        <v/>
      </c>
      <c r="K344">
        <f>C344+D344</f>
        <v/>
      </c>
    </row>
    <row r="345" ht="15.75" customHeight="1" s="14">
      <c r="B345" s="5" t="n"/>
      <c r="F345" s="5">
        <f>C345 + D345 - E345</f>
        <v/>
      </c>
      <c r="H345" s="5">
        <f>K345*G345</f>
        <v/>
      </c>
      <c r="I345" s="5">
        <f>IF(F345 &lt;= IFERROR(VLOOKUP(B345, Master_Items!C:H, 6, FALSE), 0), "REORDER", "")</f>
        <v/>
      </c>
      <c r="K345">
        <f>C345+D345</f>
        <v/>
      </c>
    </row>
    <row r="346" ht="15.75" customHeight="1" s="14">
      <c r="B346" s="5" t="n"/>
      <c r="F346" s="5">
        <f>C346 + D346 - E346</f>
        <v/>
      </c>
      <c r="H346" s="5">
        <f>K346*G346</f>
        <v/>
      </c>
      <c r="I346" s="5">
        <f>IF(F346 &lt;= IFERROR(VLOOKUP(B346, Master_Items!C:H, 6, FALSE), 0), "REORDER", "")</f>
        <v/>
      </c>
      <c r="K346">
        <f>C346+D346</f>
        <v/>
      </c>
    </row>
    <row r="347" ht="15.75" customHeight="1" s="14">
      <c r="B347" s="5" t="n"/>
      <c r="F347" s="5">
        <f>C347 + D347 - E347</f>
        <v/>
      </c>
      <c r="H347" s="5">
        <f>K347*G347</f>
        <v/>
      </c>
      <c r="I347" s="5">
        <f>IF(F347 &lt;= IFERROR(VLOOKUP(B347, Master_Items!C:H, 6, FALSE), 0), "REORDER", "")</f>
        <v/>
      </c>
      <c r="K347">
        <f>C347+D347</f>
        <v/>
      </c>
    </row>
    <row r="348" ht="15.75" customHeight="1" s="14">
      <c r="B348" s="5" t="n"/>
      <c r="F348" s="5">
        <f>C348 + D348 - E348</f>
        <v/>
      </c>
      <c r="H348" s="5">
        <f>K348*G348</f>
        <v/>
      </c>
      <c r="I348" s="5">
        <f>IF(F348 &lt;= IFERROR(VLOOKUP(B348, Master_Items!C:H, 6, FALSE), 0), "REORDER", "")</f>
        <v/>
      </c>
      <c r="K348">
        <f>C348+D348</f>
        <v/>
      </c>
    </row>
    <row r="349" ht="15.75" customHeight="1" s="14">
      <c r="B349" s="5" t="n"/>
      <c r="F349" s="5">
        <f>C349 + D349 - E349</f>
        <v/>
      </c>
      <c r="H349" s="5">
        <f>K349*G349</f>
        <v/>
      </c>
      <c r="I349" s="5">
        <f>IF(F349 &lt;= IFERROR(VLOOKUP(B349, Master_Items!C:H, 6, FALSE), 0), "REORDER", "")</f>
        <v/>
      </c>
      <c r="K349">
        <f>C349+D349</f>
        <v/>
      </c>
    </row>
    <row r="350" ht="15.75" customHeight="1" s="14">
      <c r="B350" s="5" t="n"/>
      <c r="F350" s="5">
        <f>C350 + D350 - E350</f>
        <v/>
      </c>
      <c r="H350" s="5">
        <f>K350*G350</f>
        <v/>
      </c>
      <c r="I350" s="5">
        <f>IF(F350 &lt;= IFERROR(VLOOKUP(B350, Master_Items!C:H, 6, FALSE), 0), "REORDER", "")</f>
        <v/>
      </c>
      <c r="K350">
        <f>C350+D350</f>
        <v/>
      </c>
    </row>
    <row r="351" ht="15.75" customHeight="1" s="14">
      <c r="B351" s="5" t="n"/>
      <c r="F351" s="5">
        <f>C351 + D351 - E351</f>
        <v/>
      </c>
      <c r="H351" s="5">
        <f>K351*G351</f>
        <v/>
      </c>
      <c r="I351" s="5">
        <f>IF(F351 &lt;= IFERROR(VLOOKUP(B351, Master_Items!C:H, 6, FALSE), 0), "REORDER", "")</f>
        <v/>
      </c>
      <c r="K351">
        <f>C351+D351</f>
        <v/>
      </c>
    </row>
    <row r="352" ht="15.75" customHeight="1" s="14">
      <c r="B352" s="5" t="n"/>
      <c r="F352" s="5">
        <f>C352 + D352 - E352</f>
        <v/>
      </c>
      <c r="H352" s="5">
        <f>K352*G352</f>
        <v/>
      </c>
      <c r="I352" s="5">
        <f>IF(F352 &lt;= IFERROR(VLOOKUP(B352, Master_Items!C:H, 6, FALSE), 0), "REORDER", "")</f>
        <v/>
      </c>
      <c r="K352">
        <f>C352+D352</f>
        <v/>
      </c>
    </row>
    <row r="353" ht="15.75" customHeight="1" s="14">
      <c r="B353" s="5" t="n"/>
      <c r="F353" s="5">
        <f>C353 + D353 - E353</f>
        <v/>
      </c>
      <c r="H353" s="5">
        <f>K353*G353</f>
        <v/>
      </c>
      <c r="I353" s="5">
        <f>IF(F353 &lt;= IFERROR(VLOOKUP(B353, Master_Items!C:H, 6, FALSE), 0), "REORDER", "")</f>
        <v/>
      </c>
      <c r="K353">
        <f>C353+D353</f>
        <v/>
      </c>
    </row>
    <row r="354" ht="15.75" customHeight="1" s="14">
      <c r="B354" s="5" t="n"/>
      <c r="F354" s="5">
        <f>C354 + D354 - E354</f>
        <v/>
      </c>
      <c r="H354" s="5">
        <f>K354*G354</f>
        <v/>
      </c>
      <c r="I354" s="5">
        <f>IF(F354 &lt;= IFERROR(VLOOKUP(B354, Master_Items!C:H, 6, FALSE), 0), "REORDER", "")</f>
        <v/>
      </c>
      <c r="K354">
        <f>C354+D354</f>
        <v/>
      </c>
    </row>
    <row r="355" ht="15.75" customHeight="1" s="14">
      <c r="B355" s="5" t="n"/>
      <c r="F355" s="5">
        <f>C355 + D355 - E355</f>
        <v/>
      </c>
      <c r="H355" s="5">
        <f>K355*G355</f>
        <v/>
      </c>
      <c r="I355" s="5">
        <f>IF(F355 &lt;= IFERROR(VLOOKUP(B355, Master_Items!C:H, 6, FALSE), 0), "REORDER", "")</f>
        <v/>
      </c>
      <c r="K355">
        <f>C355+D355</f>
        <v/>
      </c>
    </row>
    <row r="356" ht="15.75" customHeight="1" s="14">
      <c r="B356" s="5" t="n"/>
      <c r="F356" s="5">
        <f>C356 + D356 - E356</f>
        <v/>
      </c>
      <c r="H356" s="5">
        <f>K356*G356</f>
        <v/>
      </c>
      <c r="I356" s="5">
        <f>IF(F356 &lt;= IFERROR(VLOOKUP(B356, Master_Items!C:H, 6, FALSE), 0), "REORDER", "")</f>
        <v/>
      </c>
      <c r="K356">
        <f>C356+D356</f>
        <v/>
      </c>
    </row>
    <row r="357" ht="15.75" customHeight="1" s="14">
      <c r="B357" s="5" t="n"/>
      <c r="F357" s="5">
        <f>C357 + D357 - E357</f>
        <v/>
      </c>
      <c r="H357" s="5">
        <f>K357*G357</f>
        <v/>
      </c>
      <c r="I357" s="5">
        <f>IF(F357 &lt;= IFERROR(VLOOKUP(B357, Master_Items!C:H, 6, FALSE), 0), "REORDER", "")</f>
        <v/>
      </c>
      <c r="K357">
        <f>C357+D357</f>
        <v/>
      </c>
    </row>
    <row r="358" ht="15.75" customHeight="1" s="14">
      <c r="B358" s="5" t="n"/>
      <c r="F358" s="5">
        <f>C358 + D358 - E358</f>
        <v/>
      </c>
      <c r="H358" s="5">
        <f>K358*G358</f>
        <v/>
      </c>
      <c r="I358" s="5">
        <f>IF(F358 &lt;= IFERROR(VLOOKUP(B358, Master_Items!C:H, 6, FALSE), 0), "REORDER", "")</f>
        <v/>
      </c>
      <c r="K358">
        <f>C358+D358</f>
        <v/>
      </c>
    </row>
    <row r="359" ht="15.75" customHeight="1" s="14">
      <c r="B359" s="5" t="n"/>
      <c r="F359" s="5">
        <f>C359 + D359 - E359</f>
        <v/>
      </c>
      <c r="H359" s="5">
        <f>K359*G359</f>
        <v/>
      </c>
      <c r="I359" s="5">
        <f>IF(F359 &lt;= IFERROR(VLOOKUP(B359, Master_Items!C:H, 6, FALSE), 0), "REORDER", "")</f>
        <v/>
      </c>
      <c r="K359">
        <f>C359+D359</f>
        <v/>
      </c>
    </row>
    <row r="360" ht="15.75" customHeight="1" s="14">
      <c r="B360" s="5" t="n"/>
      <c r="F360" s="5">
        <f>C360 + D360 - E360</f>
        <v/>
      </c>
      <c r="H360" s="5">
        <f>K360*G360</f>
        <v/>
      </c>
      <c r="I360" s="5">
        <f>IF(F360 &lt;= IFERROR(VLOOKUP(B360, Master_Items!C:H, 6, FALSE), 0), "REORDER", "")</f>
        <v/>
      </c>
      <c r="K360">
        <f>C360+D360</f>
        <v/>
      </c>
    </row>
    <row r="361" ht="15.75" customHeight="1" s="14">
      <c r="B361" s="5" t="n"/>
      <c r="F361" s="5">
        <f>C361 + D361 - E361</f>
        <v/>
      </c>
      <c r="H361" s="5">
        <f>K361*G361</f>
        <v/>
      </c>
      <c r="I361" s="5">
        <f>IF(F361 &lt;= IFERROR(VLOOKUP(B361, Master_Items!C:H, 6, FALSE), 0), "REORDER", "")</f>
        <v/>
      </c>
      <c r="K361">
        <f>C361+D361</f>
        <v/>
      </c>
    </row>
    <row r="362" ht="15.75" customHeight="1" s="14">
      <c r="B362" s="5" t="n"/>
      <c r="F362" s="5">
        <f>C362 + D362 - E362</f>
        <v/>
      </c>
      <c r="H362" s="5">
        <f>K362*G362</f>
        <v/>
      </c>
      <c r="I362" s="5">
        <f>IF(F362 &lt;= IFERROR(VLOOKUP(B362, Master_Items!C:H, 6, FALSE), 0), "REORDER", "")</f>
        <v/>
      </c>
      <c r="K362">
        <f>C362+D362</f>
        <v/>
      </c>
    </row>
    <row r="363" ht="15.75" customHeight="1" s="14">
      <c r="B363" s="5" t="n"/>
      <c r="F363" s="5">
        <f>C363 + D363 - E363</f>
        <v/>
      </c>
      <c r="H363" s="5">
        <f>K363*G363</f>
        <v/>
      </c>
      <c r="I363" s="5">
        <f>IF(F363 &lt;= IFERROR(VLOOKUP(B363, Master_Items!C:H, 6, FALSE), 0), "REORDER", "")</f>
        <v/>
      </c>
      <c r="K363">
        <f>C363+D363</f>
        <v/>
      </c>
    </row>
    <row r="364" ht="15.75" customHeight="1" s="14">
      <c r="B364" s="5" t="n"/>
      <c r="F364" s="5">
        <f>C364 + D364 - E364</f>
        <v/>
      </c>
      <c r="H364" s="5">
        <f>K364*G364</f>
        <v/>
      </c>
      <c r="I364" s="5">
        <f>IF(F364 &lt;= IFERROR(VLOOKUP(B364, Master_Items!C:H, 6, FALSE), 0), "REORDER", "")</f>
        <v/>
      </c>
      <c r="K364">
        <f>C364+D364</f>
        <v/>
      </c>
    </row>
    <row r="365" ht="15.75" customHeight="1" s="14">
      <c r="B365" s="5" t="n"/>
      <c r="F365" s="5">
        <f>C365 + D365 - E365</f>
        <v/>
      </c>
      <c r="H365" s="5">
        <f>K365*G365</f>
        <v/>
      </c>
      <c r="I365" s="5">
        <f>IF(F365 &lt;= IFERROR(VLOOKUP(B365, Master_Items!C:H, 6, FALSE), 0), "REORDER", "")</f>
        <v/>
      </c>
      <c r="K365">
        <f>C365+D365</f>
        <v/>
      </c>
    </row>
    <row r="366" ht="15.75" customHeight="1" s="14">
      <c r="B366" s="5" t="n"/>
      <c r="F366" s="5">
        <f>C366 + D366 - E366</f>
        <v/>
      </c>
      <c r="H366" s="5">
        <f>K366*G366</f>
        <v/>
      </c>
      <c r="I366" s="5">
        <f>IF(F366 &lt;= IFERROR(VLOOKUP(B366, Master_Items!C:H, 6, FALSE), 0), "REORDER", "")</f>
        <v/>
      </c>
      <c r="K366">
        <f>C366+D366</f>
        <v/>
      </c>
    </row>
    <row r="367" ht="15.75" customHeight="1" s="14">
      <c r="B367" s="5" t="n"/>
      <c r="F367" s="5">
        <f>C367 + D367 - E367</f>
        <v/>
      </c>
      <c r="H367" s="5">
        <f>K367*G367</f>
        <v/>
      </c>
      <c r="I367" s="5">
        <f>IF(F367 &lt;= IFERROR(VLOOKUP(B367, Master_Items!C:H, 6, FALSE), 0), "REORDER", "")</f>
        <v/>
      </c>
      <c r="K367">
        <f>C367+D367</f>
        <v/>
      </c>
    </row>
    <row r="368" ht="15.75" customHeight="1" s="14">
      <c r="B368" s="5" t="n"/>
      <c r="F368" s="5">
        <f>C368 + D368 - E368</f>
        <v/>
      </c>
      <c r="H368" s="5">
        <f>K368*G368</f>
        <v/>
      </c>
      <c r="I368" s="5">
        <f>IF(F368 &lt;= IFERROR(VLOOKUP(B368, Master_Items!C:H, 6, FALSE), 0), "REORDER", "")</f>
        <v/>
      </c>
      <c r="K368">
        <f>C368+D368</f>
        <v/>
      </c>
    </row>
    <row r="369" ht="15.75" customHeight="1" s="14">
      <c r="B369" s="5" t="n"/>
      <c r="F369" s="5">
        <f>C369 + D369 - E369</f>
        <v/>
      </c>
      <c r="H369" s="5">
        <f>K369*G369</f>
        <v/>
      </c>
      <c r="I369" s="5">
        <f>IF(F369 &lt;= IFERROR(VLOOKUP(B369, Master_Items!C:H, 6, FALSE), 0), "REORDER", "")</f>
        <v/>
      </c>
      <c r="K369">
        <f>C369+D369</f>
        <v/>
      </c>
    </row>
    <row r="370" ht="15.75" customHeight="1" s="14">
      <c r="B370" s="5" t="n"/>
      <c r="F370" s="5">
        <f>C370 + D370 - E370</f>
        <v/>
      </c>
      <c r="H370" s="5">
        <f>K370*G370</f>
        <v/>
      </c>
      <c r="I370" s="5">
        <f>IF(F370 &lt;= IFERROR(VLOOKUP(B370, Master_Items!C:H, 6, FALSE), 0), "REORDER", "")</f>
        <v/>
      </c>
      <c r="K370">
        <f>C370+D370</f>
        <v/>
      </c>
    </row>
    <row r="371" ht="15.75" customHeight="1" s="14">
      <c r="B371" s="5" t="n"/>
      <c r="F371" s="5">
        <f>C371 + D371 - E371</f>
        <v/>
      </c>
      <c r="H371" s="5">
        <f>K371*G371</f>
        <v/>
      </c>
      <c r="I371" s="5">
        <f>IF(F371 &lt;= IFERROR(VLOOKUP(B371, Master_Items!C:H, 6, FALSE), 0), "REORDER", "")</f>
        <v/>
      </c>
      <c r="K371">
        <f>C371+D371</f>
        <v/>
      </c>
    </row>
    <row r="372" ht="15.75" customHeight="1" s="14">
      <c r="B372" s="5" t="n"/>
      <c r="F372" s="5">
        <f>C372 + D372 - E372</f>
        <v/>
      </c>
      <c r="H372" s="5">
        <f>K372*G372</f>
        <v/>
      </c>
      <c r="I372" s="5">
        <f>IF(F372 &lt;= IFERROR(VLOOKUP(B372, Master_Items!C:H, 6, FALSE), 0), "REORDER", "")</f>
        <v/>
      </c>
      <c r="K372">
        <f>C372+D372</f>
        <v/>
      </c>
    </row>
    <row r="373" ht="15.75" customHeight="1" s="14">
      <c r="B373" s="5" t="n"/>
      <c r="F373" s="5">
        <f>C373 + D373 - E373</f>
        <v/>
      </c>
      <c r="H373" s="5">
        <f>K373*G373</f>
        <v/>
      </c>
      <c r="I373" s="5">
        <f>IF(F373 &lt;= IFERROR(VLOOKUP(B373, Master_Items!C:H, 6, FALSE), 0), "REORDER", "")</f>
        <v/>
      </c>
      <c r="K373">
        <f>C373+D373</f>
        <v/>
      </c>
    </row>
    <row r="374" ht="15.75" customHeight="1" s="14">
      <c r="B374" s="5" t="n"/>
      <c r="F374" s="5">
        <f>C374 + D374 - E374</f>
        <v/>
      </c>
      <c r="H374" s="5">
        <f>K374*G374</f>
        <v/>
      </c>
      <c r="I374" s="5">
        <f>IF(F374 &lt;= IFERROR(VLOOKUP(B374, Master_Items!C:H, 6, FALSE), 0), "REORDER", "")</f>
        <v/>
      </c>
      <c r="K374">
        <f>C374+D374</f>
        <v/>
      </c>
    </row>
    <row r="375" ht="15.75" customHeight="1" s="14">
      <c r="B375" s="5" t="n"/>
      <c r="F375" s="5">
        <f>C375 + D375 - E375</f>
        <v/>
      </c>
      <c r="H375" s="5">
        <f>K375*G375</f>
        <v/>
      </c>
      <c r="I375" s="5">
        <f>IF(F375 &lt;= IFERROR(VLOOKUP(B375, Master_Items!C:H, 6, FALSE), 0), "REORDER", "")</f>
        <v/>
      </c>
      <c r="K375">
        <f>C375+D375</f>
        <v/>
      </c>
    </row>
    <row r="376" ht="15.75" customHeight="1" s="14">
      <c r="B376" s="5" t="n"/>
      <c r="F376" s="5">
        <f>C376 + D376 - E376</f>
        <v/>
      </c>
      <c r="H376" s="5">
        <f>K376*G376</f>
        <v/>
      </c>
      <c r="I376" s="5">
        <f>IF(F376 &lt;= IFERROR(VLOOKUP(B376, Master_Items!C:H, 6, FALSE), 0), "REORDER", "")</f>
        <v/>
      </c>
      <c r="K376">
        <f>C376+D376</f>
        <v/>
      </c>
    </row>
    <row r="377" ht="15.75" customHeight="1" s="14">
      <c r="B377" s="5" t="n"/>
      <c r="F377" s="5">
        <f>C377 + D377 - E377</f>
        <v/>
      </c>
      <c r="H377" s="5">
        <f>K377*G377</f>
        <v/>
      </c>
      <c r="I377" s="5">
        <f>IF(F377 &lt;= IFERROR(VLOOKUP(B377, Master_Items!C:H, 6, FALSE), 0), "REORDER", "")</f>
        <v/>
      </c>
      <c r="K377">
        <f>C377+D377</f>
        <v/>
      </c>
    </row>
    <row r="378" ht="15.75" customHeight="1" s="14">
      <c r="B378" s="5" t="n"/>
      <c r="F378" s="5">
        <f>C378 + D378 - E378</f>
        <v/>
      </c>
      <c r="H378" s="5">
        <f>K378*G378</f>
        <v/>
      </c>
      <c r="I378" s="5">
        <f>IF(F378 &lt;= IFERROR(VLOOKUP(B378, Master_Items!C:H, 6, FALSE), 0), "REORDER", "")</f>
        <v/>
      </c>
      <c r="K378">
        <f>C378+D378</f>
        <v/>
      </c>
    </row>
    <row r="379" ht="15.75" customHeight="1" s="14">
      <c r="B379" s="5" t="n"/>
      <c r="F379" s="5">
        <f>C379 + D379 - E379</f>
        <v/>
      </c>
      <c r="H379" s="5">
        <f>K379*G379</f>
        <v/>
      </c>
      <c r="I379" s="5">
        <f>IF(F379 &lt;= IFERROR(VLOOKUP(B379, Master_Items!C:H, 6, FALSE), 0), "REORDER", "")</f>
        <v/>
      </c>
      <c r="K379">
        <f>C379+D379</f>
        <v/>
      </c>
    </row>
    <row r="380" ht="15.75" customHeight="1" s="14">
      <c r="B380" s="5" t="n"/>
      <c r="F380" s="5">
        <f>C380 + D380 - E380</f>
        <v/>
      </c>
      <c r="H380" s="5">
        <f>K380*G380</f>
        <v/>
      </c>
      <c r="I380" s="5">
        <f>IF(F380 &lt;= IFERROR(VLOOKUP(B380, Master_Items!C:H, 6, FALSE), 0), "REORDER", "")</f>
        <v/>
      </c>
      <c r="K380">
        <f>C380+D380</f>
        <v/>
      </c>
    </row>
    <row r="381" ht="15.75" customHeight="1" s="14">
      <c r="B381" s="5" t="n"/>
      <c r="F381" s="5">
        <f>C381 + D381 - E381</f>
        <v/>
      </c>
      <c r="H381" s="5">
        <f>K381*G381</f>
        <v/>
      </c>
      <c r="I381" s="5">
        <f>IF(F381 &lt;= IFERROR(VLOOKUP(B381, Master_Items!C:H, 6, FALSE), 0), "REORDER", "")</f>
        <v/>
      </c>
      <c r="K381">
        <f>C381+D381</f>
        <v/>
      </c>
    </row>
    <row r="382" ht="15.75" customHeight="1" s="14">
      <c r="B382" s="5" t="n"/>
      <c r="F382" s="5">
        <f>C382 + D382 - E382</f>
        <v/>
      </c>
      <c r="H382" s="5">
        <f>K382*G382</f>
        <v/>
      </c>
      <c r="I382" s="5">
        <f>IF(F382 &lt;= IFERROR(VLOOKUP(B382, Master_Items!C:H, 6, FALSE), 0), "REORDER", "")</f>
        <v/>
      </c>
      <c r="K382">
        <f>C382+D382</f>
        <v/>
      </c>
    </row>
    <row r="383" ht="15.75" customHeight="1" s="14">
      <c r="B383" s="5" t="n"/>
      <c r="F383" s="5">
        <f>C383 + D383 - E383</f>
        <v/>
      </c>
      <c r="H383" s="5">
        <f>K383*G383</f>
        <v/>
      </c>
      <c r="I383" s="5">
        <f>IF(F383 &lt;= IFERROR(VLOOKUP(B383, Master_Items!C:H, 6, FALSE), 0), "REORDER", "")</f>
        <v/>
      </c>
      <c r="K383">
        <f>C383+D383</f>
        <v/>
      </c>
    </row>
    <row r="384" ht="15.75" customHeight="1" s="14">
      <c r="B384" s="5" t="n"/>
      <c r="F384" s="5">
        <f>C384 + D384 - E384</f>
        <v/>
      </c>
      <c r="H384" s="5">
        <f>K384*G384</f>
        <v/>
      </c>
      <c r="I384" s="5">
        <f>IF(F384 &lt;= IFERROR(VLOOKUP(B384, Master_Items!C:H, 6, FALSE), 0), "REORDER", "")</f>
        <v/>
      </c>
      <c r="K384">
        <f>C384+D384</f>
        <v/>
      </c>
    </row>
    <row r="385" ht="15.75" customHeight="1" s="14">
      <c r="B385" s="5" t="n"/>
      <c r="F385" s="5">
        <f>C385 + D385 - E385</f>
        <v/>
      </c>
      <c r="H385" s="5">
        <f>K385*G385</f>
        <v/>
      </c>
      <c r="I385" s="5">
        <f>IF(F385 &lt;= IFERROR(VLOOKUP(B385, Master_Items!C:H, 6, FALSE), 0), "REORDER", "")</f>
        <v/>
      </c>
      <c r="K385">
        <f>C385+D385</f>
        <v/>
      </c>
    </row>
    <row r="386" ht="15.75" customHeight="1" s="14">
      <c r="B386" s="5" t="n"/>
      <c r="F386" s="5">
        <f>C386 + D386 - E386</f>
        <v/>
      </c>
      <c r="H386" s="5">
        <f>K386*G386</f>
        <v/>
      </c>
      <c r="I386" s="5">
        <f>IF(F386 &lt;= IFERROR(VLOOKUP(B386, Master_Items!C:H, 6, FALSE), 0), "REORDER", "")</f>
        <v/>
      </c>
      <c r="K386">
        <f>C386+D386</f>
        <v/>
      </c>
    </row>
    <row r="387" ht="15.75" customHeight="1" s="14">
      <c r="B387" s="5" t="n"/>
      <c r="F387" s="5">
        <f>C387 + D387 - E387</f>
        <v/>
      </c>
      <c r="H387" s="5">
        <f>K387*G387</f>
        <v/>
      </c>
      <c r="I387" s="5">
        <f>IF(F387 &lt;= IFERROR(VLOOKUP(B387, Master_Items!C:H, 6, FALSE), 0), "REORDER", "")</f>
        <v/>
      </c>
      <c r="K387">
        <f>C387+D387</f>
        <v/>
      </c>
    </row>
    <row r="388" ht="15.75" customHeight="1" s="14">
      <c r="B388" s="5" t="n"/>
      <c r="F388" s="5">
        <f>C388 + D388 - E388</f>
        <v/>
      </c>
      <c r="H388" s="5">
        <f>K388*G388</f>
        <v/>
      </c>
      <c r="I388" s="5">
        <f>IF(F388 &lt;= IFERROR(VLOOKUP(B388, Master_Items!C:H, 6, FALSE), 0), "REORDER", "")</f>
        <v/>
      </c>
      <c r="K388">
        <f>C388+D388</f>
        <v/>
      </c>
    </row>
    <row r="389" ht="15.75" customHeight="1" s="14">
      <c r="B389" s="5" t="n"/>
      <c r="F389" s="5">
        <f>C389 + D389 - E389</f>
        <v/>
      </c>
      <c r="H389" s="5">
        <f>K389*G389</f>
        <v/>
      </c>
      <c r="I389" s="5">
        <f>IF(F389 &lt;= IFERROR(VLOOKUP(B389, Master_Items!C:H, 6, FALSE), 0), "REORDER", "")</f>
        <v/>
      </c>
      <c r="K389">
        <f>C389+D389</f>
        <v/>
      </c>
    </row>
    <row r="390" ht="15.75" customHeight="1" s="14">
      <c r="B390" s="5" t="n"/>
      <c r="F390" s="5">
        <f>C390 + D390 - E390</f>
        <v/>
      </c>
      <c r="H390" s="5">
        <f>K390*G390</f>
        <v/>
      </c>
      <c r="I390" s="5">
        <f>IF(F390 &lt;= IFERROR(VLOOKUP(B390, Master_Items!C:H, 6, FALSE), 0), "REORDER", "")</f>
        <v/>
      </c>
      <c r="K390">
        <f>C390+D390</f>
        <v/>
      </c>
    </row>
    <row r="391" ht="15.75" customHeight="1" s="14">
      <c r="B391" s="5" t="n"/>
      <c r="F391" s="5">
        <f>C391 + D391 - E391</f>
        <v/>
      </c>
      <c r="H391" s="5">
        <f>K391*G391</f>
        <v/>
      </c>
      <c r="I391" s="5">
        <f>IF(F391 &lt;= IFERROR(VLOOKUP(B391, Master_Items!C:H, 6, FALSE), 0), "REORDER", "")</f>
        <v/>
      </c>
      <c r="K391">
        <f>C391+D391</f>
        <v/>
      </c>
    </row>
    <row r="392" ht="15.75" customHeight="1" s="14">
      <c r="B392" s="5" t="n"/>
      <c r="F392" s="5">
        <f>C392 + D392 - E392</f>
        <v/>
      </c>
      <c r="H392" s="5">
        <f>K392*G392</f>
        <v/>
      </c>
      <c r="I392" s="5">
        <f>IF(F392 &lt;= IFERROR(VLOOKUP(B392, Master_Items!C:H, 6, FALSE), 0), "REORDER", "")</f>
        <v/>
      </c>
      <c r="K392">
        <f>C392+D392</f>
        <v/>
      </c>
    </row>
    <row r="393" ht="15.75" customHeight="1" s="14">
      <c r="B393" s="5" t="n"/>
      <c r="F393" s="5">
        <f>C393 + D393 - E393</f>
        <v/>
      </c>
      <c r="H393" s="5">
        <f>K393*G393</f>
        <v/>
      </c>
      <c r="I393" s="5">
        <f>IF(F393 &lt;= IFERROR(VLOOKUP(B393, Master_Items!C:H, 6, FALSE), 0), "REORDER", "")</f>
        <v/>
      </c>
      <c r="K393">
        <f>C393+D393</f>
        <v/>
      </c>
    </row>
    <row r="394" ht="15.75" customHeight="1" s="14">
      <c r="B394" s="5" t="n"/>
      <c r="F394" s="5">
        <f>C394 + D394 - E394</f>
        <v/>
      </c>
      <c r="H394" s="5">
        <f>K394*G394</f>
        <v/>
      </c>
      <c r="I394" s="5">
        <f>IF(F394 &lt;= IFERROR(VLOOKUP(B394, Master_Items!C:H, 6, FALSE), 0), "REORDER", "")</f>
        <v/>
      </c>
      <c r="K394">
        <f>C394+D394</f>
        <v/>
      </c>
    </row>
    <row r="395" ht="15.75" customHeight="1" s="14">
      <c r="B395" s="5" t="n"/>
      <c r="F395" s="5">
        <f>C395 + D395 - E395</f>
        <v/>
      </c>
      <c r="H395" s="5">
        <f>K395*G395</f>
        <v/>
      </c>
      <c r="I395" s="5">
        <f>IF(F395 &lt;= IFERROR(VLOOKUP(B395, Master_Items!C:H, 6, FALSE), 0), "REORDER", "")</f>
        <v/>
      </c>
      <c r="K395">
        <f>C395+D395</f>
        <v/>
      </c>
    </row>
    <row r="396" ht="15.75" customHeight="1" s="14">
      <c r="B396" s="5" t="n"/>
      <c r="F396" s="5">
        <f>C396 + D396 - E396</f>
        <v/>
      </c>
      <c r="H396" s="5">
        <f>K396*G396</f>
        <v/>
      </c>
      <c r="I396" s="5">
        <f>IF(F396 &lt;= IFERROR(VLOOKUP(B396, Master_Items!C:H, 6, FALSE), 0), "REORDER", "")</f>
        <v/>
      </c>
      <c r="K396">
        <f>C396+D396</f>
        <v/>
      </c>
    </row>
    <row r="397" ht="15.75" customHeight="1" s="14">
      <c r="B397" s="5" t="n"/>
      <c r="F397" s="5">
        <f>C397 + D397 - E397</f>
        <v/>
      </c>
      <c r="H397" s="5">
        <f>K397*G397</f>
        <v/>
      </c>
      <c r="I397" s="5">
        <f>IF(F397 &lt;= IFERROR(VLOOKUP(B397, Master_Items!C:H, 6, FALSE), 0), "REORDER", "")</f>
        <v/>
      </c>
      <c r="K397">
        <f>C397+D397</f>
        <v/>
      </c>
    </row>
    <row r="398" ht="15.75" customHeight="1" s="14">
      <c r="B398" s="5" t="n"/>
      <c r="F398" s="5">
        <f>C398 + D398 - E398</f>
        <v/>
      </c>
      <c r="H398" s="5">
        <f>K398*G398</f>
        <v/>
      </c>
      <c r="I398" s="5">
        <f>IF(F398 &lt;= IFERROR(VLOOKUP(B398, Master_Items!C:H, 6, FALSE), 0), "REORDER", "")</f>
        <v/>
      </c>
      <c r="K398">
        <f>C398+D398</f>
        <v/>
      </c>
    </row>
    <row r="399" ht="15.75" customHeight="1" s="14">
      <c r="B399" s="5" t="n"/>
      <c r="F399" s="5">
        <f>C399 + D399 - E399</f>
        <v/>
      </c>
      <c r="H399" s="5">
        <f>K399*G399</f>
        <v/>
      </c>
      <c r="I399" s="5">
        <f>IF(F399 &lt;= IFERROR(VLOOKUP(B399, Master_Items!C:H, 6, FALSE), 0), "REORDER", "")</f>
        <v/>
      </c>
      <c r="K399">
        <f>C399+D399</f>
        <v/>
      </c>
    </row>
    <row r="400" ht="15.75" customHeight="1" s="14">
      <c r="B400" s="5" t="n"/>
      <c r="F400" s="5">
        <f>C400 + D400 - E400</f>
        <v/>
      </c>
      <c r="H400" s="5">
        <f>K400*G400</f>
        <v/>
      </c>
      <c r="I400" s="5">
        <f>IF(F400 &lt;= IFERROR(VLOOKUP(B400, Master_Items!C:H, 6, FALSE), 0), "REORDER", "")</f>
        <v/>
      </c>
      <c r="K400">
        <f>C400+D400</f>
        <v/>
      </c>
    </row>
    <row r="401" ht="15.75" customHeight="1" s="14">
      <c r="B401" s="5" t="n"/>
      <c r="F401" s="5">
        <f>C401 + D401 - E401</f>
        <v/>
      </c>
      <c r="H401" s="5">
        <f>K401*G401</f>
        <v/>
      </c>
      <c r="I401" s="5">
        <f>IF(F401 &lt;= IFERROR(VLOOKUP(B401, Master_Items!C:H, 6, FALSE), 0), "REORDER", "")</f>
        <v/>
      </c>
      <c r="K401">
        <f>C401+D401</f>
        <v/>
      </c>
    </row>
    <row r="402" ht="15.75" customHeight="1" s="14">
      <c r="B402" s="5" t="n"/>
      <c r="F402" s="5">
        <f>C402 + D402 - E402</f>
        <v/>
      </c>
      <c r="H402" s="5">
        <f>K402*G402</f>
        <v/>
      </c>
      <c r="I402" s="5">
        <f>IF(F402 &lt;= IFERROR(VLOOKUP(B402, Master_Items!C:H, 6, FALSE), 0), "REORDER", "")</f>
        <v/>
      </c>
      <c r="K402">
        <f>C402+D402</f>
        <v/>
      </c>
    </row>
    <row r="403" ht="15.75" customHeight="1" s="14">
      <c r="B403" s="5" t="n"/>
      <c r="F403" s="5">
        <f>C403 + D403 - E403</f>
        <v/>
      </c>
      <c r="H403" s="5">
        <f>K403*G403</f>
        <v/>
      </c>
      <c r="I403" s="5">
        <f>IF(F403 &lt;= IFERROR(VLOOKUP(B403, Master_Items!C:H, 6, FALSE), 0), "REORDER", "")</f>
        <v/>
      </c>
      <c r="K403">
        <f>C403+D403</f>
        <v/>
      </c>
    </row>
    <row r="404" ht="15.75" customHeight="1" s="14">
      <c r="B404" s="5" t="n"/>
      <c r="F404" s="5">
        <f>C404 + D404 - E404</f>
        <v/>
      </c>
      <c r="H404" s="5">
        <f>K404*G404</f>
        <v/>
      </c>
      <c r="I404" s="5">
        <f>IF(F404 &lt;= IFERROR(VLOOKUP(B404, Master_Items!C:H, 6, FALSE), 0), "REORDER", "")</f>
        <v/>
      </c>
      <c r="K404">
        <f>C404+D404</f>
        <v/>
      </c>
    </row>
    <row r="405" ht="15.75" customHeight="1" s="14">
      <c r="B405" s="5" t="n"/>
      <c r="F405" s="5">
        <f>C405 + D405 - E405</f>
        <v/>
      </c>
      <c r="H405" s="5">
        <f>K405*G405</f>
        <v/>
      </c>
      <c r="I405" s="5">
        <f>IF(F405 &lt;= IFERROR(VLOOKUP(B405, Master_Items!C:H, 6, FALSE), 0), "REORDER", "")</f>
        <v/>
      </c>
      <c r="K405">
        <f>C405+D405</f>
        <v/>
      </c>
    </row>
    <row r="406" ht="15.75" customHeight="1" s="14">
      <c r="B406" s="5" t="n"/>
      <c r="F406" s="5">
        <f>C406 + D406 - E406</f>
        <v/>
      </c>
      <c r="H406" s="5">
        <f>K406*G406</f>
        <v/>
      </c>
      <c r="I406" s="5">
        <f>IF(F406 &lt;= IFERROR(VLOOKUP(B406, Master_Items!C:H, 6, FALSE), 0), "REORDER", "")</f>
        <v/>
      </c>
      <c r="K406">
        <f>C406+D406</f>
        <v/>
      </c>
    </row>
    <row r="407" ht="15.75" customHeight="1" s="14">
      <c r="B407" s="5" t="n"/>
      <c r="F407" s="5">
        <f>C407 + D407 - E407</f>
        <v/>
      </c>
      <c r="H407" s="5">
        <f>K407*G407</f>
        <v/>
      </c>
      <c r="I407" s="5">
        <f>IF(F407 &lt;= IFERROR(VLOOKUP(B407, Master_Items!C:H, 6, FALSE), 0), "REORDER", "")</f>
        <v/>
      </c>
      <c r="K407">
        <f>C407+D407</f>
        <v/>
      </c>
    </row>
    <row r="408" ht="15.75" customHeight="1" s="14">
      <c r="B408" s="5" t="n"/>
      <c r="F408" s="5">
        <f>C408 + D408 - E408</f>
        <v/>
      </c>
      <c r="H408" s="5">
        <f>K408*G408</f>
        <v/>
      </c>
      <c r="I408" s="5">
        <f>IF(F408 &lt;= IFERROR(VLOOKUP(B408, Master_Items!C:H, 6, FALSE), 0), "REORDER", "")</f>
        <v/>
      </c>
      <c r="K408">
        <f>C408+D408</f>
        <v/>
      </c>
    </row>
    <row r="409" ht="15.75" customHeight="1" s="14">
      <c r="B409" s="5" t="n"/>
      <c r="F409" s="5">
        <f>C409 + D409 - E409</f>
        <v/>
      </c>
      <c r="H409" s="5">
        <f>K409*G409</f>
        <v/>
      </c>
      <c r="I409" s="5">
        <f>IF(F409 &lt;= IFERROR(VLOOKUP(B409, Master_Items!C:H, 6, FALSE), 0), "REORDER", "")</f>
        <v/>
      </c>
      <c r="K409">
        <f>C409+D409</f>
        <v/>
      </c>
    </row>
    <row r="410" ht="15.75" customHeight="1" s="14">
      <c r="B410" s="5" t="n"/>
      <c r="F410" s="5">
        <f>C410 + D410 - E410</f>
        <v/>
      </c>
      <c r="H410" s="5">
        <f>K410*G410</f>
        <v/>
      </c>
      <c r="I410" s="5">
        <f>IF(F410 &lt;= IFERROR(VLOOKUP(B410, Master_Items!C:H, 6, FALSE), 0), "REORDER", "")</f>
        <v/>
      </c>
      <c r="K410">
        <f>C410+D410</f>
        <v/>
      </c>
    </row>
    <row r="411" ht="15.75" customHeight="1" s="14">
      <c r="B411" s="5" t="n"/>
      <c r="F411" s="5">
        <f>C411 + D411 - E411</f>
        <v/>
      </c>
      <c r="H411" s="5">
        <f>K411*G411</f>
        <v/>
      </c>
      <c r="I411" s="5">
        <f>IF(F411 &lt;= IFERROR(VLOOKUP(B411, Master_Items!C:H, 6, FALSE), 0), "REORDER", "")</f>
        <v/>
      </c>
      <c r="K411">
        <f>C411+D411</f>
        <v/>
      </c>
    </row>
    <row r="412" ht="15.75" customHeight="1" s="14">
      <c r="B412" s="5" t="n"/>
      <c r="F412" s="5">
        <f>C412 + D412 - E412</f>
        <v/>
      </c>
      <c r="H412" s="5">
        <f>K412*G412</f>
        <v/>
      </c>
      <c r="I412" s="5">
        <f>IF(F412 &lt;= IFERROR(VLOOKUP(B412, Master_Items!C:H, 6, FALSE), 0), "REORDER", "")</f>
        <v/>
      </c>
      <c r="K412">
        <f>C412+D412</f>
        <v/>
      </c>
    </row>
    <row r="413" ht="15.75" customHeight="1" s="14">
      <c r="B413" s="5" t="n"/>
      <c r="F413" s="5">
        <f>C413 + D413 - E413</f>
        <v/>
      </c>
      <c r="H413" s="5">
        <f>K413*G413</f>
        <v/>
      </c>
      <c r="I413" s="5">
        <f>IF(F413 &lt;= IFERROR(VLOOKUP(B413, Master_Items!C:H, 6, FALSE), 0), "REORDER", "")</f>
        <v/>
      </c>
      <c r="K413">
        <f>C413+D413</f>
        <v/>
      </c>
    </row>
    <row r="414" ht="15.75" customHeight="1" s="14">
      <c r="B414" s="5" t="n"/>
      <c r="F414" s="5">
        <f>C414 + D414 - E414</f>
        <v/>
      </c>
      <c r="H414" s="5">
        <f>K414*G414</f>
        <v/>
      </c>
      <c r="I414" s="5">
        <f>IF(F414 &lt;= IFERROR(VLOOKUP(B414, Master_Items!C:H, 6, FALSE), 0), "REORDER", "")</f>
        <v/>
      </c>
      <c r="K414">
        <f>C414+D414</f>
        <v/>
      </c>
    </row>
    <row r="415" ht="15.75" customHeight="1" s="14">
      <c r="B415" s="5" t="n"/>
      <c r="F415" s="5">
        <f>C415 + D415 - E415</f>
        <v/>
      </c>
      <c r="H415" s="5">
        <f>K415*G415</f>
        <v/>
      </c>
      <c r="I415" s="5">
        <f>IF(F415 &lt;= IFERROR(VLOOKUP(B415, Master_Items!C:H, 6, FALSE), 0), "REORDER", "")</f>
        <v/>
      </c>
      <c r="K415">
        <f>C415+D415</f>
        <v/>
      </c>
    </row>
    <row r="416" ht="15.75" customHeight="1" s="14">
      <c r="B416" s="5" t="n"/>
      <c r="F416" s="5">
        <f>C416 + D416 - E416</f>
        <v/>
      </c>
      <c r="H416" s="5">
        <f>K416*G416</f>
        <v/>
      </c>
      <c r="I416" s="5">
        <f>IF(F416 &lt;= IFERROR(VLOOKUP(B416, Master_Items!C:H, 6, FALSE), 0), "REORDER", "")</f>
        <v/>
      </c>
      <c r="K416">
        <f>C416+D416</f>
        <v/>
      </c>
    </row>
    <row r="417" ht="15.75" customHeight="1" s="14">
      <c r="B417" s="5" t="n"/>
      <c r="F417" s="5">
        <f>C417 + D417 - E417</f>
        <v/>
      </c>
      <c r="H417" s="5">
        <f>K417*G417</f>
        <v/>
      </c>
      <c r="I417" s="5">
        <f>IF(F417 &lt;= IFERROR(VLOOKUP(B417, Master_Items!C:H, 6, FALSE), 0), "REORDER", "")</f>
        <v/>
      </c>
      <c r="K417">
        <f>C417+D417</f>
        <v/>
      </c>
    </row>
    <row r="418" ht="15.75" customHeight="1" s="14">
      <c r="B418" s="5" t="n"/>
      <c r="F418" s="5">
        <f>C418 + D418 - E418</f>
        <v/>
      </c>
      <c r="H418" s="5">
        <f>K418*G418</f>
        <v/>
      </c>
      <c r="I418" s="5">
        <f>IF(F418 &lt;= IFERROR(VLOOKUP(B418, Master_Items!C:H, 6, FALSE), 0), "REORDER", "")</f>
        <v/>
      </c>
      <c r="K418">
        <f>C418+D418</f>
        <v/>
      </c>
    </row>
    <row r="419" ht="15.75" customHeight="1" s="14">
      <c r="B419" s="5" t="n"/>
      <c r="F419" s="5">
        <f>C419 + D419 - E419</f>
        <v/>
      </c>
      <c r="H419" s="5">
        <f>K419*G419</f>
        <v/>
      </c>
      <c r="I419" s="5">
        <f>IF(F419 &lt;= IFERROR(VLOOKUP(B419, Master_Items!C:H, 6, FALSE), 0), "REORDER", "")</f>
        <v/>
      </c>
      <c r="K419">
        <f>C419+D419</f>
        <v/>
      </c>
    </row>
    <row r="420" ht="15.75" customHeight="1" s="14">
      <c r="B420" s="5" t="n"/>
      <c r="F420" s="5">
        <f>C420 + D420 - E420</f>
        <v/>
      </c>
      <c r="H420" s="5">
        <f>K420*G420</f>
        <v/>
      </c>
      <c r="I420" s="5">
        <f>IF(F420 &lt;= IFERROR(VLOOKUP(B420, Master_Items!C:H, 6, FALSE), 0), "REORDER", "")</f>
        <v/>
      </c>
      <c r="K420">
        <f>C420+D420</f>
        <v/>
      </c>
    </row>
    <row r="421" ht="15.75" customHeight="1" s="14">
      <c r="B421" s="5" t="n"/>
      <c r="F421" s="5">
        <f>C421 + D421 - E421</f>
        <v/>
      </c>
      <c r="H421" s="5">
        <f>K421*G421</f>
        <v/>
      </c>
      <c r="I421" s="5">
        <f>IF(F421 &lt;= IFERROR(VLOOKUP(B421, Master_Items!C:H, 6, FALSE), 0), "REORDER", "")</f>
        <v/>
      </c>
      <c r="K421">
        <f>C421+D421</f>
        <v/>
      </c>
    </row>
    <row r="422" ht="15.75" customHeight="1" s="14">
      <c r="B422" s="5" t="n"/>
      <c r="F422" s="5">
        <f>C422 + D422 - E422</f>
        <v/>
      </c>
      <c r="H422" s="5">
        <f>K422*G422</f>
        <v/>
      </c>
      <c r="I422" s="5">
        <f>IF(F422 &lt;= IFERROR(VLOOKUP(B422, Master_Items!C:H, 6, FALSE), 0), "REORDER", "")</f>
        <v/>
      </c>
      <c r="K422">
        <f>C422+D422</f>
        <v/>
      </c>
    </row>
    <row r="423" ht="15.75" customHeight="1" s="14">
      <c r="B423" s="5" t="n"/>
      <c r="F423" s="5">
        <f>C423 + D423 - E423</f>
        <v/>
      </c>
      <c r="H423" s="5">
        <f>K423*G423</f>
        <v/>
      </c>
      <c r="I423" s="5">
        <f>IF(F423 &lt;= IFERROR(VLOOKUP(B423, Master_Items!C:H, 6, FALSE), 0), "REORDER", "")</f>
        <v/>
      </c>
      <c r="K423">
        <f>C423+D423</f>
        <v/>
      </c>
    </row>
    <row r="424" ht="15.75" customHeight="1" s="14">
      <c r="B424" s="5" t="n"/>
      <c r="F424" s="5">
        <f>C424 + D424 - E424</f>
        <v/>
      </c>
      <c r="H424" s="5">
        <f>K424*G424</f>
        <v/>
      </c>
      <c r="I424" s="5">
        <f>IF(F424 &lt;= IFERROR(VLOOKUP(B424, Master_Items!C:H, 6, FALSE), 0), "REORDER", "")</f>
        <v/>
      </c>
      <c r="K424">
        <f>C424+D424</f>
        <v/>
      </c>
    </row>
    <row r="425" ht="15.75" customHeight="1" s="14">
      <c r="B425" s="5" t="n"/>
      <c r="F425" s="5">
        <f>C425 + D425 - E425</f>
        <v/>
      </c>
      <c r="H425" s="5">
        <f>K425*G425</f>
        <v/>
      </c>
      <c r="I425" s="5">
        <f>IF(F425 &lt;= IFERROR(VLOOKUP(B425, Master_Items!C:H, 6, FALSE), 0), "REORDER", "")</f>
        <v/>
      </c>
      <c r="K425">
        <f>C425+D425</f>
        <v/>
      </c>
    </row>
    <row r="426" ht="15.75" customHeight="1" s="14">
      <c r="B426" s="5" t="n"/>
      <c r="F426" s="5">
        <f>C426 + D426 - E426</f>
        <v/>
      </c>
      <c r="H426" s="5">
        <f>K426*G426</f>
        <v/>
      </c>
      <c r="I426" s="5">
        <f>IF(F426 &lt;= IFERROR(VLOOKUP(B426, Master_Items!C:H, 6, FALSE), 0), "REORDER", "")</f>
        <v/>
      </c>
      <c r="K426">
        <f>C426+D426</f>
        <v/>
      </c>
    </row>
    <row r="427" ht="15.75" customHeight="1" s="14">
      <c r="B427" s="5" t="n"/>
      <c r="F427" s="5">
        <f>C427 + D427 - E427</f>
        <v/>
      </c>
      <c r="H427" s="5">
        <f>K427*G427</f>
        <v/>
      </c>
      <c r="I427" s="5">
        <f>IF(F427 &lt;= IFERROR(VLOOKUP(B427, Master_Items!C:H, 6, FALSE), 0), "REORDER", "")</f>
        <v/>
      </c>
      <c r="K427">
        <f>C427+D427</f>
        <v/>
      </c>
    </row>
    <row r="428" ht="15.75" customHeight="1" s="14">
      <c r="B428" s="5" t="n"/>
      <c r="F428" s="5">
        <f>C428 + D428 - E428</f>
        <v/>
      </c>
      <c r="H428" s="5">
        <f>K428*G428</f>
        <v/>
      </c>
      <c r="I428" s="5">
        <f>IF(F428 &lt;= IFERROR(VLOOKUP(B428, Master_Items!C:H, 6, FALSE), 0), "REORDER", "")</f>
        <v/>
      </c>
      <c r="K428">
        <f>C428+D428</f>
        <v/>
      </c>
    </row>
    <row r="429" ht="15.75" customHeight="1" s="14">
      <c r="B429" s="5" t="n"/>
      <c r="F429" s="5">
        <f>C429 + D429 - E429</f>
        <v/>
      </c>
      <c r="H429" s="5">
        <f>K429*G429</f>
        <v/>
      </c>
      <c r="I429" s="5">
        <f>IF(F429 &lt;= IFERROR(VLOOKUP(B429, Master_Items!C:H, 6, FALSE), 0), "REORDER", "")</f>
        <v/>
      </c>
      <c r="K429">
        <f>C429+D429</f>
        <v/>
      </c>
    </row>
    <row r="430" ht="15.75" customHeight="1" s="14">
      <c r="B430" s="5" t="n"/>
      <c r="F430" s="5">
        <f>C430 + D430 - E430</f>
        <v/>
      </c>
      <c r="H430" s="5">
        <f>K430*G430</f>
        <v/>
      </c>
      <c r="I430" s="5">
        <f>IF(F430 &lt;= IFERROR(VLOOKUP(B430, Master_Items!C:H, 6, FALSE), 0), "REORDER", "")</f>
        <v/>
      </c>
      <c r="K430">
        <f>C430+D430</f>
        <v/>
      </c>
    </row>
    <row r="431" ht="15.75" customHeight="1" s="14">
      <c r="B431" s="5" t="n"/>
      <c r="F431" s="5">
        <f>C431 + D431 - E431</f>
        <v/>
      </c>
      <c r="H431" s="5">
        <f>K431*G431</f>
        <v/>
      </c>
      <c r="I431" s="5">
        <f>IF(F431 &lt;= IFERROR(VLOOKUP(B431, Master_Items!C:H, 6, FALSE), 0), "REORDER", "")</f>
        <v/>
      </c>
      <c r="K431">
        <f>C431+D431</f>
        <v/>
      </c>
    </row>
    <row r="432" ht="15.75" customHeight="1" s="14">
      <c r="B432" s="5" t="n"/>
      <c r="F432" s="5">
        <f>C432 + D432 - E432</f>
        <v/>
      </c>
      <c r="H432" s="5">
        <f>K432*G432</f>
        <v/>
      </c>
      <c r="I432" s="5">
        <f>IF(F432 &lt;= IFERROR(VLOOKUP(B432, Master_Items!C:H, 6, FALSE), 0), "REORDER", "")</f>
        <v/>
      </c>
      <c r="K432">
        <f>C432+D432</f>
        <v/>
      </c>
    </row>
    <row r="433" ht="15.75" customHeight="1" s="14">
      <c r="B433" s="5" t="n"/>
      <c r="F433" s="5">
        <f>C433 + D433 - E433</f>
        <v/>
      </c>
      <c r="H433" s="5">
        <f>K433*G433</f>
        <v/>
      </c>
      <c r="I433" s="5">
        <f>IF(F433 &lt;= IFERROR(VLOOKUP(B433, Master_Items!C:H, 6, FALSE), 0), "REORDER", "")</f>
        <v/>
      </c>
      <c r="K433">
        <f>C433+D433</f>
        <v/>
      </c>
    </row>
    <row r="434" ht="15.75" customHeight="1" s="14">
      <c r="B434" s="5" t="n"/>
      <c r="F434" s="5">
        <f>C434 + D434 - E434</f>
        <v/>
      </c>
      <c r="H434" s="5">
        <f>K434*G434</f>
        <v/>
      </c>
      <c r="I434" s="5">
        <f>IF(F434 &lt;= IFERROR(VLOOKUP(B434, Master_Items!C:H, 6, FALSE), 0), "REORDER", "")</f>
        <v/>
      </c>
      <c r="K434">
        <f>C434+D434</f>
        <v/>
      </c>
    </row>
    <row r="435" ht="15.75" customHeight="1" s="14">
      <c r="B435" s="5" t="n"/>
      <c r="F435" s="5">
        <f>C435 + D435 - E435</f>
        <v/>
      </c>
      <c r="H435" s="5">
        <f>K435*G435</f>
        <v/>
      </c>
      <c r="I435" s="5">
        <f>IF(F435 &lt;= IFERROR(VLOOKUP(B435, Master_Items!C:H, 6, FALSE), 0), "REORDER", "")</f>
        <v/>
      </c>
      <c r="K435">
        <f>C435+D435</f>
        <v/>
      </c>
    </row>
    <row r="436" ht="15.75" customHeight="1" s="14">
      <c r="B436" s="5" t="n"/>
      <c r="F436" s="5">
        <f>C436 + D436 - E436</f>
        <v/>
      </c>
      <c r="H436" s="5">
        <f>K436*G436</f>
        <v/>
      </c>
      <c r="I436" s="5">
        <f>IF(F436 &lt;= IFERROR(VLOOKUP(B436, Master_Items!C:H, 6, FALSE), 0), "REORDER", "")</f>
        <v/>
      </c>
      <c r="K436">
        <f>C436+D436</f>
        <v/>
      </c>
    </row>
    <row r="437" ht="15.75" customHeight="1" s="14">
      <c r="B437" s="5" t="n"/>
      <c r="F437" s="5">
        <f>C437 + D437 - E437</f>
        <v/>
      </c>
      <c r="H437" s="5">
        <f>K437*G437</f>
        <v/>
      </c>
      <c r="I437" s="5">
        <f>IF(F437 &lt;= IFERROR(VLOOKUP(B437, Master_Items!C:H, 6, FALSE), 0), "REORDER", "")</f>
        <v/>
      </c>
      <c r="K437">
        <f>C437+D437</f>
        <v/>
      </c>
    </row>
    <row r="438" ht="15.75" customHeight="1" s="14">
      <c r="B438" s="5" t="n"/>
      <c r="F438" s="5">
        <f>C438 + D438 - E438</f>
        <v/>
      </c>
      <c r="H438" s="5">
        <f>K438*G438</f>
        <v/>
      </c>
      <c r="I438" s="5">
        <f>IF(F438 &lt;= IFERROR(VLOOKUP(B438, Master_Items!C:H, 6, FALSE), 0), "REORDER", "")</f>
        <v/>
      </c>
      <c r="K438">
        <f>C438+D438</f>
        <v/>
      </c>
    </row>
    <row r="439" ht="15.75" customHeight="1" s="14">
      <c r="B439" s="5" t="n"/>
      <c r="F439" s="5">
        <f>C439 + D439 - E439</f>
        <v/>
      </c>
      <c r="H439" s="5">
        <f>K439*G439</f>
        <v/>
      </c>
      <c r="I439" s="5">
        <f>IF(F439 &lt;= IFERROR(VLOOKUP(B439, Master_Items!C:H, 6, FALSE), 0), "REORDER", "")</f>
        <v/>
      </c>
      <c r="K439">
        <f>C439+D439</f>
        <v/>
      </c>
    </row>
    <row r="440" ht="15.75" customHeight="1" s="14">
      <c r="B440" s="5" t="n"/>
      <c r="F440" s="5">
        <f>C440 + D440 - E440</f>
        <v/>
      </c>
      <c r="H440" s="5">
        <f>K440*G440</f>
        <v/>
      </c>
      <c r="I440" s="5">
        <f>IF(F440 &lt;= IFERROR(VLOOKUP(B440, Master_Items!C:H, 6, FALSE), 0), "REORDER", "")</f>
        <v/>
      </c>
      <c r="K440">
        <f>C440+D440</f>
        <v/>
      </c>
    </row>
    <row r="441" ht="15.75" customHeight="1" s="14">
      <c r="B441" s="5" t="n"/>
      <c r="F441" s="5">
        <f>C441 + D441 - E441</f>
        <v/>
      </c>
      <c r="H441" s="5">
        <f>K441*G441</f>
        <v/>
      </c>
      <c r="I441" s="5">
        <f>IF(F441 &lt;= IFERROR(VLOOKUP(B441, Master_Items!C:H, 6, FALSE), 0), "REORDER", "")</f>
        <v/>
      </c>
      <c r="K441">
        <f>C441+D441</f>
        <v/>
      </c>
    </row>
    <row r="442" ht="15.75" customHeight="1" s="14">
      <c r="B442" s="5" t="n"/>
      <c r="F442" s="5">
        <f>C442 + D442 - E442</f>
        <v/>
      </c>
      <c r="H442" s="5">
        <f>K442*G442</f>
        <v/>
      </c>
      <c r="I442" s="5">
        <f>IF(F442 &lt;= IFERROR(VLOOKUP(B442, Master_Items!C:H, 6, FALSE), 0), "REORDER", "")</f>
        <v/>
      </c>
      <c r="K442">
        <f>C442+D442</f>
        <v/>
      </c>
    </row>
    <row r="443" ht="15.75" customHeight="1" s="14">
      <c r="B443" s="5" t="n"/>
      <c r="F443" s="5">
        <f>C443 + D443 - E443</f>
        <v/>
      </c>
      <c r="H443" s="5">
        <f>K443*G443</f>
        <v/>
      </c>
      <c r="I443" s="5">
        <f>IF(F443 &lt;= IFERROR(VLOOKUP(B443, Master_Items!C:H, 6, FALSE), 0), "REORDER", "")</f>
        <v/>
      </c>
      <c r="K443">
        <f>C443+D443</f>
        <v/>
      </c>
    </row>
    <row r="444" ht="15.75" customHeight="1" s="14">
      <c r="B444" s="5" t="n"/>
      <c r="F444" s="5">
        <f>C444 + D444 - E444</f>
        <v/>
      </c>
      <c r="H444" s="5">
        <f>K444*G444</f>
        <v/>
      </c>
      <c r="I444" s="5">
        <f>IF(F444 &lt;= IFERROR(VLOOKUP(B444, Master_Items!C:H, 6, FALSE), 0), "REORDER", "")</f>
        <v/>
      </c>
      <c r="K444">
        <f>C444+D444</f>
        <v/>
      </c>
    </row>
    <row r="445" ht="15.75" customHeight="1" s="14">
      <c r="B445" s="5" t="n"/>
      <c r="F445" s="5">
        <f>C445 + D445 - E445</f>
        <v/>
      </c>
      <c r="H445" s="5">
        <f>K445*G445</f>
        <v/>
      </c>
      <c r="I445" s="5">
        <f>IF(F445 &lt;= IFERROR(VLOOKUP(B445, Master_Items!C:H, 6, FALSE), 0), "REORDER", "")</f>
        <v/>
      </c>
      <c r="K445">
        <f>C445+D445</f>
        <v/>
      </c>
    </row>
    <row r="446" ht="15.75" customHeight="1" s="14">
      <c r="B446" s="5" t="n"/>
      <c r="F446" s="5">
        <f>C446 + D446 - E446</f>
        <v/>
      </c>
      <c r="H446" s="5">
        <f>K446*G446</f>
        <v/>
      </c>
      <c r="I446" s="5">
        <f>IF(F446 &lt;= IFERROR(VLOOKUP(B446, Master_Items!C:H, 6, FALSE), 0), "REORDER", "")</f>
        <v/>
      </c>
      <c r="K446">
        <f>C446+D446</f>
        <v/>
      </c>
    </row>
    <row r="447" ht="15.75" customHeight="1" s="14">
      <c r="B447" s="5" t="n"/>
      <c r="F447" s="5">
        <f>C447 + D447 - E447</f>
        <v/>
      </c>
      <c r="H447" s="5">
        <f>K447*G447</f>
        <v/>
      </c>
      <c r="I447" s="5">
        <f>IF(F447 &lt;= IFERROR(VLOOKUP(B447, Master_Items!C:H, 6, FALSE), 0), "REORDER", "")</f>
        <v/>
      </c>
      <c r="K447">
        <f>C447+D447</f>
        <v/>
      </c>
    </row>
    <row r="448" ht="15.75" customHeight="1" s="14">
      <c r="B448" s="5" t="n"/>
      <c r="F448" s="5">
        <f>C448 + D448 - E448</f>
        <v/>
      </c>
      <c r="H448" s="5">
        <f>K448*G448</f>
        <v/>
      </c>
      <c r="I448" s="5">
        <f>IF(F448 &lt;= IFERROR(VLOOKUP(B448, Master_Items!C:H, 6, FALSE), 0), "REORDER", "")</f>
        <v/>
      </c>
      <c r="K448">
        <f>C448+D448</f>
        <v/>
      </c>
    </row>
    <row r="449" ht="15.75" customHeight="1" s="14">
      <c r="B449" s="5" t="n"/>
      <c r="F449" s="5">
        <f>C449 + D449 - E449</f>
        <v/>
      </c>
      <c r="H449" s="5">
        <f>K449*G449</f>
        <v/>
      </c>
      <c r="I449" s="5">
        <f>IF(F449 &lt;= IFERROR(VLOOKUP(B449, Master_Items!C:H, 6, FALSE), 0), "REORDER", "")</f>
        <v/>
      </c>
      <c r="K449">
        <f>C449+D449</f>
        <v/>
      </c>
    </row>
    <row r="450" ht="15.75" customHeight="1" s="14">
      <c r="B450" s="5" t="n"/>
      <c r="F450" s="5">
        <f>C450 + D450 - E450</f>
        <v/>
      </c>
      <c r="H450" s="5">
        <f>K450*G450</f>
        <v/>
      </c>
      <c r="I450" s="5">
        <f>IF(F450 &lt;= IFERROR(VLOOKUP(B450, Master_Items!C:H, 6, FALSE), 0), "REORDER", "")</f>
        <v/>
      </c>
      <c r="K450">
        <f>C450+D450</f>
        <v/>
      </c>
    </row>
    <row r="451" ht="15.75" customHeight="1" s="14">
      <c r="B451" s="5" t="n"/>
      <c r="F451" s="5">
        <f>C451 + D451 - E451</f>
        <v/>
      </c>
      <c r="H451" s="5">
        <f>K451*G451</f>
        <v/>
      </c>
      <c r="I451" s="5">
        <f>IF(F451 &lt;= IFERROR(VLOOKUP(B451, Master_Items!C:H, 6, FALSE), 0), "REORDER", "")</f>
        <v/>
      </c>
      <c r="K451">
        <f>C451+D451</f>
        <v/>
      </c>
    </row>
    <row r="452" ht="15.75" customHeight="1" s="14">
      <c r="B452" s="5" t="n"/>
      <c r="F452" s="5">
        <f>C452 + D452 - E452</f>
        <v/>
      </c>
      <c r="H452" s="5">
        <f>K452*G452</f>
        <v/>
      </c>
      <c r="I452" s="5">
        <f>IF(F452 &lt;= IFERROR(VLOOKUP(B452, Master_Items!C:H, 6, FALSE), 0), "REORDER", "")</f>
        <v/>
      </c>
      <c r="K452">
        <f>C452+D452</f>
        <v/>
      </c>
    </row>
    <row r="453" ht="15.75" customHeight="1" s="14">
      <c r="B453" s="5" t="n"/>
      <c r="F453" s="5">
        <f>C453 + D453 - E453</f>
        <v/>
      </c>
      <c r="H453" s="5">
        <f>K453*G453</f>
        <v/>
      </c>
      <c r="I453" s="5">
        <f>IF(F453 &lt;= IFERROR(VLOOKUP(B453, Master_Items!C:H, 6, FALSE), 0), "REORDER", "")</f>
        <v/>
      </c>
      <c r="K453">
        <f>C453+D453</f>
        <v/>
      </c>
    </row>
    <row r="454" ht="15.75" customHeight="1" s="14">
      <c r="B454" s="5" t="n"/>
      <c r="F454" s="5">
        <f>C454 + D454 - E454</f>
        <v/>
      </c>
      <c r="H454" s="5">
        <f>K454*G454</f>
        <v/>
      </c>
      <c r="I454" s="5">
        <f>IF(F454 &lt;= IFERROR(VLOOKUP(B454, Master_Items!C:H, 6, FALSE), 0), "REORDER", "")</f>
        <v/>
      </c>
      <c r="K454">
        <f>C454+D454</f>
        <v/>
      </c>
    </row>
    <row r="455" ht="15.75" customHeight="1" s="14">
      <c r="B455" s="5" t="n"/>
      <c r="F455" s="5">
        <f>C455 + D455 - E455</f>
        <v/>
      </c>
      <c r="H455" s="5">
        <f>K455*G455</f>
        <v/>
      </c>
      <c r="I455" s="5">
        <f>IF(F455 &lt;= IFERROR(VLOOKUP(B455, Master_Items!C:H, 6, FALSE), 0), "REORDER", "")</f>
        <v/>
      </c>
      <c r="K455">
        <f>C455+D455</f>
        <v/>
      </c>
    </row>
    <row r="456" ht="15.75" customHeight="1" s="14">
      <c r="B456" s="5" t="n"/>
      <c r="F456" s="5">
        <f>C456 + D456 - E456</f>
        <v/>
      </c>
      <c r="H456" s="5">
        <f>K456*G456</f>
        <v/>
      </c>
      <c r="I456" s="5">
        <f>IF(F456 &lt;= IFERROR(VLOOKUP(B456, Master_Items!C:H, 6, FALSE), 0), "REORDER", "")</f>
        <v/>
      </c>
      <c r="K456">
        <f>C456+D456</f>
        <v/>
      </c>
    </row>
    <row r="457" ht="15.75" customHeight="1" s="14">
      <c r="B457" s="5" t="n"/>
      <c r="F457" s="5">
        <f>C457 + D457 - E457</f>
        <v/>
      </c>
      <c r="H457" s="5">
        <f>K457*G457</f>
        <v/>
      </c>
      <c r="I457" s="5">
        <f>IF(F457 &lt;= IFERROR(VLOOKUP(B457, Master_Items!C:H, 6, FALSE), 0), "REORDER", "")</f>
        <v/>
      </c>
      <c r="K457">
        <f>C457+D457</f>
        <v/>
      </c>
    </row>
    <row r="458" ht="15.75" customHeight="1" s="14">
      <c r="B458" s="5" t="n"/>
      <c r="F458" s="5">
        <f>C458 + D458 - E458</f>
        <v/>
      </c>
      <c r="H458" s="5">
        <f>K458*G458</f>
        <v/>
      </c>
      <c r="I458" s="5">
        <f>IF(F458 &lt;= IFERROR(VLOOKUP(B458, Master_Items!C:H, 6, FALSE), 0), "REORDER", "")</f>
        <v/>
      </c>
      <c r="K458">
        <f>C458+D458</f>
        <v/>
      </c>
    </row>
    <row r="459" ht="15.75" customHeight="1" s="14">
      <c r="B459" s="5" t="n"/>
      <c r="F459" s="5">
        <f>C459 + D459 - E459</f>
        <v/>
      </c>
      <c r="H459" s="5">
        <f>K459*G459</f>
        <v/>
      </c>
      <c r="I459" s="5">
        <f>IF(F459 &lt;= IFERROR(VLOOKUP(B459, Master_Items!C:H, 6, FALSE), 0), "REORDER", "")</f>
        <v/>
      </c>
      <c r="K459">
        <f>C459+D459</f>
        <v/>
      </c>
    </row>
    <row r="460" ht="15.75" customHeight="1" s="14">
      <c r="B460" s="5" t="n"/>
      <c r="F460" s="5">
        <f>C460 + D460 - E460</f>
        <v/>
      </c>
      <c r="H460" s="5">
        <f>K460*G460</f>
        <v/>
      </c>
      <c r="I460" s="5">
        <f>IF(F460 &lt;= IFERROR(VLOOKUP(B460, Master_Items!C:H, 6, FALSE), 0), "REORDER", "")</f>
        <v/>
      </c>
      <c r="K460">
        <f>C460+D460</f>
        <v/>
      </c>
    </row>
    <row r="461" ht="15.75" customHeight="1" s="14">
      <c r="B461" s="5" t="n"/>
      <c r="F461" s="5">
        <f>C461 + D461 - E461</f>
        <v/>
      </c>
      <c r="H461" s="5">
        <f>K461*G461</f>
        <v/>
      </c>
      <c r="I461" s="5">
        <f>IF(F461 &lt;= IFERROR(VLOOKUP(B461, Master_Items!C:H, 6, FALSE), 0), "REORDER", "")</f>
        <v/>
      </c>
      <c r="K461">
        <f>C461+D461</f>
        <v/>
      </c>
    </row>
    <row r="462" ht="15.75" customHeight="1" s="14">
      <c r="B462" s="5" t="n"/>
      <c r="F462" s="5">
        <f>C462 + D462 - E462</f>
        <v/>
      </c>
      <c r="H462" s="5">
        <f>K462*G462</f>
        <v/>
      </c>
      <c r="I462" s="5">
        <f>IF(F462 &lt;= IFERROR(VLOOKUP(B462, Master_Items!C:H, 6, FALSE), 0), "REORDER", "")</f>
        <v/>
      </c>
      <c r="K462">
        <f>C462+D462</f>
        <v/>
      </c>
    </row>
    <row r="463" ht="15.75" customHeight="1" s="14">
      <c r="B463" s="5" t="n"/>
      <c r="F463" s="5">
        <f>C463 + D463 - E463</f>
        <v/>
      </c>
      <c r="H463" s="5">
        <f>K463*G463</f>
        <v/>
      </c>
      <c r="I463" s="5">
        <f>IF(F463 &lt;= IFERROR(VLOOKUP(B463, Master_Items!C:H, 6, FALSE), 0), "REORDER", "")</f>
        <v/>
      </c>
      <c r="K463">
        <f>C463+D463</f>
        <v/>
      </c>
    </row>
    <row r="464" ht="15.75" customHeight="1" s="14">
      <c r="B464" s="5" t="n"/>
      <c r="F464" s="5">
        <f>C464 + D464 - E464</f>
        <v/>
      </c>
      <c r="H464" s="5">
        <f>K464*G464</f>
        <v/>
      </c>
      <c r="I464" s="5">
        <f>IF(F464 &lt;= IFERROR(VLOOKUP(B464, Master_Items!C:H, 6, FALSE), 0), "REORDER", "")</f>
        <v/>
      </c>
      <c r="K464">
        <f>C464+D464</f>
        <v/>
      </c>
    </row>
    <row r="465" ht="15.75" customHeight="1" s="14">
      <c r="B465" s="5" t="n"/>
      <c r="F465" s="5">
        <f>C465 + D465 - E465</f>
        <v/>
      </c>
      <c r="H465" s="5">
        <f>K465*G465</f>
        <v/>
      </c>
      <c r="I465" s="5">
        <f>IF(F465 &lt;= IFERROR(VLOOKUP(B465, Master_Items!C:H, 6, FALSE), 0), "REORDER", "")</f>
        <v/>
      </c>
      <c r="K465">
        <f>C465+D465</f>
        <v/>
      </c>
    </row>
    <row r="466" ht="15.75" customHeight="1" s="14">
      <c r="B466" s="5" t="n"/>
      <c r="F466" s="5">
        <f>C466 + D466 - E466</f>
        <v/>
      </c>
      <c r="H466" s="5">
        <f>K466*G466</f>
        <v/>
      </c>
      <c r="I466" s="5">
        <f>IF(F466 &lt;= IFERROR(VLOOKUP(B466, Master_Items!C:H, 6, FALSE), 0), "REORDER", "")</f>
        <v/>
      </c>
      <c r="K466">
        <f>C466+D466</f>
        <v/>
      </c>
    </row>
    <row r="467" ht="15.75" customHeight="1" s="14">
      <c r="B467" s="5" t="n"/>
      <c r="F467" s="5">
        <f>C467 + D467 - E467</f>
        <v/>
      </c>
      <c r="H467" s="5">
        <f>K467*G467</f>
        <v/>
      </c>
      <c r="I467" s="5">
        <f>IF(F467 &lt;= IFERROR(VLOOKUP(B467, Master_Items!C:H, 6, FALSE), 0), "REORDER", "")</f>
        <v/>
      </c>
      <c r="K467">
        <f>C467+D467</f>
        <v/>
      </c>
    </row>
    <row r="468" ht="15.75" customHeight="1" s="14">
      <c r="B468" s="5" t="n"/>
      <c r="F468" s="5">
        <f>C468 + D468 - E468</f>
        <v/>
      </c>
      <c r="H468" s="5">
        <f>K468*G468</f>
        <v/>
      </c>
      <c r="I468" s="5">
        <f>IF(F468 &lt;= IFERROR(VLOOKUP(B468, Master_Items!C:H, 6, FALSE), 0), "REORDER", "")</f>
        <v/>
      </c>
      <c r="K468">
        <f>C468+D468</f>
        <v/>
      </c>
    </row>
    <row r="469" ht="15.75" customHeight="1" s="14">
      <c r="B469" s="5" t="n"/>
      <c r="F469" s="5">
        <f>C469 + D469 - E469</f>
        <v/>
      </c>
      <c r="H469" s="5">
        <f>K469*G469</f>
        <v/>
      </c>
      <c r="I469" s="5">
        <f>IF(F469 &lt;= IFERROR(VLOOKUP(B469, Master_Items!C:H, 6, FALSE), 0), "REORDER", "")</f>
        <v/>
      </c>
      <c r="K469">
        <f>C469+D469</f>
        <v/>
      </c>
    </row>
    <row r="470" ht="15.75" customHeight="1" s="14">
      <c r="B470" s="5" t="n"/>
      <c r="F470" s="5">
        <f>C470 + D470 - E470</f>
        <v/>
      </c>
      <c r="H470" s="5">
        <f>K470*G470</f>
        <v/>
      </c>
      <c r="I470" s="5">
        <f>IF(F470 &lt;= IFERROR(VLOOKUP(B470, Master_Items!C:H, 6, FALSE), 0), "REORDER", "")</f>
        <v/>
      </c>
      <c r="K470">
        <f>C470+D470</f>
        <v/>
      </c>
    </row>
    <row r="471" ht="15.75" customHeight="1" s="14">
      <c r="B471" s="5" t="n"/>
      <c r="F471" s="5">
        <f>C471 + D471 - E471</f>
        <v/>
      </c>
      <c r="H471" s="5">
        <f>K471*G471</f>
        <v/>
      </c>
      <c r="I471" s="5">
        <f>IF(F471 &lt;= IFERROR(VLOOKUP(B471, Master_Items!C:H, 6, FALSE), 0), "REORDER", "")</f>
        <v/>
      </c>
      <c r="K471">
        <f>C471+D471</f>
        <v/>
      </c>
    </row>
    <row r="472" ht="15.75" customHeight="1" s="14">
      <c r="B472" s="5" t="n"/>
      <c r="F472" s="5">
        <f>C472 + D472 - E472</f>
        <v/>
      </c>
      <c r="H472" s="5">
        <f>K472*G472</f>
        <v/>
      </c>
      <c r="I472" s="5">
        <f>IF(F472 &lt;= IFERROR(VLOOKUP(B472, Master_Items!C:H, 6, FALSE), 0), "REORDER", "")</f>
        <v/>
      </c>
      <c r="K472">
        <f>C472+D472</f>
        <v/>
      </c>
    </row>
    <row r="473" ht="15.75" customHeight="1" s="14">
      <c r="B473" s="5" t="n"/>
      <c r="F473" s="5">
        <f>C473 + D473 - E473</f>
        <v/>
      </c>
      <c r="H473" s="5">
        <f>K473*G473</f>
        <v/>
      </c>
      <c r="I473" s="5">
        <f>IF(F473 &lt;= IFERROR(VLOOKUP(B473, Master_Items!C:H, 6, FALSE), 0), "REORDER", "")</f>
        <v/>
      </c>
      <c r="K473">
        <f>C473+D473</f>
        <v/>
      </c>
    </row>
    <row r="474" ht="15.75" customHeight="1" s="14">
      <c r="B474" s="5" t="n"/>
      <c r="F474" s="5">
        <f>C474 + D474 - E474</f>
        <v/>
      </c>
      <c r="H474" s="5">
        <f>K474*G474</f>
        <v/>
      </c>
      <c r="I474" s="5">
        <f>IF(F474 &lt;= IFERROR(VLOOKUP(B474, Master_Items!C:H, 6, FALSE), 0), "REORDER", "")</f>
        <v/>
      </c>
      <c r="K474">
        <f>C474+D474</f>
        <v/>
      </c>
    </row>
    <row r="475" ht="15.75" customHeight="1" s="14">
      <c r="B475" s="5" t="n"/>
      <c r="F475" s="5">
        <f>C475 + D475 - E475</f>
        <v/>
      </c>
      <c r="H475" s="5">
        <f>K475*G475</f>
        <v/>
      </c>
      <c r="I475" s="5">
        <f>IF(F475 &lt;= IFERROR(VLOOKUP(B475, Master_Items!C:H, 6, FALSE), 0), "REORDER", "")</f>
        <v/>
      </c>
      <c r="K475">
        <f>C475+D475</f>
        <v/>
      </c>
    </row>
    <row r="476" ht="15.75" customHeight="1" s="14">
      <c r="B476" s="5" t="n"/>
      <c r="F476" s="5">
        <f>C476 + D476 - E476</f>
        <v/>
      </c>
      <c r="H476" s="5">
        <f>K476*G476</f>
        <v/>
      </c>
      <c r="I476" s="5">
        <f>IF(F476 &lt;= IFERROR(VLOOKUP(B476, Master_Items!C:H, 6, FALSE), 0), "REORDER", "")</f>
        <v/>
      </c>
      <c r="K476">
        <f>C476+D476</f>
        <v/>
      </c>
    </row>
    <row r="477" ht="15.75" customHeight="1" s="14">
      <c r="B477" s="5" t="n"/>
      <c r="F477" s="5">
        <f>C477 + D477 - E477</f>
        <v/>
      </c>
      <c r="H477" s="5">
        <f>K477*G477</f>
        <v/>
      </c>
      <c r="I477" s="5">
        <f>IF(F477 &lt;= IFERROR(VLOOKUP(B477, Master_Items!C:H, 6, FALSE), 0), "REORDER", "")</f>
        <v/>
      </c>
      <c r="K477">
        <f>C477+D477</f>
        <v/>
      </c>
    </row>
    <row r="478" ht="15.75" customHeight="1" s="14">
      <c r="B478" s="5" t="n"/>
      <c r="F478" s="5">
        <f>C478 + D478 - E478</f>
        <v/>
      </c>
      <c r="H478" s="5">
        <f>K478*G478</f>
        <v/>
      </c>
      <c r="I478" s="5">
        <f>IF(F478 &lt;= IFERROR(VLOOKUP(B478, Master_Items!C:H, 6, FALSE), 0), "REORDER", "")</f>
        <v/>
      </c>
      <c r="K478">
        <f>C478+D478</f>
        <v/>
      </c>
    </row>
    <row r="479" ht="15.75" customHeight="1" s="14">
      <c r="B479" s="5" t="n"/>
      <c r="F479" s="5">
        <f>C479 + D479 - E479</f>
        <v/>
      </c>
      <c r="H479" s="5">
        <f>K479*G479</f>
        <v/>
      </c>
      <c r="I479" s="5">
        <f>IF(F479 &lt;= IFERROR(VLOOKUP(B479, Master_Items!C:H, 6, FALSE), 0), "REORDER", "")</f>
        <v/>
      </c>
      <c r="K479">
        <f>C479+D479</f>
        <v/>
      </c>
    </row>
    <row r="480" ht="15.75" customHeight="1" s="14">
      <c r="B480" s="5" t="n"/>
      <c r="F480" s="5">
        <f>C480 + D480 - E480</f>
        <v/>
      </c>
      <c r="H480" s="5">
        <f>K480*G480</f>
        <v/>
      </c>
      <c r="I480" s="5">
        <f>IF(F480 &lt;= IFERROR(VLOOKUP(B480, Master_Items!C:H, 6, FALSE), 0), "REORDER", "")</f>
        <v/>
      </c>
      <c r="K480">
        <f>C480+D480</f>
        <v/>
      </c>
    </row>
    <row r="481" ht="15.75" customHeight="1" s="14">
      <c r="B481" s="5" t="n"/>
      <c r="F481" s="5">
        <f>C481 + D481 - E481</f>
        <v/>
      </c>
      <c r="H481" s="5">
        <f>K481*G481</f>
        <v/>
      </c>
      <c r="I481" s="5">
        <f>IF(F481 &lt;= IFERROR(VLOOKUP(B481, Master_Items!C:H, 6, FALSE), 0), "REORDER", "")</f>
        <v/>
      </c>
      <c r="K481">
        <f>C481+D481</f>
        <v/>
      </c>
    </row>
    <row r="482" ht="15.75" customHeight="1" s="14">
      <c r="B482" s="5" t="n"/>
      <c r="F482" s="5">
        <f>C482 + D482 - E482</f>
        <v/>
      </c>
      <c r="H482" s="5">
        <f>K482*G482</f>
        <v/>
      </c>
      <c r="I482" s="5">
        <f>IF(F482 &lt;= IFERROR(VLOOKUP(B482, Master_Items!C:H, 6, FALSE), 0), "REORDER", "")</f>
        <v/>
      </c>
      <c r="K482">
        <f>C482+D482</f>
        <v/>
      </c>
    </row>
    <row r="483" ht="15.75" customHeight="1" s="14">
      <c r="B483" s="5" t="n"/>
      <c r="F483" s="5">
        <f>C483 + D483 - E483</f>
        <v/>
      </c>
      <c r="H483" s="5">
        <f>K483*G483</f>
        <v/>
      </c>
      <c r="I483" s="5">
        <f>IF(F483 &lt;= IFERROR(VLOOKUP(B483, Master_Items!C:H, 6, FALSE), 0), "REORDER", "")</f>
        <v/>
      </c>
      <c r="K483">
        <f>C483+D483</f>
        <v/>
      </c>
    </row>
    <row r="484" ht="15.75" customHeight="1" s="14">
      <c r="B484" s="5" t="n"/>
      <c r="F484" s="5">
        <f>C484 + D484 - E484</f>
        <v/>
      </c>
      <c r="H484" s="5">
        <f>K484*G484</f>
        <v/>
      </c>
      <c r="I484" s="5">
        <f>IF(F484 &lt;= IFERROR(VLOOKUP(B484, Master_Items!C:H, 6, FALSE), 0), "REORDER", "")</f>
        <v/>
      </c>
      <c r="K484">
        <f>C484+D484</f>
        <v/>
      </c>
    </row>
    <row r="485" ht="15.75" customHeight="1" s="14">
      <c r="B485" s="5" t="n"/>
      <c r="F485" s="5">
        <f>C485 + D485 - E485</f>
        <v/>
      </c>
      <c r="H485" s="5">
        <f>K485*G485</f>
        <v/>
      </c>
      <c r="I485" s="5">
        <f>IF(F485 &lt;= IFERROR(VLOOKUP(B485, Master_Items!C:H, 6, FALSE), 0), "REORDER", "")</f>
        <v/>
      </c>
      <c r="K485">
        <f>C485+D485</f>
        <v/>
      </c>
    </row>
    <row r="486" ht="15.75" customHeight="1" s="14">
      <c r="B486" s="5" t="n"/>
      <c r="F486" s="5">
        <f>C486 + D486 - E486</f>
        <v/>
      </c>
      <c r="H486" s="5">
        <f>K486*G486</f>
        <v/>
      </c>
      <c r="I486" s="5">
        <f>IF(F486 &lt;= IFERROR(VLOOKUP(B486, Master_Items!C:H, 6, FALSE), 0), "REORDER", "")</f>
        <v/>
      </c>
      <c r="K486">
        <f>C486+D486</f>
        <v/>
      </c>
    </row>
    <row r="487" ht="15.75" customHeight="1" s="14">
      <c r="B487" s="5" t="n"/>
      <c r="F487" s="5">
        <f>C487 + D487 - E487</f>
        <v/>
      </c>
      <c r="H487" s="5">
        <f>K487*G487</f>
        <v/>
      </c>
      <c r="I487" s="5">
        <f>IF(F487 &lt;= IFERROR(VLOOKUP(B487, Master_Items!C:H, 6, FALSE), 0), "REORDER", "")</f>
        <v/>
      </c>
      <c r="K487">
        <f>C487+D487</f>
        <v/>
      </c>
    </row>
    <row r="488" ht="15.75" customHeight="1" s="14">
      <c r="B488" s="5" t="n"/>
      <c r="F488" s="5">
        <f>C488 + D488 - E488</f>
        <v/>
      </c>
      <c r="H488" s="5">
        <f>K488*G488</f>
        <v/>
      </c>
      <c r="I488" s="5">
        <f>IF(F488 &lt;= IFERROR(VLOOKUP(B488, Master_Items!C:H, 6, FALSE), 0), "REORDER", "")</f>
        <v/>
      </c>
      <c r="K488">
        <f>C488+D488</f>
        <v/>
      </c>
    </row>
    <row r="489" ht="15.75" customHeight="1" s="14">
      <c r="B489" s="5" t="n"/>
      <c r="F489" s="5">
        <f>C489 + D489 - E489</f>
        <v/>
      </c>
      <c r="H489" s="5">
        <f>K489*G489</f>
        <v/>
      </c>
      <c r="I489" s="5">
        <f>IF(F489 &lt;= IFERROR(VLOOKUP(B489, Master_Items!C:H, 6, FALSE), 0), "REORDER", "")</f>
        <v/>
      </c>
      <c r="K489">
        <f>C489+D489</f>
        <v/>
      </c>
    </row>
    <row r="490" ht="15.75" customHeight="1" s="14">
      <c r="B490" s="5" t="n"/>
      <c r="F490" s="5">
        <f>C490 + D490 - E490</f>
        <v/>
      </c>
      <c r="H490" s="5">
        <f>K490*G490</f>
        <v/>
      </c>
      <c r="I490" s="5">
        <f>IF(F490 &lt;= IFERROR(VLOOKUP(B490, Master_Items!C:H, 6, FALSE), 0), "REORDER", "")</f>
        <v/>
      </c>
      <c r="K490">
        <f>C490+D490</f>
        <v/>
      </c>
    </row>
    <row r="491" ht="15.75" customHeight="1" s="14">
      <c r="B491" s="5" t="n"/>
      <c r="F491" s="5">
        <f>C491 + D491 - E491</f>
        <v/>
      </c>
      <c r="H491" s="5">
        <f>K491*G491</f>
        <v/>
      </c>
      <c r="I491" s="5">
        <f>IF(F491 &lt;= IFERROR(VLOOKUP(B491, Master_Items!C:H, 6, FALSE), 0), "REORDER", "")</f>
        <v/>
      </c>
      <c r="K491">
        <f>C491+D491</f>
        <v/>
      </c>
    </row>
    <row r="492" ht="15.75" customHeight="1" s="14">
      <c r="B492" s="5" t="n"/>
      <c r="F492" s="5">
        <f>C492 + D492 - E492</f>
        <v/>
      </c>
      <c r="H492" s="5">
        <f>K492*G492</f>
        <v/>
      </c>
      <c r="I492" s="5">
        <f>IF(F492 &lt;= IFERROR(VLOOKUP(B492, Master_Items!C:H, 6, FALSE), 0), "REORDER", "")</f>
        <v/>
      </c>
      <c r="K492">
        <f>C492+D492</f>
        <v/>
      </c>
    </row>
    <row r="493" ht="15.75" customHeight="1" s="14">
      <c r="B493" s="5" t="n"/>
      <c r="F493" s="5">
        <f>C493 + D493 - E493</f>
        <v/>
      </c>
      <c r="H493" s="5">
        <f>K493*G493</f>
        <v/>
      </c>
      <c r="I493" s="5">
        <f>IF(F493 &lt;= IFERROR(VLOOKUP(B493, Master_Items!C:H, 6, FALSE), 0), "REORDER", "")</f>
        <v/>
      </c>
      <c r="K493">
        <f>C493+D493</f>
        <v/>
      </c>
    </row>
    <row r="494" ht="15.75" customHeight="1" s="14">
      <c r="B494" s="5" t="n"/>
      <c r="F494" s="5">
        <f>C494 + D494 - E494</f>
        <v/>
      </c>
      <c r="H494" s="5">
        <f>K494*G494</f>
        <v/>
      </c>
      <c r="I494" s="5">
        <f>IF(F494 &lt;= IFERROR(VLOOKUP(B494, Master_Items!C:H, 6, FALSE), 0), "REORDER", "")</f>
        <v/>
      </c>
      <c r="K494">
        <f>C494+D494</f>
        <v/>
      </c>
    </row>
    <row r="495" ht="15.75" customHeight="1" s="14">
      <c r="B495" s="5" t="n"/>
      <c r="F495" s="5">
        <f>C495 + D495 - E495</f>
        <v/>
      </c>
      <c r="H495" s="5">
        <f>K495*G495</f>
        <v/>
      </c>
      <c r="I495" s="5">
        <f>IF(F495 &lt;= IFERROR(VLOOKUP(B495, Master_Items!C:H, 6, FALSE), 0), "REORDER", "")</f>
        <v/>
      </c>
      <c r="K495">
        <f>C495+D495</f>
        <v/>
      </c>
    </row>
    <row r="496" ht="15.75" customHeight="1" s="14">
      <c r="B496" s="5" t="n"/>
      <c r="F496" s="5">
        <f>C496 + D496 - E496</f>
        <v/>
      </c>
      <c r="H496" s="5">
        <f>K496*G496</f>
        <v/>
      </c>
      <c r="I496" s="5">
        <f>IF(F496 &lt;= IFERROR(VLOOKUP(B496, Master_Items!C:H, 6, FALSE), 0), "REORDER", "")</f>
        <v/>
      </c>
      <c r="K496">
        <f>C496+D496</f>
        <v/>
      </c>
    </row>
    <row r="497" ht="15.75" customHeight="1" s="14">
      <c r="B497" s="5" t="n"/>
      <c r="F497" s="5">
        <f>C497 + D497 - E497</f>
        <v/>
      </c>
      <c r="H497" s="5">
        <f>K497*G497</f>
        <v/>
      </c>
      <c r="I497" s="5">
        <f>IF(F497 &lt;= IFERROR(VLOOKUP(B497, Master_Items!C:H, 6, FALSE), 0), "REORDER", "")</f>
        <v/>
      </c>
      <c r="K497">
        <f>C497+D497</f>
        <v/>
      </c>
    </row>
    <row r="498" ht="15.75" customHeight="1" s="14">
      <c r="B498" s="5" t="n"/>
      <c r="F498" s="5">
        <f>C498 + D498 - E498</f>
        <v/>
      </c>
      <c r="H498" s="5">
        <f>K498*G498</f>
        <v/>
      </c>
      <c r="I498" s="5">
        <f>IF(F498 &lt;= IFERROR(VLOOKUP(B498, Master_Items!C:H, 6, FALSE), 0), "REORDER", "")</f>
        <v/>
      </c>
      <c r="K498">
        <f>C498+D498</f>
        <v/>
      </c>
    </row>
    <row r="499" ht="15.75" customHeight="1" s="14">
      <c r="B499" s="5" t="n"/>
      <c r="F499" s="5">
        <f>C499 + D499 - E499</f>
        <v/>
      </c>
      <c r="H499" s="5">
        <f>K499*G499</f>
        <v/>
      </c>
      <c r="I499" s="5">
        <f>IF(F499 &lt;= IFERROR(VLOOKUP(B499, Master_Items!C:H, 6, FALSE), 0), "REORDER", "")</f>
        <v/>
      </c>
      <c r="K499">
        <f>C499+D499</f>
        <v/>
      </c>
    </row>
    <row r="500" ht="15.75" customHeight="1" s="14">
      <c r="B500" s="5" t="n"/>
      <c r="F500" s="5">
        <f>C500 + D500 - E500</f>
        <v/>
      </c>
      <c r="H500" s="5">
        <f>K500*G500</f>
        <v/>
      </c>
      <c r="I500" s="5">
        <f>IF(F500 &lt;= IFERROR(VLOOKUP(B500, Master_Items!C:H, 6, FALSE), 0), "REORDER", "")</f>
        <v/>
      </c>
      <c r="K500">
        <f>C500+D500</f>
        <v/>
      </c>
    </row>
    <row r="501" ht="15.75" customHeight="1" s="14">
      <c r="B501" s="5" t="n"/>
      <c r="F501" s="5">
        <f>C501 + D501 - E501</f>
        <v/>
      </c>
      <c r="H501" s="5">
        <f>K501*G501</f>
        <v/>
      </c>
      <c r="I501" s="5">
        <f>IF(F501 &lt;= IFERROR(VLOOKUP(B501, Master_Items!C:H, 6, FALSE), 0), "REORDER", "")</f>
        <v/>
      </c>
      <c r="K501">
        <f>C501+D501</f>
        <v/>
      </c>
    </row>
    <row r="502" ht="15.75" customHeight="1" s="14">
      <c r="B502" s="5" t="n"/>
      <c r="F502" s="5">
        <f>C502 + D502 - E502</f>
        <v/>
      </c>
      <c r="H502" s="5">
        <f>K502*G502</f>
        <v/>
      </c>
      <c r="I502" s="5">
        <f>IF(F502 &lt;= IFERROR(VLOOKUP(B502, Master_Items!C:H, 6, FALSE), 0), "REORDER", "")</f>
        <v/>
      </c>
      <c r="K502">
        <f>C502+D502</f>
        <v/>
      </c>
    </row>
    <row r="503" ht="15.75" customHeight="1" s="14">
      <c r="B503" s="5" t="n"/>
      <c r="F503" s="5">
        <f>C503 + D503 - E503</f>
        <v/>
      </c>
      <c r="H503" s="5">
        <f>K503*G503</f>
        <v/>
      </c>
      <c r="I503" s="5">
        <f>IF(F503 &lt;= IFERROR(VLOOKUP(B503, Master_Items!C:H, 6, FALSE), 0), "REORDER", "")</f>
        <v/>
      </c>
      <c r="K503">
        <f>C503+D503</f>
        <v/>
      </c>
    </row>
    <row r="504" ht="15.75" customHeight="1" s="14">
      <c r="B504" s="5" t="n"/>
      <c r="F504" s="5">
        <f>C504 + D504 - E504</f>
        <v/>
      </c>
      <c r="H504" s="5">
        <f>K504*G504</f>
        <v/>
      </c>
      <c r="I504" s="5">
        <f>IF(F504 &lt;= IFERROR(VLOOKUP(B504, Master_Items!C:H, 6, FALSE), 0), "REORDER", "")</f>
        <v/>
      </c>
      <c r="K504">
        <f>C504+D504</f>
        <v/>
      </c>
    </row>
    <row r="505" ht="15.75" customHeight="1" s="14">
      <c r="B505" s="5" t="n"/>
      <c r="F505" s="5">
        <f>C505 + D505 - E505</f>
        <v/>
      </c>
      <c r="H505" s="5">
        <f>K505*G505</f>
        <v/>
      </c>
      <c r="I505" s="5">
        <f>IF(F505 &lt;= IFERROR(VLOOKUP(B505, Master_Items!C:H, 6, FALSE), 0), "REORDER", "")</f>
        <v/>
      </c>
      <c r="K505">
        <f>C505+D505</f>
        <v/>
      </c>
    </row>
    <row r="506" ht="15.75" customHeight="1" s="14">
      <c r="B506" s="5" t="n"/>
      <c r="F506" s="5">
        <f>C506 + D506 - E506</f>
        <v/>
      </c>
      <c r="H506" s="5">
        <f>K506*G506</f>
        <v/>
      </c>
      <c r="I506" s="5">
        <f>IF(F506 &lt;= IFERROR(VLOOKUP(B506, Master_Items!C:H, 6, FALSE), 0), "REORDER", "")</f>
        <v/>
      </c>
      <c r="K506">
        <f>C506+D506</f>
        <v/>
      </c>
    </row>
    <row r="507" ht="15.75" customHeight="1" s="14">
      <c r="B507" s="5" t="n"/>
      <c r="F507" s="5">
        <f>C507 + D507 - E507</f>
        <v/>
      </c>
      <c r="H507" s="5">
        <f>K507*G507</f>
        <v/>
      </c>
      <c r="I507" s="5">
        <f>IF(F507 &lt;= IFERROR(VLOOKUP(B507, Master_Items!C:H, 6, FALSE), 0), "REORDER", "")</f>
        <v/>
      </c>
      <c r="K507">
        <f>C507+D507</f>
        <v/>
      </c>
    </row>
    <row r="508" ht="15.75" customHeight="1" s="14">
      <c r="B508" s="5" t="n"/>
      <c r="F508" s="5">
        <f>C508 + D508 - E508</f>
        <v/>
      </c>
      <c r="H508" s="5">
        <f>K508*G508</f>
        <v/>
      </c>
      <c r="I508" s="5">
        <f>IF(F508 &lt;= IFERROR(VLOOKUP(B508, Master_Items!C:H, 6, FALSE), 0), "REORDER", "")</f>
        <v/>
      </c>
      <c r="K508">
        <f>C508+D508</f>
        <v/>
      </c>
    </row>
    <row r="509" ht="15.75" customHeight="1" s="14">
      <c r="B509" s="5" t="n"/>
      <c r="F509" s="5">
        <f>C509 + D509 - E509</f>
        <v/>
      </c>
      <c r="H509" s="5">
        <f>K509*G509</f>
        <v/>
      </c>
      <c r="I509" s="5">
        <f>IF(F509 &lt;= IFERROR(VLOOKUP(B509, Master_Items!C:H, 6, FALSE), 0), "REORDER", "")</f>
        <v/>
      </c>
      <c r="K509">
        <f>C509+D509</f>
        <v/>
      </c>
    </row>
    <row r="510" ht="15.75" customHeight="1" s="14">
      <c r="B510" s="5" t="n"/>
      <c r="F510" s="5">
        <f>C510 + D510 - E510</f>
        <v/>
      </c>
      <c r="H510" s="5">
        <f>K510*G510</f>
        <v/>
      </c>
      <c r="I510" s="5">
        <f>IF(F510 &lt;= IFERROR(VLOOKUP(B510, Master_Items!C:H, 6, FALSE), 0), "REORDER", "")</f>
        <v/>
      </c>
      <c r="K510">
        <f>C510+D510</f>
        <v/>
      </c>
    </row>
    <row r="511" ht="15.75" customHeight="1" s="14">
      <c r="B511" s="5" t="n"/>
      <c r="F511" s="5">
        <f>C511 + D511 - E511</f>
        <v/>
      </c>
      <c r="H511" s="5">
        <f>K511*G511</f>
        <v/>
      </c>
      <c r="I511" s="5">
        <f>IF(F511 &lt;= IFERROR(VLOOKUP(B511, Master_Items!C:H, 6, FALSE), 0), "REORDER", "")</f>
        <v/>
      </c>
      <c r="K511">
        <f>C511+D511</f>
        <v/>
      </c>
    </row>
    <row r="512" ht="15.75" customHeight="1" s="14">
      <c r="B512" s="5" t="n"/>
      <c r="F512" s="5">
        <f>C512 + D512 - E512</f>
        <v/>
      </c>
      <c r="H512" s="5">
        <f>K512*G512</f>
        <v/>
      </c>
      <c r="I512" s="5">
        <f>IF(F512 &lt;= IFERROR(VLOOKUP(B512, Master_Items!C:H, 6, FALSE), 0), "REORDER", "")</f>
        <v/>
      </c>
      <c r="K512">
        <f>C512+D512</f>
        <v/>
      </c>
    </row>
    <row r="513" ht="15.75" customHeight="1" s="14">
      <c r="B513" s="5" t="n"/>
      <c r="F513" s="5">
        <f>C513 + D513 - E513</f>
        <v/>
      </c>
      <c r="H513" s="5">
        <f>K513*G513</f>
        <v/>
      </c>
      <c r="I513" s="5">
        <f>IF(F513 &lt;= IFERROR(VLOOKUP(B513, Master_Items!C:H, 6, FALSE), 0), "REORDER", "")</f>
        <v/>
      </c>
      <c r="K513">
        <f>C513+D513</f>
        <v/>
      </c>
    </row>
    <row r="514" ht="15.75" customHeight="1" s="14">
      <c r="B514" s="5" t="n"/>
      <c r="F514" s="5">
        <f>C514 + D514 - E514</f>
        <v/>
      </c>
      <c r="H514" s="5">
        <f>K514*G514</f>
        <v/>
      </c>
      <c r="I514" s="5">
        <f>IF(F514 &lt;= IFERROR(VLOOKUP(B514, Master_Items!C:H, 6, FALSE), 0), "REORDER", "")</f>
        <v/>
      </c>
      <c r="K514">
        <f>C514+D514</f>
        <v/>
      </c>
    </row>
    <row r="515" ht="15.75" customHeight="1" s="14">
      <c r="B515" s="5" t="n"/>
      <c r="F515" s="5">
        <f>C515 + D515 - E515</f>
        <v/>
      </c>
      <c r="H515" s="5">
        <f>K515*G515</f>
        <v/>
      </c>
      <c r="I515" s="5">
        <f>IF(F515 &lt;= IFERROR(VLOOKUP(B515, Master_Items!C:H, 6, FALSE), 0), "REORDER", "")</f>
        <v/>
      </c>
      <c r="K515">
        <f>C515+D515</f>
        <v/>
      </c>
    </row>
    <row r="516" ht="15.75" customHeight="1" s="14">
      <c r="B516" s="5" t="n"/>
      <c r="F516" s="5">
        <f>C516 + D516 - E516</f>
        <v/>
      </c>
      <c r="H516" s="5">
        <f>K516*G516</f>
        <v/>
      </c>
      <c r="I516" s="5">
        <f>IF(F516 &lt;= IFERROR(VLOOKUP(B516, Master_Items!C:H, 6, FALSE), 0), "REORDER", "")</f>
        <v/>
      </c>
      <c r="K516">
        <f>C516+D516</f>
        <v/>
      </c>
    </row>
    <row r="517" ht="15.75" customHeight="1" s="14">
      <c r="B517" s="5" t="n"/>
      <c r="F517" s="5">
        <f>C517 + D517 - E517</f>
        <v/>
      </c>
      <c r="H517" s="5">
        <f>K517*G517</f>
        <v/>
      </c>
      <c r="I517" s="5">
        <f>IF(F517 &lt;= IFERROR(VLOOKUP(B517, Master_Items!C:H, 6, FALSE), 0), "REORDER", "")</f>
        <v/>
      </c>
      <c r="K517">
        <f>C517+D517</f>
        <v/>
      </c>
    </row>
    <row r="518" ht="15.75" customHeight="1" s="14">
      <c r="B518" s="5" t="n"/>
      <c r="F518" s="5">
        <f>C518 + D518 - E518</f>
        <v/>
      </c>
      <c r="H518" s="5">
        <f>K518*G518</f>
        <v/>
      </c>
      <c r="I518" s="5">
        <f>IF(F518 &lt;= IFERROR(VLOOKUP(B518, Master_Items!C:H, 6, FALSE), 0), "REORDER", "")</f>
        <v/>
      </c>
      <c r="K518">
        <f>C518+D518</f>
        <v/>
      </c>
    </row>
    <row r="519" ht="15.75" customHeight="1" s="14">
      <c r="B519" s="5" t="n"/>
      <c r="F519" s="5">
        <f>C519 + D519 - E519</f>
        <v/>
      </c>
      <c r="H519" s="5">
        <f>K519*G519</f>
        <v/>
      </c>
      <c r="I519" s="5">
        <f>IF(F519 &lt;= IFERROR(VLOOKUP(B519, Master_Items!C:H, 6, FALSE), 0), "REORDER", "")</f>
        <v/>
      </c>
      <c r="K519">
        <f>C519+D519</f>
        <v/>
      </c>
    </row>
    <row r="520" ht="15.75" customHeight="1" s="14">
      <c r="B520" s="5" t="n"/>
      <c r="F520" s="5">
        <f>C520 + D520 - E520</f>
        <v/>
      </c>
      <c r="H520" s="5">
        <f>K520*G520</f>
        <v/>
      </c>
      <c r="I520" s="5">
        <f>IF(F520 &lt;= IFERROR(VLOOKUP(B520, Master_Items!C:H, 6, FALSE), 0), "REORDER", "")</f>
        <v/>
      </c>
      <c r="K520">
        <f>C520+D520</f>
        <v/>
      </c>
    </row>
    <row r="521" ht="15.75" customHeight="1" s="14">
      <c r="B521" s="5" t="n"/>
      <c r="F521" s="5">
        <f>C521 + D521 - E521</f>
        <v/>
      </c>
      <c r="H521" s="5">
        <f>K521*G521</f>
        <v/>
      </c>
      <c r="I521" s="5">
        <f>IF(F521 &lt;= IFERROR(VLOOKUP(B521, Master_Items!C:H, 6, FALSE), 0), "REORDER", "")</f>
        <v/>
      </c>
      <c r="K521">
        <f>C521+D521</f>
        <v/>
      </c>
    </row>
    <row r="522" ht="15.75" customHeight="1" s="14">
      <c r="B522" s="5" t="n"/>
      <c r="F522" s="5">
        <f>C522 + D522 - E522</f>
        <v/>
      </c>
      <c r="H522" s="5">
        <f>K522*G522</f>
        <v/>
      </c>
      <c r="I522" s="5">
        <f>IF(F522 &lt;= IFERROR(VLOOKUP(B522, Master_Items!C:H, 6, FALSE), 0), "REORDER", "")</f>
        <v/>
      </c>
      <c r="K522">
        <f>C522+D522</f>
        <v/>
      </c>
    </row>
    <row r="523" ht="15.75" customHeight="1" s="14">
      <c r="B523" s="5" t="n"/>
      <c r="F523" s="5">
        <f>C523 + D523 - E523</f>
        <v/>
      </c>
      <c r="H523" s="5">
        <f>K523*G523</f>
        <v/>
      </c>
      <c r="I523" s="5">
        <f>IF(F523 &lt;= IFERROR(VLOOKUP(B523, Master_Items!C:H, 6, FALSE), 0), "REORDER", "")</f>
        <v/>
      </c>
      <c r="K523">
        <f>C523+D523</f>
        <v/>
      </c>
    </row>
    <row r="524" ht="15.75" customHeight="1" s="14">
      <c r="B524" s="5" t="n"/>
      <c r="F524" s="5">
        <f>C524 + D524 - E524</f>
        <v/>
      </c>
      <c r="H524" s="5">
        <f>K524*G524</f>
        <v/>
      </c>
      <c r="I524" s="5">
        <f>IF(F524 &lt;= IFERROR(VLOOKUP(B524, Master_Items!C:H, 6, FALSE), 0), "REORDER", "")</f>
        <v/>
      </c>
      <c r="K524">
        <f>C524+D524</f>
        <v/>
      </c>
    </row>
    <row r="525" ht="15.75" customHeight="1" s="14">
      <c r="B525" s="5" t="n"/>
      <c r="F525" s="5">
        <f>C525 + D525 - E525</f>
        <v/>
      </c>
      <c r="H525" s="5">
        <f>K525*G525</f>
        <v/>
      </c>
      <c r="I525" s="5">
        <f>IF(F525 &lt;= IFERROR(VLOOKUP(B525, Master_Items!C:H, 6, FALSE), 0), "REORDER", "")</f>
        <v/>
      </c>
      <c r="K525">
        <f>C525+D525</f>
        <v/>
      </c>
    </row>
    <row r="526" ht="15.75" customHeight="1" s="14">
      <c r="B526" s="5" t="n"/>
      <c r="F526" s="5">
        <f>C526 + D526 - E526</f>
        <v/>
      </c>
      <c r="H526" s="5">
        <f>K526*G526</f>
        <v/>
      </c>
      <c r="I526" s="5">
        <f>IF(F526 &lt;= IFERROR(VLOOKUP(B526, Master_Items!C:H, 6, FALSE), 0), "REORDER", "")</f>
        <v/>
      </c>
      <c r="K526">
        <f>C526+D526</f>
        <v/>
      </c>
    </row>
    <row r="527" ht="15.75" customHeight="1" s="14">
      <c r="B527" s="5" t="n"/>
      <c r="F527" s="5">
        <f>C527 + D527 - E527</f>
        <v/>
      </c>
      <c r="H527" s="5">
        <f>K527*G527</f>
        <v/>
      </c>
      <c r="I527" s="5">
        <f>IF(F527 &lt;= IFERROR(VLOOKUP(B527, Master_Items!C:H, 6, FALSE), 0), "REORDER", "")</f>
        <v/>
      </c>
      <c r="K527">
        <f>C527+D527</f>
        <v/>
      </c>
    </row>
    <row r="528" ht="15.75" customHeight="1" s="14">
      <c r="B528" s="5" t="n"/>
      <c r="F528" s="5">
        <f>C528 + D528 - E528</f>
        <v/>
      </c>
      <c r="H528" s="5">
        <f>K528*G528</f>
        <v/>
      </c>
      <c r="I528" s="5">
        <f>IF(F528 &lt;= IFERROR(VLOOKUP(B528, Master_Items!C:H, 6, FALSE), 0), "REORDER", "")</f>
        <v/>
      </c>
      <c r="K528">
        <f>C528+D528</f>
        <v/>
      </c>
    </row>
    <row r="529" ht="15.75" customHeight="1" s="14">
      <c r="B529" s="5" t="n"/>
      <c r="F529" s="5">
        <f>C529 + D529 - E529</f>
        <v/>
      </c>
      <c r="H529" s="5">
        <f>K529*G529</f>
        <v/>
      </c>
      <c r="I529" s="5">
        <f>IF(F529 &lt;= IFERROR(VLOOKUP(B529, Master_Items!C:H, 6, FALSE), 0), "REORDER", "")</f>
        <v/>
      </c>
      <c r="K529">
        <f>C529+D529</f>
        <v/>
      </c>
    </row>
    <row r="530" ht="15.75" customHeight="1" s="14">
      <c r="B530" s="5" t="n"/>
      <c r="F530" s="5">
        <f>C530 + D530 - E530</f>
        <v/>
      </c>
      <c r="H530" s="5">
        <f>K530*G530</f>
        <v/>
      </c>
      <c r="I530" s="5">
        <f>IF(F530 &lt;= IFERROR(VLOOKUP(B530, Master_Items!C:H, 6, FALSE), 0), "REORDER", "")</f>
        <v/>
      </c>
      <c r="K530">
        <f>C530+D530</f>
        <v/>
      </c>
    </row>
    <row r="531" ht="15.75" customHeight="1" s="14">
      <c r="B531" s="5" t="n"/>
      <c r="F531" s="5">
        <f>C531 + D531 - E531</f>
        <v/>
      </c>
      <c r="H531" s="5">
        <f>K531*G531</f>
        <v/>
      </c>
      <c r="I531" s="5">
        <f>IF(F531 &lt;= IFERROR(VLOOKUP(B531, Master_Items!C:H, 6, FALSE), 0), "REORDER", "")</f>
        <v/>
      </c>
      <c r="K531">
        <f>C531+D531</f>
        <v/>
      </c>
    </row>
    <row r="532" ht="15.75" customHeight="1" s="14">
      <c r="B532" s="5" t="n"/>
      <c r="F532" s="5">
        <f>C532 + D532 - E532</f>
        <v/>
      </c>
      <c r="H532" s="5">
        <f>K532*G532</f>
        <v/>
      </c>
      <c r="I532" s="5">
        <f>IF(F532 &lt;= IFERROR(VLOOKUP(B532, Master_Items!C:H, 6, FALSE), 0), "REORDER", "")</f>
        <v/>
      </c>
      <c r="K532">
        <f>C532+D532</f>
        <v/>
      </c>
    </row>
    <row r="533" ht="15.75" customHeight="1" s="14">
      <c r="B533" s="5" t="n"/>
      <c r="F533" s="5">
        <f>C533 + D533 - E533</f>
        <v/>
      </c>
      <c r="H533" s="5">
        <f>K533*G533</f>
        <v/>
      </c>
      <c r="I533" s="5">
        <f>IF(F533 &lt;= IFERROR(VLOOKUP(B533, Master_Items!C:H, 6, FALSE), 0), "REORDER", "")</f>
        <v/>
      </c>
      <c r="K533">
        <f>C533+D533</f>
        <v/>
      </c>
    </row>
    <row r="534" ht="15.75" customHeight="1" s="14">
      <c r="B534" s="5" t="n"/>
      <c r="F534" s="5">
        <f>C534 + D534 - E534</f>
        <v/>
      </c>
      <c r="H534" s="5">
        <f>K534*G534</f>
        <v/>
      </c>
      <c r="I534" s="5">
        <f>IF(F534 &lt;= IFERROR(VLOOKUP(B534, Master_Items!C:H, 6, FALSE), 0), "REORDER", "")</f>
        <v/>
      </c>
      <c r="K534">
        <f>C534+D534</f>
        <v/>
      </c>
    </row>
    <row r="535" ht="15.75" customHeight="1" s="14">
      <c r="B535" s="5" t="n"/>
      <c r="F535" s="5">
        <f>C535 + D535 - E535</f>
        <v/>
      </c>
      <c r="H535" s="5">
        <f>K535*G535</f>
        <v/>
      </c>
      <c r="I535" s="5">
        <f>IF(F535 &lt;= IFERROR(VLOOKUP(B535, Master_Items!C:H, 6, FALSE), 0), "REORDER", "")</f>
        <v/>
      </c>
      <c r="K535">
        <f>C535+D535</f>
        <v/>
      </c>
    </row>
    <row r="536" ht="15.75" customHeight="1" s="14">
      <c r="B536" s="5" t="n"/>
      <c r="F536" s="5">
        <f>C536 + D536 - E536</f>
        <v/>
      </c>
      <c r="H536" s="5">
        <f>K536*G536</f>
        <v/>
      </c>
      <c r="I536" s="5">
        <f>IF(F536 &lt;= IFERROR(VLOOKUP(B536, Master_Items!C:H, 6, FALSE), 0), "REORDER", "")</f>
        <v/>
      </c>
      <c r="K536">
        <f>C536+D536</f>
        <v/>
      </c>
    </row>
    <row r="537" ht="15.75" customHeight="1" s="14">
      <c r="B537" s="5" t="n"/>
      <c r="F537" s="5">
        <f>C537 + D537 - E537</f>
        <v/>
      </c>
      <c r="H537" s="5">
        <f>K537*G537</f>
        <v/>
      </c>
      <c r="I537" s="5">
        <f>IF(F537 &lt;= IFERROR(VLOOKUP(B537, Master_Items!C:H, 6, FALSE), 0), "REORDER", "")</f>
        <v/>
      </c>
      <c r="K537">
        <f>C537+D537</f>
        <v/>
      </c>
    </row>
    <row r="538" ht="15.75" customHeight="1" s="14">
      <c r="B538" s="5" t="n"/>
      <c r="F538" s="5">
        <f>C538 + D538 - E538</f>
        <v/>
      </c>
      <c r="H538" s="5">
        <f>K538*G538</f>
        <v/>
      </c>
      <c r="I538" s="5">
        <f>IF(F538 &lt;= IFERROR(VLOOKUP(B538, Master_Items!C:H, 6, FALSE), 0), "REORDER", "")</f>
        <v/>
      </c>
      <c r="K538">
        <f>C538+D538</f>
        <v/>
      </c>
    </row>
    <row r="539" ht="15.75" customHeight="1" s="14">
      <c r="B539" s="5" t="n"/>
      <c r="F539" s="5">
        <f>C539 + D539 - E539</f>
        <v/>
      </c>
      <c r="H539" s="5">
        <f>K539*G539</f>
        <v/>
      </c>
      <c r="I539" s="5">
        <f>IF(F539 &lt;= IFERROR(VLOOKUP(B539, Master_Items!C:H, 6, FALSE), 0), "REORDER", "")</f>
        <v/>
      </c>
      <c r="K539">
        <f>C539+D539</f>
        <v/>
      </c>
    </row>
    <row r="540" ht="15.75" customHeight="1" s="14">
      <c r="B540" s="5" t="n"/>
      <c r="F540" s="5">
        <f>C540 + D540 - E540</f>
        <v/>
      </c>
      <c r="H540" s="5">
        <f>K540*G540</f>
        <v/>
      </c>
      <c r="I540" s="5">
        <f>IF(F540 &lt;= IFERROR(VLOOKUP(B540, Master_Items!C:H, 6, FALSE), 0), "REORDER", "")</f>
        <v/>
      </c>
      <c r="K540">
        <f>C540+D540</f>
        <v/>
      </c>
    </row>
    <row r="541" ht="15.75" customHeight="1" s="14">
      <c r="B541" s="5" t="n"/>
      <c r="F541" s="5">
        <f>C541 + D541 - E541</f>
        <v/>
      </c>
      <c r="H541" s="5">
        <f>K541*G541</f>
        <v/>
      </c>
      <c r="I541" s="5">
        <f>IF(F541 &lt;= IFERROR(VLOOKUP(B541, Master_Items!C:H, 6, FALSE), 0), "REORDER", "")</f>
        <v/>
      </c>
      <c r="K541">
        <f>C541+D541</f>
        <v/>
      </c>
    </row>
    <row r="542" ht="15.75" customHeight="1" s="14">
      <c r="B542" s="5" t="n"/>
      <c r="F542" s="5">
        <f>C542 + D542 - E542</f>
        <v/>
      </c>
      <c r="H542" s="5">
        <f>K542*G542</f>
        <v/>
      </c>
      <c r="I542" s="5">
        <f>IF(F542 &lt;= IFERROR(VLOOKUP(B542, Master_Items!C:H, 6, FALSE), 0), "REORDER", "")</f>
        <v/>
      </c>
      <c r="K542">
        <f>C542+D542</f>
        <v/>
      </c>
    </row>
    <row r="543" ht="15.75" customHeight="1" s="14">
      <c r="B543" s="5" t="n"/>
      <c r="F543" s="5">
        <f>C543 + D543 - E543</f>
        <v/>
      </c>
      <c r="H543" s="5">
        <f>K543*G543</f>
        <v/>
      </c>
      <c r="I543" s="5">
        <f>IF(F543 &lt;= IFERROR(VLOOKUP(B543, Master_Items!C:H, 6, FALSE), 0), "REORDER", "")</f>
        <v/>
      </c>
      <c r="K543">
        <f>C543+D543</f>
        <v/>
      </c>
    </row>
    <row r="544" ht="15.75" customHeight="1" s="14">
      <c r="B544" s="5" t="n"/>
      <c r="F544" s="5">
        <f>C544 + D544 - E544</f>
        <v/>
      </c>
      <c r="H544" s="5">
        <f>K544*G544</f>
        <v/>
      </c>
      <c r="I544" s="5">
        <f>IF(F544 &lt;= IFERROR(VLOOKUP(B544, Master_Items!C:H, 6, FALSE), 0), "REORDER", "")</f>
        <v/>
      </c>
      <c r="K544">
        <f>C544+D544</f>
        <v/>
      </c>
    </row>
    <row r="545" ht="15.75" customHeight="1" s="14">
      <c r="B545" s="5" t="n"/>
      <c r="F545" s="5">
        <f>C545 + D545 - E545</f>
        <v/>
      </c>
      <c r="H545" s="5">
        <f>K545*G545</f>
        <v/>
      </c>
      <c r="I545" s="5">
        <f>IF(F545 &lt;= IFERROR(VLOOKUP(B545, Master_Items!C:H, 6, FALSE), 0), "REORDER", "")</f>
        <v/>
      </c>
      <c r="K545">
        <f>C545+D545</f>
        <v/>
      </c>
    </row>
    <row r="546" ht="15.75" customHeight="1" s="14">
      <c r="B546" s="5" t="n"/>
      <c r="F546" s="5">
        <f>C546 + D546 - E546</f>
        <v/>
      </c>
      <c r="H546" s="5">
        <f>K546*G546</f>
        <v/>
      </c>
      <c r="I546" s="5">
        <f>IF(F546 &lt;= IFERROR(VLOOKUP(B546, Master_Items!C:H, 6, FALSE), 0), "REORDER", "")</f>
        <v/>
      </c>
      <c r="K546">
        <f>C546+D546</f>
        <v/>
      </c>
    </row>
    <row r="547" ht="15.75" customHeight="1" s="14">
      <c r="B547" s="5" t="n"/>
      <c r="F547" s="5">
        <f>C547 + D547 - E547</f>
        <v/>
      </c>
      <c r="H547" s="5">
        <f>K547*G547</f>
        <v/>
      </c>
      <c r="I547" s="5">
        <f>IF(F547 &lt;= IFERROR(VLOOKUP(B547, Master_Items!C:H, 6, FALSE), 0), "REORDER", "")</f>
        <v/>
      </c>
      <c r="K547">
        <f>C547+D547</f>
        <v/>
      </c>
    </row>
    <row r="548" ht="15.75" customHeight="1" s="14">
      <c r="B548" s="5" t="n"/>
      <c r="F548" s="5">
        <f>C548 + D548 - E548</f>
        <v/>
      </c>
      <c r="H548" s="5">
        <f>K548*G548</f>
        <v/>
      </c>
      <c r="I548" s="5">
        <f>IF(F548 &lt;= IFERROR(VLOOKUP(B548, Master_Items!C:H, 6, FALSE), 0), "REORDER", "")</f>
        <v/>
      </c>
      <c r="K548">
        <f>C548+D548</f>
        <v/>
      </c>
    </row>
    <row r="549" ht="15.75" customHeight="1" s="14">
      <c r="B549" s="5" t="n"/>
      <c r="F549" s="5">
        <f>C549 + D549 - E549</f>
        <v/>
      </c>
      <c r="H549" s="5">
        <f>K549*G549</f>
        <v/>
      </c>
      <c r="I549" s="5">
        <f>IF(F549 &lt;= IFERROR(VLOOKUP(B549, Master_Items!C:H, 6, FALSE), 0), "REORDER", "")</f>
        <v/>
      </c>
      <c r="K549">
        <f>C549+D549</f>
        <v/>
      </c>
    </row>
    <row r="550" ht="15.75" customHeight="1" s="14">
      <c r="B550" s="5" t="n"/>
      <c r="F550" s="5">
        <f>C550 + D550 - E550</f>
        <v/>
      </c>
      <c r="H550" s="5">
        <f>K550*G550</f>
        <v/>
      </c>
      <c r="I550" s="5">
        <f>IF(F550 &lt;= IFERROR(VLOOKUP(B550, Master_Items!C:H, 6, FALSE), 0), "REORDER", "")</f>
        <v/>
      </c>
      <c r="K550">
        <f>C550+D550</f>
        <v/>
      </c>
    </row>
    <row r="551" ht="15.75" customHeight="1" s="14">
      <c r="B551" s="5" t="n"/>
      <c r="F551" s="5">
        <f>C551 + D551 - E551</f>
        <v/>
      </c>
      <c r="H551" s="5">
        <f>K551*G551</f>
        <v/>
      </c>
      <c r="I551" s="5">
        <f>IF(F551 &lt;= IFERROR(VLOOKUP(B551, Master_Items!C:H, 6, FALSE), 0), "REORDER", "")</f>
        <v/>
      </c>
      <c r="K551">
        <f>C551+D551</f>
        <v/>
      </c>
    </row>
    <row r="552" ht="15.75" customHeight="1" s="14">
      <c r="B552" s="5" t="n"/>
      <c r="F552" s="5">
        <f>C552 + D552 - E552</f>
        <v/>
      </c>
      <c r="H552" s="5">
        <f>K552*G552</f>
        <v/>
      </c>
      <c r="I552" s="5">
        <f>IF(F552 &lt;= IFERROR(VLOOKUP(B552, Master_Items!C:H, 6, FALSE), 0), "REORDER", "")</f>
        <v/>
      </c>
      <c r="K552">
        <f>C552+D552</f>
        <v/>
      </c>
    </row>
    <row r="553" ht="15.75" customHeight="1" s="14">
      <c r="B553" s="5" t="n"/>
      <c r="F553" s="5">
        <f>C553 + D553 - E553</f>
        <v/>
      </c>
      <c r="H553" s="5">
        <f>K553*G553</f>
        <v/>
      </c>
      <c r="I553" s="5">
        <f>IF(F553 &lt;= IFERROR(VLOOKUP(B553, Master_Items!C:H, 6, FALSE), 0), "REORDER", "")</f>
        <v/>
      </c>
      <c r="K553">
        <f>C553+D553</f>
        <v/>
      </c>
    </row>
    <row r="554" ht="15.75" customHeight="1" s="14">
      <c r="B554" s="5" t="n"/>
      <c r="F554" s="5">
        <f>C554 + D554 - E554</f>
        <v/>
      </c>
      <c r="H554" s="5">
        <f>K554*G554</f>
        <v/>
      </c>
      <c r="I554" s="5">
        <f>IF(F554 &lt;= IFERROR(VLOOKUP(B554, Master_Items!C:H, 6, FALSE), 0), "REORDER", "")</f>
        <v/>
      </c>
      <c r="K554">
        <f>C554+D554</f>
        <v/>
      </c>
    </row>
    <row r="555" ht="15.75" customHeight="1" s="14">
      <c r="B555" s="5" t="n"/>
      <c r="F555" s="5">
        <f>C555 + D555 - E555</f>
        <v/>
      </c>
      <c r="H555" s="5">
        <f>K555*G555</f>
        <v/>
      </c>
      <c r="I555" s="5">
        <f>IF(F555 &lt;= IFERROR(VLOOKUP(B555, Master_Items!C:H, 6, FALSE), 0), "REORDER", "")</f>
        <v/>
      </c>
      <c r="K555">
        <f>C555+D555</f>
        <v/>
      </c>
    </row>
    <row r="556" ht="15.75" customHeight="1" s="14">
      <c r="B556" s="5" t="n"/>
      <c r="F556" s="5">
        <f>C556 + D556 - E556</f>
        <v/>
      </c>
      <c r="H556" s="5">
        <f>K556*G556</f>
        <v/>
      </c>
      <c r="I556" s="5">
        <f>IF(F556 &lt;= IFERROR(VLOOKUP(B556, Master_Items!C:H, 6, FALSE), 0), "REORDER", "")</f>
        <v/>
      </c>
      <c r="K556">
        <f>C556+D556</f>
        <v/>
      </c>
    </row>
    <row r="557" ht="15.75" customHeight="1" s="14">
      <c r="B557" s="5" t="n"/>
      <c r="F557" s="5">
        <f>C557 + D557 - E557</f>
        <v/>
      </c>
      <c r="H557" s="5">
        <f>K557*G557</f>
        <v/>
      </c>
      <c r="I557" s="5">
        <f>IF(F557 &lt;= IFERROR(VLOOKUP(B557, Master_Items!C:H, 6, FALSE), 0), "REORDER", "")</f>
        <v/>
      </c>
      <c r="K557">
        <f>C557+D557</f>
        <v/>
      </c>
    </row>
    <row r="558" ht="15.75" customHeight="1" s="14">
      <c r="B558" s="5" t="n"/>
      <c r="F558" s="5">
        <f>C558 + D558 - E558</f>
        <v/>
      </c>
      <c r="H558" s="5">
        <f>K558*G558</f>
        <v/>
      </c>
      <c r="I558" s="5">
        <f>IF(F558 &lt;= IFERROR(VLOOKUP(B558, Master_Items!C:H, 6, FALSE), 0), "REORDER", "")</f>
        <v/>
      </c>
      <c r="K558">
        <f>C558+D558</f>
        <v/>
      </c>
    </row>
    <row r="559" ht="15.75" customHeight="1" s="14">
      <c r="B559" s="5" t="n"/>
      <c r="F559" s="5">
        <f>C559 + D559 - E559</f>
        <v/>
      </c>
      <c r="H559" s="5">
        <f>K559*G559</f>
        <v/>
      </c>
      <c r="I559" s="5">
        <f>IF(F559 &lt;= IFERROR(VLOOKUP(B559, Master_Items!C:H, 6, FALSE), 0), "REORDER", "")</f>
        <v/>
      </c>
      <c r="K559">
        <f>C559+D559</f>
        <v/>
      </c>
    </row>
    <row r="560" ht="15.75" customHeight="1" s="14">
      <c r="B560" s="5" t="n"/>
      <c r="F560" s="5">
        <f>C560 + D560 - E560</f>
        <v/>
      </c>
      <c r="H560" s="5">
        <f>K560*G560</f>
        <v/>
      </c>
      <c r="I560" s="5">
        <f>IF(F560 &lt;= IFERROR(VLOOKUP(B560, Master_Items!C:H, 6, FALSE), 0), "REORDER", "")</f>
        <v/>
      </c>
      <c r="K560">
        <f>C560+D560</f>
        <v/>
      </c>
    </row>
    <row r="561" ht="15.75" customHeight="1" s="14">
      <c r="B561" s="5" t="n"/>
      <c r="F561" s="5">
        <f>C561 + D561 - E561</f>
        <v/>
      </c>
      <c r="H561" s="5">
        <f>K561*G561</f>
        <v/>
      </c>
      <c r="I561" s="5">
        <f>IF(F561 &lt;= IFERROR(VLOOKUP(B561, Master_Items!C:H, 6, FALSE), 0), "REORDER", "")</f>
        <v/>
      </c>
      <c r="K561">
        <f>C561+D561</f>
        <v/>
      </c>
    </row>
    <row r="562" ht="15.75" customHeight="1" s="14">
      <c r="B562" s="5" t="n"/>
      <c r="F562" s="5">
        <f>C562 + D562 - E562</f>
        <v/>
      </c>
      <c r="H562" s="5">
        <f>K562*G562</f>
        <v/>
      </c>
      <c r="I562" s="5">
        <f>IF(F562 &lt;= IFERROR(VLOOKUP(B562, Master_Items!C:H, 6, FALSE), 0), "REORDER", "")</f>
        <v/>
      </c>
      <c r="K562">
        <f>C562+D562</f>
        <v/>
      </c>
    </row>
    <row r="563" ht="15.75" customHeight="1" s="14">
      <c r="B563" s="5" t="n"/>
      <c r="F563" s="5">
        <f>C563 + D563 - E563</f>
        <v/>
      </c>
      <c r="H563" s="5">
        <f>K563*G563</f>
        <v/>
      </c>
      <c r="I563" s="5">
        <f>IF(F563 &lt;= IFERROR(VLOOKUP(B563, Master_Items!C:H, 6, FALSE), 0), "REORDER", "")</f>
        <v/>
      </c>
      <c r="K563">
        <f>C563+D563</f>
        <v/>
      </c>
    </row>
    <row r="564" ht="15.75" customHeight="1" s="14">
      <c r="B564" s="5" t="n"/>
      <c r="F564" s="5">
        <f>C564 + D564 - E564</f>
        <v/>
      </c>
      <c r="H564" s="5">
        <f>K564*G564</f>
        <v/>
      </c>
      <c r="I564" s="5">
        <f>IF(F564 &lt;= IFERROR(VLOOKUP(B564, Master_Items!C:H, 6, FALSE), 0), "REORDER", "")</f>
        <v/>
      </c>
      <c r="K564">
        <f>C564+D564</f>
        <v/>
      </c>
    </row>
    <row r="565" ht="15.75" customHeight="1" s="14">
      <c r="B565" s="5" t="n"/>
      <c r="F565" s="5">
        <f>C565 + D565 - E565</f>
        <v/>
      </c>
      <c r="H565" s="5">
        <f>K565*G565</f>
        <v/>
      </c>
      <c r="I565" s="5">
        <f>IF(F565 &lt;= IFERROR(VLOOKUP(B565, Master_Items!C:H, 6, FALSE), 0), "REORDER", "")</f>
        <v/>
      </c>
      <c r="K565">
        <f>C565+D565</f>
        <v/>
      </c>
    </row>
    <row r="566" ht="15.75" customHeight="1" s="14">
      <c r="B566" s="5" t="n"/>
      <c r="F566" s="5">
        <f>C566 + D566 - E566</f>
        <v/>
      </c>
      <c r="H566" s="5">
        <f>K566*G566</f>
        <v/>
      </c>
      <c r="I566" s="5">
        <f>IF(F566 &lt;= IFERROR(VLOOKUP(B566, Master_Items!C:H, 6, FALSE), 0), "REORDER", "")</f>
        <v/>
      </c>
      <c r="K566">
        <f>C566+D566</f>
        <v/>
      </c>
    </row>
    <row r="567" ht="15.75" customHeight="1" s="14">
      <c r="B567" s="5" t="n"/>
      <c r="F567" s="5">
        <f>C567 + D567 - E567</f>
        <v/>
      </c>
      <c r="H567" s="5">
        <f>K567*G567</f>
        <v/>
      </c>
      <c r="I567" s="5">
        <f>IF(F567 &lt;= IFERROR(VLOOKUP(B567, Master_Items!C:H, 6, FALSE), 0), "REORDER", "")</f>
        <v/>
      </c>
      <c r="K567">
        <f>C567+D567</f>
        <v/>
      </c>
    </row>
    <row r="568" ht="15.75" customHeight="1" s="14">
      <c r="B568" s="5" t="n"/>
      <c r="F568" s="5">
        <f>C568 + D568 - E568</f>
        <v/>
      </c>
      <c r="H568" s="5">
        <f>K568*G568</f>
        <v/>
      </c>
      <c r="I568" s="5">
        <f>IF(F568 &lt;= IFERROR(VLOOKUP(B568, Master_Items!C:H, 6, FALSE), 0), "REORDER", "")</f>
        <v/>
      </c>
      <c r="K568">
        <f>C568+D568</f>
        <v/>
      </c>
    </row>
    <row r="569" ht="15.75" customHeight="1" s="14">
      <c r="B569" s="5" t="n"/>
      <c r="F569" s="5">
        <f>C569 + D569 - E569</f>
        <v/>
      </c>
      <c r="H569" s="5">
        <f>K569*G569</f>
        <v/>
      </c>
      <c r="I569" s="5">
        <f>IF(F569 &lt;= IFERROR(VLOOKUP(B569, Master_Items!C:H, 6, FALSE), 0), "REORDER", "")</f>
        <v/>
      </c>
      <c r="K569">
        <f>C569+D569</f>
        <v/>
      </c>
    </row>
    <row r="570" ht="15.75" customHeight="1" s="14">
      <c r="B570" s="5" t="n"/>
      <c r="F570" s="5">
        <f>C570 + D570 - E570</f>
        <v/>
      </c>
      <c r="H570" s="5">
        <f>K570*G570</f>
        <v/>
      </c>
      <c r="I570" s="5">
        <f>IF(F570 &lt;= IFERROR(VLOOKUP(B570, Master_Items!C:H, 6, FALSE), 0), "REORDER", "")</f>
        <v/>
      </c>
      <c r="K570">
        <f>C570+D570</f>
        <v/>
      </c>
    </row>
    <row r="571" ht="15.75" customHeight="1" s="14">
      <c r="B571" s="5" t="n"/>
      <c r="F571" s="5">
        <f>C571 + D571 - E571</f>
        <v/>
      </c>
      <c r="H571" s="5">
        <f>K571*G571</f>
        <v/>
      </c>
      <c r="I571" s="5">
        <f>IF(F571 &lt;= IFERROR(VLOOKUP(B571, Master_Items!C:H, 6, FALSE), 0), "REORDER", "")</f>
        <v/>
      </c>
      <c r="K571">
        <f>C571+D571</f>
        <v/>
      </c>
    </row>
    <row r="572" ht="15.75" customHeight="1" s="14">
      <c r="B572" s="5" t="n"/>
      <c r="F572" s="5">
        <f>C572 + D572 - E572</f>
        <v/>
      </c>
      <c r="H572" s="5">
        <f>K572*G572</f>
        <v/>
      </c>
      <c r="I572" s="5">
        <f>IF(F572 &lt;= IFERROR(VLOOKUP(B572, Master_Items!C:H, 6, FALSE), 0), "REORDER", "")</f>
        <v/>
      </c>
      <c r="K572">
        <f>C572+D572</f>
        <v/>
      </c>
    </row>
    <row r="573" ht="15.75" customHeight="1" s="14">
      <c r="B573" s="5" t="n"/>
      <c r="F573" s="5">
        <f>C573 + D573 - E573</f>
        <v/>
      </c>
      <c r="H573" s="5">
        <f>K573*G573</f>
        <v/>
      </c>
      <c r="I573" s="5">
        <f>IF(F573 &lt;= IFERROR(VLOOKUP(B573, Master_Items!C:H, 6, FALSE), 0), "REORDER", "")</f>
        <v/>
      </c>
      <c r="K573">
        <f>C573+D573</f>
        <v/>
      </c>
    </row>
    <row r="574" ht="15.75" customHeight="1" s="14">
      <c r="B574" s="5" t="n"/>
      <c r="F574" s="5">
        <f>C574 + D574 - E574</f>
        <v/>
      </c>
      <c r="H574" s="5">
        <f>K574*G574</f>
        <v/>
      </c>
      <c r="I574" s="5">
        <f>IF(F574 &lt;= IFERROR(VLOOKUP(B574, Master_Items!C:H, 6, FALSE), 0), "REORDER", "")</f>
        <v/>
      </c>
      <c r="K574">
        <f>C574+D574</f>
        <v/>
      </c>
    </row>
    <row r="575" ht="15.75" customHeight="1" s="14">
      <c r="B575" s="5" t="n"/>
      <c r="F575" s="5">
        <f>C575 + D575 - E575</f>
        <v/>
      </c>
      <c r="H575" s="5">
        <f>K575*G575</f>
        <v/>
      </c>
      <c r="I575" s="5">
        <f>IF(F575 &lt;= IFERROR(VLOOKUP(B575, Master_Items!C:H, 6, FALSE), 0), "REORDER", "")</f>
        <v/>
      </c>
      <c r="K575">
        <f>C575+D575</f>
        <v/>
      </c>
    </row>
    <row r="576" ht="15.75" customHeight="1" s="14">
      <c r="B576" s="5" t="n"/>
      <c r="F576" s="5">
        <f>C576 + D576 - E576</f>
        <v/>
      </c>
      <c r="H576" s="5">
        <f>K576*G576</f>
        <v/>
      </c>
      <c r="I576" s="5">
        <f>IF(F576 &lt;= IFERROR(VLOOKUP(B576, Master_Items!C:H, 6, FALSE), 0), "REORDER", "")</f>
        <v/>
      </c>
      <c r="K576">
        <f>C576+D576</f>
        <v/>
      </c>
    </row>
    <row r="577" ht="15.75" customHeight="1" s="14">
      <c r="B577" s="5" t="n"/>
      <c r="F577" s="5">
        <f>C577 + D577 - E577</f>
        <v/>
      </c>
      <c r="H577" s="5">
        <f>K577*G577</f>
        <v/>
      </c>
      <c r="I577" s="5">
        <f>IF(F577 &lt;= IFERROR(VLOOKUP(B577, Master_Items!C:H, 6, FALSE), 0), "REORDER", "")</f>
        <v/>
      </c>
      <c r="K577">
        <f>C577+D577</f>
        <v/>
      </c>
    </row>
    <row r="578" ht="15.75" customHeight="1" s="14">
      <c r="B578" s="5" t="n"/>
      <c r="F578" s="5">
        <f>C578 + D578 - E578</f>
        <v/>
      </c>
      <c r="H578" s="5">
        <f>K578*G578</f>
        <v/>
      </c>
      <c r="I578" s="5">
        <f>IF(F578 &lt;= IFERROR(VLOOKUP(B578, Master_Items!C:H, 6, FALSE), 0), "REORDER", "")</f>
        <v/>
      </c>
      <c r="K578">
        <f>C578+D578</f>
        <v/>
      </c>
    </row>
    <row r="579" ht="15.75" customHeight="1" s="14">
      <c r="B579" s="5" t="n"/>
      <c r="F579" s="5">
        <f>C579 + D579 - E579</f>
        <v/>
      </c>
      <c r="H579" s="5">
        <f>K579*G579</f>
        <v/>
      </c>
      <c r="I579" s="5">
        <f>IF(F579 &lt;= IFERROR(VLOOKUP(B579, Master_Items!C:H, 6, FALSE), 0), "REORDER", "")</f>
        <v/>
      </c>
      <c r="K579">
        <f>C579+D579</f>
        <v/>
      </c>
    </row>
    <row r="580" ht="15.75" customHeight="1" s="14">
      <c r="B580" s="5" t="n"/>
      <c r="F580" s="5">
        <f>C580 + D580 - E580</f>
        <v/>
      </c>
      <c r="H580" s="5">
        <f>K580*G580</f>
        <v/>
      </c>
      <c r="I580" s="5">
        <f>IF(F580 &lt;= IFERROR(VLOOKUP(B580, Master_Items!C:H, 6, FALSE), 0), "REORDER", "")</f>
        <v/>
      </c>
      <c r="K580">
        <f>C580+D580</f>
        <v/>
      </c>
    </row>
    <row r="581" ht="15.75" customHeight="1" s="14">
      <c r="B581" s="5" t="n"/>
      <c r="F581" s="5">
        <f>C581 + D581 - E581</f>
        <v/>
      </c>
      <c r="H581" s="5">
        <f>K581*G581</f>
        <v/>
      </c>
      <c r="I581" s="5">
        <f>IF(F581 &lt;= IFERROR(VLOOKUP(B581, Master_Items!C:H, 6, FALSE), 0), "REORDER", "")</f>
        <v/>
      </c>
      <c r="K581">
        <f>C581+D581</f>
        <v/>
      </c>
    </row>
    <row r="582" ht="15.75" customHeight="1" s="14">
      <c r="B582" s="5" t="n"/>
      <c r="F582" s="5">
        <f>C582 + D582 - E582</f>
        <v/>
      </c>
      <c r="H582" s="5">
        <f>K582*G582</f>
        <v/>
      </c>
      <c r="I582" s="5">
        <f>IF(F582 &lt;= IFERROR(VLOOKUP(B582, Master_Items!C:H, 6, FALSE), 0), "REORDER", "")</f>
        <v/>
      </c>
      <c r="K582">
        <f>C582+D582</f>
        <v/>
      </c>
    </row>
    <row r="583" ht="15.75" customHeight="1" s="14">
      <c r="B583" s="5" t="n"/>
      <c r="F583" s="5">
        <f>C583 + D583 - E583</f>
        <v/>
      </c>
      <c r="H583" s="5">
        <f>K583*G583</f>
        <v/>
      </c>
      <c r="I583" s="5">
        <f>IF(F583 &lt; IFERROR(VLOOKUP(B583, Master_Items!C:G, 5, FALSE), 0), "YES", "")</f>
        <v/>
      </c>
      <c r="K583">
        <f>C583+D583</f>
        <v/>
      </c>
    </row>
    <row r="584" ht="15.75" customHeight="1" s="14">
      <c r="B584" s="5" t="n"/>
      <c r="F584" s="5">
        <f>C584 + D584 - E584</f>
        <v/>
      </c>
      <c r="H584" s="5">
        <f>K584*G584</f>
        <v/>
      </c>
      <c r="I584" s="5">
        <f>IF(F584 &lt; IFERROR(VLOOKUP(B584, Master_Items!C:G, 5, FALSE), 0), "YES", "")</f>
        <v/>
      </c>
      <c r="K584">
        <f>C584+D584</f>
        <v/>
      </c>
    </row>
    <row r="585" ht="15.75" customHeight="1" s="14">
      <c r="B585" s="5" t="n"/>
      <c r="F585" s="5">
        <f>C585 + D585 - E585</f>
        <v/>
      </c>
      <c r="H585" s="5">
        <f>K585*G585</f>
        <v/>
      </c>
      <c r="I585" s="5">
        <f>IF(F585 &lt; IFERROR(VLOOKUP(B585, Master_Items!C:G, 5, FALSE), 0), "YES", "")</f>
        <v/>
      </c>
      <c r="K585">
        <f>C585+D585</f>
        <v/>
      </c>
    </row>
    <row r="586" ht="15.75" customHeight="1" s="14">
      <c r="B586" s="5" t="n"/>
      <c r="F586" s="5">
        <f>C586 + D586 - E586</f>
        <v/>
      </c>
      <c r="H586" s="5">
        <f>K586*G586</f>
        <v/>
      </c>
      <c r="I586" s="5">
        <f>IF(F586 &lt; IFERROR(VLOOKUP(B586, Master_Items!C:G, 5, FALSE), 0), "YES", "")</f>
        <v/>
      </c>
      <c r="K586">
        <f>C586+D586</f>
        <v/>
      </c>
    </row>
    <row r="587" ht="15.75" customHeight="1" s="14">
      <c r="B587" s="5" t="n"/>
      <c r="F587" s="5">
        <f>C587 + D587 - E587</f>
        <v/>
      </c>
      <c r="H587" s="5">
        <f>K587*G587</f>
        <v/>
      </c>
      <c r="I587" s="5">
        <f>IF(F587 &lt; IFERROR(VLOOKUP(B587, Master_Items!C:G, 5, FALSE), 0), "YES", "")</f>
        <v/>
      </c>
      <c r="K587">
        <f>C587+D587</f>
        <v/>
      </c>
    </row>
    <row r="588" ht="15.75" customHeight="1" s="14">
      <c r="B588" s="5" t="n"/>
      <c r="F588" s="5">
        <f>C588 + D588 - E588</f>
        <v/>
      </c>
      <c r="H588" s="5">
        <f>K588*G588</f>
        <v/>
      </c>
      <c r="I588" s="5">
        <f>IF(F588 &lt; IFERROR(VLOOKUP(B588, Master_Items!C:G, 5, FALSE), 0), "YES", "")</f>
        <v/>
      </c>
      <c r="K588">
        <f>C588+D588</f>
        <v/>
      </c>
    </row>
    <row r="589" ht="15.75" customHeight="1" s="14">
      <c r="B589" s="5" t="n"/>
      <c r="F589" s="5">
        <f>C589 + D589 - E589</f>
        <v/>
      </c>
      <c r="H589" s="5">
        <f>K589*G589</f>
        <v/>
      </c>
      <c r="I589" s="5">
        <f>IF(F589 &lt; IFERROR(VLOOKUP(B589, Master_Items!C:G, 5, FALSE), 0), "YES", "")</f>
        <v/>
      </c>
      <c r="K589">
        <f>C589+D589</f>
        <v/>
      </c>
    </row>
    <row r="590" ht="15.75" customHeight="1" s="14">
      <c r="B590" s="5" t="n"/>
      <c r="F590" s="5">
        <f>C590 + D590 - E590</f>
        <v/>
      </c>
      <c r="H590" s="5">
        <f>K590*G590</f>
        <v/>
      </c>
      <c r="I590" s="5">
        <f>IF(F590 &lt; IFERROR(VLOOKUP(B590, Master_Items!C:G, 5, FALSE), 0), "YES", "")</f>
        <v/>
      </c>
      <c r="K590">
        <f>C590+D590</f>
        <v/>
      </c>
    </row>
    <row r="591" ht="15.75" customHeight="1" s="14">
      <c r="B591" s="5" t="n"/>
      <c r="F591" s="5">
        <f>C591 + D591 - E591</f>
        <v/>
      </c>
      <c r="H591" s="5">
        <f>K591*G591</f>
        <v/>
      </c>
      <c r="I591" s="5">
        <f>IF(F591 &lt; IFERROR(VLOOKUP(B591, Master_Items!C:G, 5, FALSE), 0), "YES", "")</f>
        <v/>
      </c>
      <c r="K591">
        <f>C591+D591</f>
        <v/>
      </c>
    </row>
    <row r="592" ht="15.75" customHeight="1" s="14">
      <c r="B592" s="5" t="n"/>
      <c r="F592" s="5">
        <f>C592 + D592 - E592</f>
        <v/>
      </c>
      <c r="H592" s="5">
        <f>K592*G592</f>
        <v/>
      </c>
      <c r="I592" s="5">
        <f>IF(F592 &lt; IFERROR(VLOOKUP(B592, Master_Items!C:G, 5, FALSE), 0), "YES", "")</f>
        <v/>
      </c>
      <c r="K592">
        <f>C592+D592</f>
        <v/>
      </c>
    </row>
    <row r="593" ht="15.75" customHeight="1" s="14">
      <c r="B593" s="5" t="n"/>
      <c r="F593" s="5">
        <f>C593 + D593 - E593</f>
        <v/>
      </c>
      <c r="H593" s="5">
        <f>K593*G593</f>
        <v/>
      </c>
      <c r="I593" s="5">
        <f>IF(F593 &lt; IFERROR(VLOOKUP(B593, Master_Items!C:G, 5, FALSE), 0), "YES", "")</f>
        <v/>
      </c>
      <c r="K593">
        <f>C593+D593</f>
        <v/>
      </c>
    </row>
    <row r="594" ht="15.75" customHeight="1" s="14">
      <c r="B594" s="5" t="n"/>
      <c r="F594" s="5">
        <f>C594 + D594 - E594</f>
        <v/>
      </c>
      <c r="H594" s="5">
        <f>K594*G594</f>
        <v/>
      </c>
      <c r="I594" s="5">
        <f>IF(F594 &lt; IFERROR(VLOOKUP(B594, Master_Items!C:G, 5, FALSE), 0), "YES", "")</f>
        <v/>
      </c>
      <c r="K594">
        <f>C594+D594</f>
        <v/>
      </c>
    </row>
    <row r="595" ht="15.75" customHeight="1" s="14">
      <c r="B595" s="5" t="n"/>
      <c r="F595" s="5">
        <f>C595 + D595 - E595</f>
        <v/>
      </c>
      <c r="H595" s="5">
        <f>K595*G595</f>
        <v/>
      </c>
      <c r="I595" s="5">
        <f>IF(F595 &lt; IFERROR(VLOOKUP(B595, Master_Items!C:G, 5, FALSE), 0), "YES", "")</f>
        <v/>
      </c>
      <c r="K595">
        <f>C595+D595</f>
        <v/>
      </c>
    </row>
    <row r="596" ht="15.75" customHeight="1" s="14">
      <c r="B596" s="5" t="n"/>
      <c r="F596" s="5">
        <f>C596 + D596 - E596</f>
        <v/>
      </c>
      <c r="H596" s="5">
        <f>K596*G596</f>
        <v/>
      </c>
      <c r="I596" s="5">
        <f>IF(F596 &lt; IFERROR(VLOOKUP(B596, Master_Items!C:G, 5, FALSE), 0), "YES", "")</f>
        <v/>
      </c>
      <c r="K596">
        <f>C596+D596</f>
        <v/>
      </c>
    </row>
    <row r="597" ht="15.75" customHeight="1" s="14">
      <c r="B597" s="5" t="n"/>
      <c r="F597" s="5">
        <f>C597 + D597 - E597</f>
        <v/>
      </c>
      <c r="H597" s="5">
        <f>K597*G597</f>
        <v/>
      </c>
      <c r="I597" s="5">
        <f>IF(F597 &lt; IFERROR(VLOOKUP(B597, Master_Items!C:G, 5, FALSE), 0), "YES", "")</f>
        <v/>
      </c>
      <c r="K597">
        <f>C597+D597</f>
        <v/>
      </c>
    </row>
    <row r="598" ht="15.75" customHeight="1" s="14">
      <c r="B598" s="5" t="n"/>
      <c r="F598" s="5">
        <f>C598 + D598 - E598</f>
        <v/>
      </c>
      <c r="H598" s="5">
        <f>K598*G598</f>
        <v/>
      </c>
      <c r="I598" s="5">
        <f>IF(F598 &lt; IFERROR(VLOOKUP(B598, Master_Items!C:G, 5, FALSE), 0), "YES", "")</f>
        <v/>
      </c>
      <c r="K598">
        <f>C598+D598</f>
        <v/>
      </c>
    </row>
    <row r="599" ht="15.75" customHeight="1" s="14">
      <c r="B599" s="5" t="n"/>
      <c r="F599" s="5">
        <f>C599 + D599 - E599</f>
        <v/>
      </c>
      <c r="H599" s="5">
        <f>K599*G599</f>
        <v/>
      </c>
      <c r="I599" s="5">
        <f>IF(F599 &lt; IFERROR(VLOOKUP(B599, Master_Items!C:G, 5, FALSE), 0), "YES", "")</f>
        <v/>
      </c>
      <c r="K599">
        <f>C599+D599</f>
        <v/>
      </c>
    </row>
    <row r="600" ht="15.75" customHeight="1" s="14">
      <c r="B600" s="5" t="n"/>
      <c r="F600" s="5">
        <f>C600 + D600 - E600</f>
        <v/>
      </c>
      <c r="H600" s="5">
        <f>K600*G600</f>
        <v/>
      </c>
      <c r="I600" s="5">
        <f>IF(F600 &lt; IFERROR(VLOOKUP(B600, Master_Items!C:G, 5, FALSE), 0), "YES", "")</f>
        <v/>
      </c>
      <c r="K600">
        <f>C600+D600</f>
        <v/>
      </c>
    </row>
    <row r="601" ht="15.75" customHeight="1" s="14">
      <c r="B601" s="5" t="n"/>
      <c r="F601" s="5">
        <f>C601 + D601 - E601</f>
        <v/>
      </c>
      <c r="H601" s="5">
        <f>K601*G601</f>
        <v/>
      </c>
      <c r="I601" s="5">
        <f>IF(F601 &lt; IFERROR(VLOOKUP(B601, Master_Items!C:G, 5, FALSE), 0), "YES", "")</f>
        <v/>
      </c>
      <c r="K601">
        <f>C601+D601</f>
        <v/>
      </c>
    </row>
    <row r="602" ht="15.75" customHeight="1" s="14">
      <c r="B602" s="5" t="n"/>
      <c r="F602" s="5">
        <f>C602 + D602 - E602</f>
        <v/>
      </c>
      <c r="H602" s="5">
        <f>K602*G602</f>
        <v/>
      </c>
      <c r="I602" s="5">
        <f>IF(F602 &lt; IFERROR(VLOOKUP(B602, Master_Items!C:G, 5, FALSE), 0), "YES", "")</f>
        <v/>
      </c>
      <c r="K602">
        <f>C602+D602</f>
        <v/>
      </c>
    </row>
    <row r="603" ht="15.75" customHeight="1" s="14">
      <c r="B603" s="5" t="n"/>
      <c r="F603" s="5">
        <f>C603 + D603 - E603</f>
        <v/>
      </c>
      <c r="H603" s="5">
        <f>K603*G603</f>
        <v/>
      </c>
      <c r="I603" s="5">
        <f>IF(F603 &lt; IFERROR(VLOOKUP(B603, Master_Items!C:G, 5, FALSE), 0), "YES", "")</f>
        <v/>
      </c>
      <c r="K603">
        <f>C603+D603</f>
        <v/>
      </c>
    </row>
    <row r="604" ht="15.75" customHeight="1" s="14">
      <c r="B604" s="5" t="n"/>
      <c r="F604" s="5">
        <f>C604 + D604 - E604</f>
        <v/>
      </c>
      <c r="H604" s="5">
        <f>K604*G604</f>
        <v/>
      </c>
      <c r="I604" s="5">
        <f>IF(F604 &lt; IFERROR(VLOOKUP(B604, Master_Items!C:G, 5, FALSE), 0), "YES", "")</f>
        <v/>
      </c>
      <c r="K604">
        <f>C604+D604</f>
        <v/>
      </c>
    </row>
    <row r="605" ht="15.75" customHeight="1" s="14">
      <c r="B605" s="5" t="n"/>
      <c r="F605" s="5">
        <f>C605 + D605 - E605</f>
        <v/>
      </c>
      <c r="H605" s="5">
        <f>K605*G605</f>
        <v/>
      </c>
      <c r="I605" s="5">
        <f>IF(F605 &lt; IFERROR(VLOOKUP(B605, Master_Items!C:G, 5, FALSE), 0), "YES", "")</f>
        <v/>
      </c>
      <c r="K605">
        <f>C605+D605</f>
        <v/>
      </c>
    </row>
    <row r="606" ht="15.75" customHeight="1" s="14">
      <c r="B606" s="5" t="n"/>
      <c r="F606" s="5">
        <f>C606 + D606 - E606</f>
        <v/>
      </c>
      <c r="H606" s="5">
        <f>K606*G606</f>
        <v/>
      </c>
      <c r="I606" s="5">
        <f>IF(F606 &lt; IFERROR(VLOOKUP(B606, Master_Items!C:G, 5, FALSE), 0), "YES", "")</f>
        <v/>
      </c>
      <c r="K606">
        <f>C606+D606</f>
        <v/>
      </c>
    </row>
    <row r="607" ht="15.75" customHeight="1" s="14">
      <c r="B607" s="5" t="n"/>
      <c r="F607" s="5">
        <f>C607 + D607 - E607</f>
        <v/>
      </c>
      <c r="H607" s="5">
        <f>K607*G607</f>
        <v/>
      </c>
      <c r="I607" s="5">
        <f>IF(F607 &lt; IFERROR(VLOOKUP(B607, Master_Items!C:G, 5, FALSE), 0), "YES", "")</f>
        <v/>
      </c>
      <c r="K607">
        <f>C607+D607</f>
        <v/>
      </c>
    </row>
    <row r="608" ht="15.75" customHeight="1" s="14">
      <c r="B608" s="5" t="n"/>
      <c r="F608" s="5">
        <f>C608 + D608 - E608</f>
        <v/>
      </c>
      <c r="H608" s="5">
        <f>K608*G608</f>
        <v/>
      </c>
      <c r="I608" s="5">
        <f>IF(F608 &lt; IFERROR(VLOOKUP(B608, Master_Items!C:G, 5, FALSE), 0), "YES", "")</f>
        <v/>
      </c>
      <c r="K608">
        <f>C608+D608</f>
        <v/>
      </c>
    </row>
    <row r="609" ht="15.75" customHeight="1" s="14">
      <c r="B609" s="5" t="n"/>
      <c r="F609" s="5">
        <f>C609 + D609 - E609</f>
        <v/>
      </c>
      <c r="H609" s="5">
        <f>K609*G609</f>
        <v/>
      </c>
      <c r="I609" s="5">
        <f>IF(F609 &lt; IFERROR(VLOOKUP(B609, Master_Items!C:G, 5, FALSE), 0), "YES", "")</f>
        <v/>
      </c>
      <c r="K609">
        <f>C609+D609</f>
        <v/>
      </c>
    </row>
    <row r="610" ht="15.75" customHeight="1" s="14">
      <c r="B610" s="5" t="n"/>
      <c r="F610" s="5">
        <f>C610 + D610 - E610</f>
        <v/>
      </c>
      <c r="H610" s="5">
        <f>K610*G610</f>
        <v/>
      </c>
      <c r="I610" s="5">
        <f>IF(F610 &lt; IFERROR(VLOOKUP(B610, Master_Items!C:G, 5, FALSE), 0), "YES", "")</f>
        <v/>
      </c>
      <c r="K610">
        <f>C610+D610</f>
        <v/>
      </c>
    </row>
    <row r="611" ht="15.75" customHeight="1" s="14">
      <c r="B611" s="5" t="n"/>
      <c r="F611" s="5">
        <f>C611 + D611 - E611</f>
        <v/>
      </c>
      <c r="H611" s="5">
        <f>K611*G611</f>
        <v/>
      </c>
      <c r="I611" s="5">
        <f>IF(F611 &lt; IFERROR(VLOOKUP(B611, Master_Items!C:G, 5, FALSE), 0), "YES", "")</f>
        <v/>
      </c>
      <c r="K611">
        <f>C611+D611</f>
        <v/>
      </c>
    </row>
    <row r="612" ht="15.75" customHeight="1" s="14">
      <c r="B612" s="5" t="n"/>
      <c r="F612" s="5">
        <f>C612 + D612 - E612</f>
        <v/>
      </c>
      <c r="H612" s="5">
        <f>K612*G612</f>
        <v/>
      </c>
      <c r="I612" s="5">
        <f>IF(F612 &lt; IFERROR(VLOOKUP(B612, Master_Items!C:G, 5, FALSE), 0), "YES", "")</f>
        <v/>
      </c>
      <c r="K612">
        <f>C612+D612</f>
        <v/>
      </c>
    </row>
    <row r="613" ht="15.75" customHeight="1" s="14">
      <c r="B613" s="5" t="n"/>
      <c r="F613" s="5">
        <f>C613 + D613 - E613</f>
        <v/>
      </c>
      <c r="H613" s="5">
        <f>K613*G613</f>
        <v/>
      </c>
      <c r="I613" s="5">
        <f>IF(F613 &lt; IFERROR(VLOOKUP(B613, Master_Items!C:G, 5, FALSE), 0), "YES", "")</f>
        <v/>
      </c>
      <c r="K613">
        <f>C613+D613</f>
        <v/>
      </c>
    </row>
    <row r="614" ht="15.75" customHeight="1" s="14">
      <c r="B614" s="5" t="n"/>
      <c r="F614" s="5">
        <f>C614 + D614 - E614</f>
        <v/>
      </c>
      <c r="H614" s="5">
        <f>K614*G614</f>
        <v/>
      </c>
      <c r="I614" s="5">
        <f>IF(F614 &lt; IFERROR(VLOOKUP(B614, Master_Items!C:G, 5, FALSE), 0), "YES", "")</f>
        <v/>
      </c>
      <c r="K614">
        <f>C614+D614</f>
        <v/>
      </c>
    </row>
    <row r="615" ht="15.75" customHeight="1" s="14">
      <c r="B615" s="5" t="n"/>
      <c r="F615" s="5">
        <f>C615 + D615 - E615</f>
        <v/>
      </c>
      <c r="H615" s="5">
        <f>K615*G615</f>
        <v/>
      </c>
      <c r="I615" s="5">
        <f>IF(F615 &lt; IFERROR(VLOOKUP(B615, Master_Items!C:G, 5, FALSE), 0), "YES", "")</f>
        <v/>
      </c>
      <c r="K615">
        <f>C615+D615</f>
        <v/>
      </c>
    </row>
    <row r="616" ht="15.75" customHeight="1" s="14">
      <c r="B616" s="5" t="n"/>
      <c r="F616" s="5">
        <f>C616 + D616 - E616</f>
        <v/>
      </c>
      <c r="H616" s="5">
        <f>K616*G616</f>
        <v/>
      </c>
      <c r="I616" s="5">
        <f>IF(F616 &lt; IFERROR(VLOOKUP(B616, Master_Items!C:G, 5, FALSE), 0), "YES", "")</f>
        <v/>
      </c>
      <c r="K616">
        <f>C616+D616</f>
        <v/>
      </c>
    </row>
    <row r="617" ht="15.75" customHeight="1" s="14">
      <c r="B617" s="5" t="n"/>
      <c r="F617" s="5">
        <f>C617 + D617 - E617</f>
        <v/>
      </c>
      <c r="H617" s="5">
        <f>K617*G617</f>
        <v/>
      </c>
      <c r="I617" s="5">
        <f>IF(F617 &lt; IFERROR(VLOOKUP(B617, Master_Items!C:G, 5, FALSE), 0), "YES", "")</f>
        <v/>
      </c>
      <c r="K617">
        <f>C617+D617</f>
        <v/>
      </c>
    </row>
    <row r="618" ht="15.75" customHeight="1" s="14">
      <c r="B618" s="5" t="n"/>
      <c r="F618" s="5">
        <f>C618 + D618 - E618</f>
        <v/>
      </c>
      <c r="H618" s="5">
        <f>K618*G618</f>
        <v/>
      </c>
      <c r="I618" s="5">
        <f>IF(F618 &lt; IFERROR(VLOOKUP(B618, Master_Items!C:G, 5, FALSE), 0), "YES", "")</f>
        <v/>
      </c>
      <c r="K618">
        <f>C618+D618</f>
        <v/>
      </c>
    </row>
    <row r="619" ht="15.75" customHeight="1" s="14">
      <c r="B619" s="5" t="n"/>
      <c r="F619" s="5">
        <f>C619 + D619 - E619</f>
        <v/>
      </c>
      <c r="H619" s="5">
        <f>K619*G619</f>
        <v/>
      </c>
      <c r="I619" s="5">
        <f>IF(F619 &lt; IFERROR(VLOOKUP(B619, Master_Items!C:G, 5, FALSE), 0), "YES", "")</f>
        <v/>
      </c>
      <c r="K619">
        <f>C619+D619</f>
        <v/>
      </c>
    </row>
    <row r="620" ht="15.75" customHeight="1" s="14">
      <c r="B620" s="5" t="n"/>
      <c r="F620" s="5">
        <f>C620 + D620 - E620</f>
        <v/>
      </c>
      <c r="H620" s="5">
        <f>K620*G620</f>
        <v/>
      </c>
      <c r="I620" s="5">
        <f>IF(F620 &lt; IFERROR(VLOOKUP(B620, Master_Items!C:G, 5, FALSE), 0), "YES", "")</f>
        <v/>
      </c>
      <c r="K620">
        <f>C620+D620</f>
        <v/>
      </c>
    </row>
    <row r="621" ht="15.75" customHeight="1" s="14">
      <c r="B621" s="5" t="n"/>
      <c r="F621" s="5">
        <f>C621 + D621 - E621</f>
        <v/>
      </c>
      <c r="H621" s="5">
        <f>K621*G621</f>
        <v/>
      </c>
      <c r="I621" s="5">
        <f>IF(F621 &lt; IFERROR(VLOOKUP(B621, Master_Items!C:G, 5, FALSE), 0), "YES", "")</f>
        <v/>
      </c>
      <c r="K621">
        <f>C621+D621</f>
        <v/>
      </c>
    </row>
    <row r="622" ht="15.75" customHeight="1" s="14">
      <c r="B622" s="5" t="n"/>
      <c r="F622" s="5">
        <f>C622 + D622 - E622</f>
        <v/>
      </c>
      <c r="H622" s="5">
        <f>K622*G622</f>
        <v/>
      </c>
      <c r="I622" s="5">
        <f>IF(F622 &lt; IFERROR(VLOOKUP(B622, Master_Items!C:G, 5, FALSE), 0), "YES", "")</f>
        <v/>
      </c>
      <c r="K622">
        <f>C622+D622</f>
        <v/>
      </c>
    </row>
    <row r="623" ht="15.75" customHeight="1" s="14">
      <c r="B623" s="5" t="n"/>
      <c r="F623" s="5">
        <f>C623 + D623 - E623</f>
        <v/>
      </c>
      <c r="H623" s="5">
        <f>K623*G623</f>
        <v/>
      </c>
      <c r="I623" s="5">
        <f>IF(F623 &lt; IFERROR(VLOOKUP(B623, Master_Items!C:G, 5, FALSE), 0), "YES", "")</f>
        <v/>
      </c>
      <c r="K623">
        <f>C623+D623</f>
        <v/>
      </c>
    </row>
    <row r="624" ht="15.75" customHeight="1" s="14">
      <c r="B624" s="5" t="n"/>
      <c r="F624" s="5">
        <f>C624 + D624 - E624</f>
        <v/>
      </c>
      <c r="H624" s="5">
        <f>K624*G624</f>
        <v/>
      </c>
      <c r="I624" s="5">
        <f>IF(F624 &lt; IFERROR(VLOOKUP(B624, Master_Items!C:G, 5, FALSE), 0), "YES", "")</f>
        <v/>
      </c>
      <c r="K624">
        <f>C624+D624</f>
        <v/>
      </c>
    </row>
    <row r="625" ht="15.75" customHeight="1" s="14">
      <c r="B625" s="5" t="n"/>
      <c r="F625" s="5">
        <f>C625 + D625 - E625</f>
        <v/>
      </c>
      <c r="H625" s="5">
        <f>K625*G625</f>
        <v/>
      </c>
      <c r="I625" s="5">
        <f>IF(F625 &lt; IFERROR(VLOOKUP(B625, Master_Items!C:G, 5, FALSE), 0), "YES", "")</f>
        <v/>
      </c>
      <c r="K625">
        <f>C625+D625</f>
        <v/>
      </c>
    </row>
    <row r="626" ht="15.75" customHeight="1" s="14">
      <c r="B626" s="5" t="n"/>
      <c r="F626" s="5">
        <f>C626 + D626 - E626</f>
        <v/>
      </c>
      <c r="H626" s="5">
        <f>K626*G626</f>
        <v/>
      </c>
      <c r="I626" s="5">
        <f>IF(F626 &lt; IFERROR(VLOOKUP(B626, Master_Items!C:G, 5, FALSE), 0), "YES", "")</f>
        <v/>
      </c>
      <c r="K626">
        <f>C626+D626</f>
        <v/>
      </c>
    </row>
    <row r="627" ht="15.75" customHeight="1" s="14">
      <c r="B627" s="5" t="n"/>
      <c r="F627" s="5">
        <f>C627 + D627 - E627</f>
        <v/>
      </c>
      <c r="H627" s="5">
        <f>K627*G627</f>
        <v/>
      </c>
      <c r="I627" s="5">
        <f>IF(F627 &lt; IFERROR(VLOOKUP(B627, Master_Items!C:G, 5, FALSE), 0), "YES", "")</f>
        <v/>
      </c>
      <c r="K627">
        <f>C627+D627</f>
        <v/>
      </c>
    </row>
    <row r="628" ht="15.75" customHeight="1" s="14">
      <c r="B628" s="5" t="n"/>
      <c r="H628" s="5">
        <f>K628*G628</f>
        <v/>
      </c>
      <c r="I628" s="5">
        <f>IF(F628 &lt; IFERROR(VLOOKUP(B628, Master_Items!C:G, 5, FALSE), 0), "YES", "")</f>
        <v/>
      </c>
      <c r="K628">
        <f>C628+D628</f>
        <v/>
      </c>
    </row>
    <row r="629" ht="15.75" customHeight="1" s="14">
      <c r="B629" s="5" t="n"/>
      <c r="H629" s="5">
        <f>K629*G629</f>
        <v/>
      </c>
      <c r="I629" s="5">
        <f>IF(F629 &lt; IFERROR(VLOOKUP(B629, Master_Items!C:G, 5, FALSE), 0), "YES", "")</f>
        <v/>
      </c>
      <c r="K629">
        <f>C629+D629</f>
        <v/>
      </c>
    </row>
    <row r="630" ht="15.75" customHeight="1" s="14">
      <c r="B630" s="5" t="n"/>
      <c r="H630" s="5">
        <f>K630*G630</f>
        <v/>
      </c>
      <c r="I630" s="5">
        <f>IF(F630 &lt; IFERROR(VLOOKUP(B630, Master_Items!C:G, 5, FALSE), 0), "YES", "")</f>
        <v/>
      </c>
      <c r="K630">
        <f>C630+D630</f>
        <v/>
      </c>
    </row>
    <row r="631" ht="15.75" customHeight="1" s="14">
      <c r="B631" s="5" t="n"/>
      <c r="H631" s="5">
        <f>K631*G631</f>
        <v/>
      </c>
      <c r="I631" s="5">
        <f>IF(F631 &lt; IFERROR(VLOOKUP(B631, Master_Items!C:G, 5, FALSE), 0), "YES", "")</f>
        <v/>
      </c>
      <c r="K631">
        <f>C631+D631</f>
        <v/>
      </c>
    </row>
    <row r="632" ht="15.75" customHeight="1" s="14">
      <c r="B632" s="5" t="n"/>
      <c r="H632" s="5">
        <f>K632*G632</f>
        <v/>
      </c>
      <c r="I632" s="5">
        <f>IF(F632 &lt; IFERROR(VLOOKUP(B632, Master_Items!C:G, 5, FALSE), 0), "YES", "")</f>
        <v/>
      </c>
      <c r="K632">
        <f>C632+D632</f>
        <v/>
      </c>
    </row>
    <row r="633" ht="15.75" customHeight="1" s="14">
      <c r="B633" s="5" t="n"/>
      <c r="H633" s="5">
        <f>K633*G633</f>
        <v/>
      </c>
      <c r="I633" s="5">
        <f>IF(F633 &lt; IFERROR(VLOOKUP(B633, Master_Items!C:G, 5, FALSE), 0), "YES", "")</f>
        <v/>
      </c>
      <c r="K633">
        <f>C633+D633</f>
        <v/>
      </c>
    </row>
    <row r="634" ht="15.75" customHeight="1" s="14">
      <c r="B634" s="5" t="n"/>
      <c r="H634" s="5">
        <f>K634*G634</f>
        <v/>
      </c>
      <c r="I634" s="5">
        <f>IF(F634 &lt; IFERROR(VLOOKUP(B634, Master_Items!C:G, 5, FALSE), 0), "YES", "")</f>
        <v/>
      </c>
      <c r="K634">
        <f>C634+D634</f>
        <v/>
      </c>
    </row>
    <row r="635" ht="15.75" customHeight="1" s="14">
      <c r="B635" s="5" t="n"/>
      <c r="H635" s="5">
        <f>K635*G635</f>
        <v/>
      </c>
      <c r="I635" s="5">
        <f>IF(F635 &lt; IFERROR(VLOOKUP(B635, Master_Items!C:G, 5, FALSE), 0), "YES", "")</f>
        <v/>
      </c>
      <c r="K635">
        <f>C635+D635</f>
        <v/>
      </c>
    </row>
    <row r="636" ht="15.75" customHeight="1" s="14">
      <c r="B636" s="5" t="n"/>
      <c r="H636" s="5">
        <f>K636*G636</f>
        <v/>
      </c>
      <c r="I636" s="5">
        <f>IF(F636 &lt; IFERROR(VLOOKUP(B636, Master_Items!C:G, 5, FALSE), 0), "YES", "")</f>
        <v/>
      </c>
      <c r="K636">
        <f>C636+D636</f>
        <v/>
      </c>
    </row>
    <row r="637" ht="15.75" customHeight="1" s="14">
      <c r="B637" s="5" t="n"/>
      <c r="H637" s="5">
        <f>K637*G637</f>
        <v/>
      </c>
      <c r="I637" s="5">
        <f>IF(F637 &lt; IFERROR(VLOOKUP(B637, Master_Items!C:G, 5, FALSE), 0), "YES", "")</f>
        <v/>
      </c>
      <c r="K637">
        <f>C637+D637</f>
        <v/>
      </c>
    </row>
    <row r="638" ht="15.75" customHeight="1" s="14">
      <c r="B638" s="5" t="n"/>
      <c r="H638" s="5">
        <f>K638*G638</f>
        <v/>
      </c>
      <c r="I638" s="5">
        <f>IF(F638 &lt; IFERROR(VLOOKUP(B638, Master_Items!C:G, 5, FALSE), 0), "YES", "")</f>
        <v/>
      </c>
      <c r="K638">
        <f>C638+D638</f>
        <v/>
      </c>
    </row>
    <row r="639" ht="15.75" customHeight="1" s="14">
      <c r="B639" s="5" t="n"/>
      <c r="H639" s="5">
        <f>K639*G639</f>
        <v/>
      </c>
      <c r="I639" s="5">
        <f>IF(F639 &lt; IFERROR(VLOOKUP(B639, Master_Items!C:G, 5, FALSE), 0), "YES", "")</f>
        <v/>
      </c>
      <c r="K639">
        <f>C639+D639</f>
        <v/>
      </c>
    </row>
    <row r="640" ht="15.75" customHeight="1" s="14">
      <c r="B640" s="5" t="n"/>
      <c r="H640" s="5">
        <f>K640*G640</f>
        <v/>
      </c>
      <c r="I640" s="5">
        <f>IF(F640 &lt; IFERROR(VLOOKUP(B640, Master_Items!C:G, 5, FALSE), 0), "YES", "")</f>
        <v/>
      </c>
      <c r="K640">
        <f>C640+D640</f>
        <v/>
      </c>
    </row>
    <row r="641" ht="15.75" customHeight="1" s="14">
      <c r="B641" s="5" t="n"/>
      <c r="H641" s="5">
        <f>K641*G641</f>
        <v/>
      </c>
      <c r="I641" s="5">
        <f>IF(F641 &lt; IFERROR(VLOOKUP(B641, Master_Items!C:G, 5, FALSE), 0), "YES", "")</f>
        <v/>
      </c>
      <c r="K641">
        <f>C641+D641</f>
        <v/>
      </c>
    </row>
    <row r="642" ht="15.75" customHeight="1" s="14">
      <c r="B642" s="5" t="n"/>
      <c r="H642" s="5">
        <f>K642*G642</f>
        <v/>
      </c>
      <c r="I642" s="5">
        <f>IF(F642 &lt; IFERROR(VLOOKUP(B642, Master_Items!C:G, 5, FALSE), 0), "YES", "")</f>
        <v/>
      </c>
      <c r="K642">
        <f>C642+D642</f>
        <v/>
      </c>
    </row>
    <row r="643" ht="15.75" customHeight="1" s="14">
      <c r="B643" s="5" t="n"/>
      <c r="H643" s="5">
        <f>K643*G643</f>
        <v/>
      </c>
      <c r="I643" s="5">
        <f>IF(F643 &lt; IFERROR(VLOOKUP(B643, Master_Items!C:G, 5, FALSE), 0), "YES", "")</f>
        <v/>
      </c>
      <c r="K643">
        <f>C643+D643</f>
        <v/>
      </c>
    </row>
    <row r="644" ht="15.75" customHeight="1" s="14">
      <c r="B644" s="5" t="n"/>
      <c r="H644">
        <f>K644*G644</f>
        <v/>
      </c>
      <c r="I644" s="5">
        <f>IF(F644 &lt; IFERROR(VLOOKUP(B644, Master_Items!C:G, 5, FALSE), 0), "YES", "")</f>
        <v/>
      </c>
      <c r="K644">
        <f>C644+D644</f>
        <v/>
      </c>
    </row>
    <row r="645" ht="15.75" customHeight="1" s="14">
      <c r="B645" s="5" t="n"/>
      <c r="H645">
        <f>K645*G645</f>
        <v/>
      </c>
      <c r="I645" s="5">
        <f>IF(F645 &lt; IFERROR(VLOOKUP(B645, Master_Items!C:G, 5, FALSE), 0), "YES", "")</f>
        <v/>
      </c>
      <c r="K645">
        <f>C645+D645</f>
        <v/>
      </c>
    </row>
    <row r="646" ht="15.75" customHeight="1" s="14">
      <c r="B646" s="5" t="n"/>
      <c r="H646">
        <f>K646*G646</f>
        <v/>
      </c>
      <c r="I646" s="5">
        <f>IF(F646 &lt; IFERROR(VLOOKUP(B646, Master_Items!C:G, 5, FALSE), 0), "YES", "")</f>
        <v/>
      </c>
      <c r="K646">
        <f>C646+D646</f>
        <v/>
      </c>
    </row>
    <row r="647" ht="15.75" customHeight="1" s="14">
      <c r="B647" s="5" t="n"/>
      <c r="H647">
        <f>K647*G647</f>
        <v/>
      </c>
      <c r="I647" s="5">
        <f>IF(F647 &lt; IFERROR(VLOOKUP(B647, Master_Items!C:G, 5, FALSE), 0), "YES", "")</f>
        <v/>
      </c>
      <c r="K647">
        <f>C647+D647</f>
        <v/>
      </c>
    </row>
    <row r="648" ht="15.75" customHeight="1" s="14">
      <c r="B648" s="5" t="n"/>
      <c r="H648">
        <f>K648*G648</f>
        <v/>
      </c>
      <c r="I648" s="5">
        <f>IF(F648 &lt; IFERROR(VLOOKUP(B648, Master_Items!C:G, 5, FALSE), 0), "YES", "")</f>
        <v/>
      </c>
      <c r="K648">
        <f>C648+D648</f>
        <v/>
      </c>
    </row>
    <row r="649" ht="15.75" customHeight="1" s="14">
      <c r="B649" s="5" t="n"/>
      <c r="H649">
        <f>K649*G649</f>
        <v/>
      </c>
      <c r="I649" s="5">
        <f>IF(F649 &lt; IFERROR(VLOOKUP(B649, Master_Items!C:G, 5, FALSE), 0), "YES", "")</f>
        <v/>
      </c>
      <c r="K649">
        <f>C649+D649</f>
        <v/>
      </c>
    </row>
    <row r="650" ht="15.75" customHeight="1" s="14">
      <c r="B650" s="5" t="n"/>
      <c r="H650">
        <f>K650*G650</f>
        <v/>
      </c>
      <c r="I650" s="5">
        <f>IF(F650 &lt; IFERROR(VLOOKUP(B650, Master_Items!C:G, 5, FALSE), 0), "YES", "")</f>
        <v/>
      </c>
      <c r="K650">
        <f>C650+D650</f>
        <v/>
      </c>
    </row>
    <row r="651" ht="15.75" customHeight="1" s="14">
      <c r="B651" s="5" t="n"/>
      <c r="H651">
        <f>K651*G651</f>
        <v/>
      </c>
      <c r="I651" s="5">
        <f>IF(F651 &lt; IFERROR(VLOOKUP(B651, Master_Items!C:G, 5, FALSE), 0), "YES", "")</f>
        <v/>
      </c>
      <c r="K651">
        <f>C651+D651</f>
        <v/>
      </c>
    </row>
    <row r="652" ht="15.75" customHeight="1" s="14">
      <c r="B652" s="5" t="n"/>
      <c r="H652">
        <f>K652*G652</f>
        <v/>
      </c>
      <c r="I652" s="5">
        <f>IF(F652 &lt; IFERROR(VLOOKUP(B652, Master_Items!C:G, 5, FALSE), 0), "YES", "")</f>
        <v/>
      </c>
      <c r="K652">
        <f>C652+D652</f>
        <v/>
      </c>
    </row>
    <row r="653" ht="15.75" customHeight="1" s="14">
      <c r="B653" s="5" t="n"/>
      <c r="H653">
        <f>K653*G653</f>
        <v/>
      </c>
      <c r="I653" s="5">
        <f>IF(F653 &lt; IFERROR(VLOOKUP(B653, Master_Items!C:G, 5, FALSE), 0), "YES", "")</f>
        <v/>
      </c>
      <c r="K653">
        <f>C653+D653</f>
        <v/>
      </c>
    </row>
    <row r="654" ht="15.75" customHeight="1" s="14">
      <c r="B654" s="5" t="n"/>
      <c r="H654">
        <f>K654*G654</f>
        <v/>
      </c>
      <c r="I654" s="5">
        <f>IF(F654 &lt; IFERROR(VLOOKUP(B654, Master_Items!C:G, 5, FALSE), 0), "YES", "")</f>
        <v/>
      </c>
      <c r="K654">
        <f>C654+D654</f>
        <v/>
      </c>
    </row>
    <row r="655" ht="15.75" customHeight="1" s="14">
      <c r="B655" s="5" t="n"/>
      <c r="H655">
        <f>K655*G655</f>
        <v/>
      </c>
      <c r="K655">
        <f>C655+D655</f>
        <v/>
      </c>
    </row>
    <row r="656" ht="15.75" customHeight="1" s="14">
      <c r="B656" s="5" t="n"/>
      <c r="H656">
        <f>K656*G656</f>
        <v/>
      </c>
      <c r="K656">
        <f>C656+D656</f>
        <v/>
      </c>
    </row>
    <row r="657" ht="15.75" customHeight="1" s="14">
      <c r="B657" s="5" t="n"/>
      <c r="H657">
        <f>K657*G657</f>
        <v/>
      </c>
      <c r="K657">
        <f>C657+D657</f>
        <v/>
      </c>
    </row>
    <row r="658" ht="15.75" customHeight="1" s="14">
      <c r="B658" s="5" t="n"/>
      <c r="H658">
        <f>K658*G658</f>
        <v/>
      </c>
      <c r="K658">
        <f>C658+D658</f>
        <v/>
      </c>
    </row>
    <row r="659" ht="15.75" customHeight="1" s="14">
      <c r="B659" s="5" t="n"/>
      <c r="H659">
        <f>K659*G659</f>
        <v/>
      </c>
      <c r="K659">
        <f>C659+D659</f>
        <v/>
      </c>
    </row>
    <row r="660" ht="15.75" customHeight="1" s="14">
      <c r="B660" s="5" t="n"/>
      <c r="H660">
        <f>K660*G660</f>
        <v/>
      </c>
      <c r="K660">
        <f>C660+D660</f>
        <v/>
      </c>
    </row>
    <row r="661" ht="15.75" customHeight="1" s="14">
      <c r="B661" s="5" t="n"/>
      <c r="H661">
        <f>K661*G661</f>
        <v/>
      </c>
      <c r="K661">
        <f>C661+D661</f>
        <v/>
      </c>
    </row>
    <row r="662" ht="15.75" customHeight="1" s="14">
      <c r="B662" s="5" t="n"/>
      <c r="H662">
        <f>K662*G662</f>
        <v/>
      </c>
      <c r="K662">
        <f>C662+D662</f>
        <v/>
      </c>
    </row>
    <row r="663" ht="15.75" customHeight="1" s="14">
      <c r="B663" s="5" t="n"/>
      <c r="H663">
        <f>K663*G663</f>
        <v/>
      </c>
      <c r="K663">
        <f>C663+D663</f>
        <v/>
      </c>
    </row>
    <row r="664" ht="15.75" customHeight="1" s="14">
      <c r="B664" s="5" t="n"/>
      <c r="H664">
        <f>K664*G664</f>
        <v/>
      </c>
      <c r="K664">
        <f>C664+D664</f>
        <v/>
      </c>
    </row>
    <row r="665" ht="15.75" customHeight="1" s="14">
      <c r="B665" s="5" t="n"/>
      <c r="H665">
        <f>K665*G665</f>
        <v/>
      </c>
      <c r="K665">
        <f>C665+D665</f>
        <v/>
      </c>
    </row>
    <row r="666" ht="15.75" customHeight="1" s="14">
      <c r="B666" s="5" t="n"/>
      <c r="H666">
        <f>K666*G666</f>
        <v/>
      </c>
      <c r="K666">
        <f>C666+D666</f>
        <v/>
      </c>
    </row>
    <row r="667" ht="15.75" customHeight="1" s="14">
      <c r="B667" s="5" t="n"/>
      <c r="H667">
        <f>K667*G667</f>
        <v/>
      </c>
      <c r="K667">
        <f>C667+D667</f>
        <v/>
      </c>
    </row>
    <row r="668" ht="15.75" customHeight="1" s="14">
      <c r="B668" s="5" t="n"/>
      <c r="H668">
        <f>K668*G668</f>
        <v/>
      </c>
      <c r="K668">
        <f>C668+D668</f>
        <v/>
      </c>
    </row>
    <row r="669" ht="15.75" customHeight="1" s="14">
      <c r="B669" s="5" t="n"/>
      <c r="H669">
        <f>K669*G669</f>
        <v/>
      </c>
      <c r="K669">
        <f>C669+D669</f>
        <v/>
      </c>
    </row>
    <row r="670" ht="15.75" customHeight="1" s="14">
      <c r="B670" s="5" t="n"/>
      <c r="H670">
        <f>K670*G670</f>
        <v/>
      </c>
      <c r="K670">
        <f>C670+D670</f>
        <v/>
      </c>
    </row>
    <row r="671" ht="15.75" customHeight="1" s="14">
      <c r="B671" s="5" t="n"/>
      <c r="H671">
        <f>K671*G671</f>
        <v/>
      </c>
      <c r="K671">
        <f>C671+D671</f>
        <v/>
      </c>
    </row>
    <row r="672" ht="15.75" customHeight="1" s="14">
      <c r="B672" s="5" t="n"/>
      <c r="H672">
        <f>K672*G672</f>
        <v/>
      </c>
      <c r="K672">
        <f>C672+D672</f>
        <v/>
      </c>
    </row>
    <row r="673" ht="15.75" customHeight="1" s="14">
      <c r="B673" s="5" t="n"/>
      <c r="H673">
        <f>K673*G673</f>
        <v/>
      </c>
      <c r="K673">
        <f>C673+D673</f>
        <v/>
      </c>
    </row>
    <row r="674" ht="15.75" customHeight="1" s="14">
      <c r="B674" s="5" t="n"/>
      <c r="H674">
        <f>K674*G674</f>
        <v/>
      </c>
      <c r="K674">
        <f>C674+D674</f>
        <v/>
      </c>
    </row>
    <row r="675" ht="15.75" customHeight="1" s="14">
      <c r="B675" s="5" t="n"/>
      <c r="H675">
        <f>K675*G675</f>
        <v/>
      </c>
      <c r="K675">
        <f>C675+D675</f>
        <v/>
      </c>
    </row>
    <row r="676" ht="15.75" customHeight="1" s="14">
      <c r="B676" s="5" t="n"/>
      <c r="H676">
        <f>K676*G676</f>
        <v/>
      </c>
      <c r="K676">
        <f>C676+D676</f>
        <v/>
      </c>
    </row>
    <row r="677" ht="15.75" customHeight="1" s="14">
      <c r="B677" s="5" t="n"/>
      <c r="H677">
        <f>K677*G677</f>
        <v/>
      </c>
      <c r="K677">
        <f>C677+D677</f>
        <v/>
      </c>
    </row>
    <row r="678" ht="15.75" customHeight="1" s="14">
      <c r="B678" s="5" t="n"/>
      <c r="H678">
        <f>K678*G678</f>
        <v/>
      </c>
      <c r="K678">
        <f>C678+D678</f>
        <v/>
      </c>
    </row>
    <row r="679" ht="15.75" customHeight="1" s="14">
      <c r="B679" s="5" t="n"/>
      <c r="H679">
        <f>K679*G679</f>
        <v/>
      </c>
      <c r="K679">
        <f>C679+D679</f>
        <v/>
      </c>
    </row>
    <row r="680" ht="15.75" customHeight="1" s="14">
      <c r="B680" s="5" t="n"/>
      <c r="H680">
        <f>K680*G680</f>
        <v/>
      </c>
      <c r="K680">
        <f>C680+D680</f>
        <v/>
      </c>
    </row>
    <row r="681" ht="15.75" customHeight="1" s="14">
      <c r="B681" s="5" t="n"/>
      <c r="H681">
        <f>K681*G681</f>
        <v/>
      </c>
      <c r="K681">
        <f>C681+D681</f>
        <v/>
      </c>
    </row>
    <row r="682" ht="15.75" customHeight="1" s="14">
      <c r="B682" s="5" t="n"/>
      <c r="H682">
        <f>K682*G682</f>
        <v/>
      </c>
      <c r="K682">
        <f>C682+D682</f>
        <v/>
      </c>
    </row>
    <row r="683" ht="15.75" customHeight="1" s="14">
      <c r="B683" s="5" t="n"/>
      <c r="H683">
        <f>K683*G683</f>
        <v/>
      </c>
      <c r="K683">
        <f>C683+D683</f>
        <v/>
      </c>
    </row>
    <row r="684" ht="15.75" customHeight="1" s="14">
      <c r="B684" s="5" t="n"/>
      <c r="H684">
        <f>K684*G684</f>
        <v/>
      </c>
      <c r="K684">
        <f>C684+D684</f>
        <v/>
      </c>
    </row>
    <row r="685" ht="15.75" customHeight="1" s="14">
      <c r="B685" s="5" t="n"/>
      <c r="H685">
        <f>K685*G685</f>
        <v/>
      </c>
      <c r="K685">
        <f>C685+D685</f>
        <v/>
      </c>
    </row>
    <row r="686" ht="15.75" customHeight="1" s="14">
      <c r="B686" s="5" t="n"/>
      <c r="H686">
        <f>K686*G686</f>
        <v/>
      </c>
      <c r="K686">
        <f>C686+D686</f>
        <v/>
      </c>
    </row>
    <row r="687" ht="15.75" customHeight="1" s="14">
      <c r="B687" s="5" t="n"/>
      <c r="H687">
        <f>K687*G687</f>
        <v/>
      </c>
      <c r="K687">
        <f>C687+D687</f>
        <v/>
      </c>
    </row>
    <row r="688" ht="15.75" customHeight="1" s="14">
      <c r="B688" s="5" t="n"/>
      <c r="H688">
        <f>K688*G688</f>
        <v/>
      </c>
      <c r="K688">
        <f>C688+D688</f>
        <v/>
      </c>
    </row>
    <row r="689" ht="15.75" customHeight="1" s="14">
      <c r="B689" s="5" t="n"/>
      <c r="H689">
        <f>K689*G689</f>
        <v/>
      </c>
      <c r="K689">
        <f>C689+D689</f>
        <v/>
      </c>
    </row>
    <row r="690" ht="15.75" customHeight="1" s="14">
      <c r="B690" s="5" t="n"/>
      <c r="H690">
        <f>K690*G690</f>
        <v/>
      </c>
      <c r="K690">
        <f>C690+D690</f>
        <v/>
      </c>
    </row>
    <row r="691" ht="15.75" customHeight="1" s="14">
      <c r="B691" s="5" t="n"/>
      <c r="H691">
        <f>K691*G691</f>
        <v/>
      </c>
      <c r="K691">
        <f>C691+D691</f>
        <v/>
      </c>
    </row>
    <row r="692" ht="15.75" customHeight="1" s="14">
      <c r="B692" s="5" t="n"/>
      <c r="H692">
        <f>K692*G692</f>
        <v/>
      </c>
      <c r="K692">
        <f>C692+D692</f>
        <v/>
      </c>
    </row>
    <row r="693" ht="15.75" customHeight="1" s="14">
      <c r="B693" s="5" t="n"/>
      <c r="H693">
        <f>K693*G693</f>
        <v/>
      </c>
      <c r="K693">
        <f>C693+D693</f>
        <v/>
      </c>
    </row>
    <row r="694" ht="15.75" customHeight="1" s="14">
      <c r="B694" s="5" t="n"/>
      <c r="H694">
        <f>K694*G694</f>
        <v/>
      </c>
      <c r="K694">
        <f>C694+D694</f>
        <v/>
      </c>
    </row>
    <row r="695" ht="15.75" customHeight="1" s="14">
      <c r="B695" s="5" t="n"/>
      <c r="H695">
        <f>K695*G695</f>
        <v/>
      </c>
      <c r="K695">
        <f>C695+D695</f>
        <v/>
      </c>
    </row>
    <row r="696" ht="15.75" customHeight="1" s="14">
      <c r="B696" s="5" t="n"/>
      <c r="H696">
        <f>K696*G696</f>
        <v/>
      </c>
      <c r="K696">
        <f>C696+D696</f>
        <v/>
      </c>
    </row>
    <row r="697" ht="15.75" customHeight="1" s="14">
      <c r="B697" s="5" t="n"/>
      <c r="H697">
        <f>K697*G697</f>
        <v/>
      </c>
      <c r="K697">
        <f>C697+D697</f>
        <v/>
      </c>
    </row>
    <row r="698" ht="15.75" customHeight="1" s="14">
      <c r="B698" s="5" t="n"/>
      <c r="H698">
        <f>K698*G698</f>
        <v/>
      </c>
      <c r="K698">
        <f>C698+D698</f>
        <v/>
      </c>
    </row>
    <row r="699" ht="15.75" customHeight="1" s="14">
      <c r="B699" s="5" t="n"/>
      <c r="H699">
        <f>K699*G699</f>
        <v/>
      </c>
      <c r="K699">
        <f>C699+D699</f>
        <v/>
      </c>
    </row>
    <row r="700" ht="15.75" customHeight="1" s="14">
      <c r="B700" s="5" t="n"/>
      <c r="H700">
        <f>K700*G700</f>
        <v/>
      </c>
      <c r="K700">
        <f>C700+D700</f>
        <v/>
      </c>
    </row>
    <row r="701" ht="15.75" customHeight="1" s="14">
      <c r="B701" s="5" t="n"/>
      <c r="H701">
        <f>K701*G701</f>
        <v/>
      </c>
      <c r="K701">
        <f>C701+D701</f>
        <v/>
      </c>
    </row>
    <row r="702" ht="15.75" customHeight="1" s="14">
      <c r="B702" s="5" t="n"/>
      <c r="H702">
        <f>K702*G702</f>
        <v/>
      </c>
      <c r="K702">
        <f>C702+D702</f>
        <v/>
      </c>
    </row>
    <row r="703" ht="15.75" customHeight="1" s="14">
      <c r="B703" s="5" t="n"/>
      <c r="H703">
        <f>K703*G703</f>
        <v/>
      </c>
      <c r="K703">
        <f>C703+D703</f>
        <v/>
      </c>
    </row>
    <row r="704" ht="15.75" customHeight="1" s="14">
      <c r="B704" s="5" t="n"/>
      <c r="H704">
        <f>K704*G704</f>
        <v/>
      </c>
      <c r="K704">
        <f>C704+D704</f>
        <v/>
      </c>
    </row>
    <row r="705" ht="15.75" customHeight="1" s="14">
      <c r="B705" s="5" t="n"/>
      <c r="H705">
        <f>K705*G705</f>
        <v/>
      </c>
      <c r="K705">
        <f>C705+D705</f>
        <v/>
      </c>
    </row>
    <row r="706" ht="15.75" customHeight="1" s="14">
      <c r="B706" s="5" t="n"/>
      <c r="H706">
        <f>K706*G706</f>
        <v/>
      </c>
      <c r="K706">
        <f>C706+D706</f>
        <v/>
      </c>
    </row>
    <row r="707" ht="15.75" customHeight="1" s="14">
      <c r="B707" s="5" t="n"/>
      <c r="H707">
        <f>K707*G707</f>
        <v/>
      </c>
      <c r="K707">
        <f>C707+D707</f>
        <v/>
      </c>
    </row>
    <row r="708" ht="15.75" customHeight="1" s="14">
      <c r="B708" s="5" t="n"/>
      <c r="H708">
        <f>K708*G708</f>
        <v/>
      </c>
      <c r="K708">
        <f>C708+D708</f>
        <v/>
      </c>
    </row>
    <row r="709" ht="15.75" customHeight="1" s="14">
      <c r="B709" s="5" t="n"/>
      <c r="H709">
        <f>K709*G709</f>
        <v/>
      </c>
      <c r="K709">
        <f>C709+D709</f>
        <v/>
      </c>
    </row>
    <row r="710" ht="15.75" customHeight="1" s="14">
      <c r="B710" s="5" t="n"/>
      <c r="H710">
        <f>K710*G710</f>
        <v/>
      </c>
      <c r="K710">
        <f>C710+D710</f>
        <v/>
      </c>
    </row>
    <row r="711" ht="15.75" customHeight="1" s="14">
      <c r="B711" s="5" t="n"/>
      <c r="H711">
        <f>K711*G711</f>
        <v/>
      </c>
      <c r="K711">
        <f>C711+D711</f>
        <v/>
      </c>
    </row>
    <row r="712" ht="15.75" customHeight="1" s="14">
      <c r="B712" s="5" t="n"/>
      <c r="H712">
        <f>K712*G712</f>
        <v/>
      </c>
      <c r="K712">
        <f>C712+D712</f>
        <v/>
      </c>
    </row>
    <row r="713" ht="15.75" customHeight="1" s="14">
      <c r="B713" s="5" t="n"/>
      <c r="H713">
        <f>K713*G713</f>
        <v/>
      </c>
      <c r="K713">
        <f>C713+D713</f>
        <v/>
      </c>
    </row>
    <row r="714" ht="15.75" customHeight="1" s="14">
      <c r="B714" s="5" t="n"/>
      <c r="H714">
        <f>K714*G714</f>
        <v/>
      </c>
      <c r="K714">
        <f>C714+D714</f>
        <v/>
      </c>
    </row>
    <row r="715" ht="15.75" customHeight="1" s="14">
      <c r="B715" s="5" t="n"/>
      <c r="H715">
        <f>K715*G715</f>
        <v/>
      </c>
      <c r="K715">
        <f>C715+D715</f>
        <v/>
      </c>
    </row>
    <row r="716" ht="15.75" customHeight="1" s="14">
      <c r="B716" s="5" t="n"/>
      <c r="H716">
        <f>K716*G716</f>
        <v/>
      </c>
      <c r="K716">
        <f>C716+D716</f>
        <v/>
      </c>
    </row>
    <row r="717" ht="15.75" customHeight="1" s="14">
      <c r="B717" s="5" t="n"/>
      <c r="H717">
        <f>K717*G717</f>
        <v/>
      </c>
      <c r="K717">
        <f>C717+D717</f>
        <v/>
      </c>
    </row>
    <row r="718" ht="15.75" customHeight="1" s="14">
      <c r="B718" s="5" t="n"/>
      <c r="H718">
        <f>K718*G718</f>
        <v/>
      </c>
      <c r="K718">
        <f>C718+D718</f>
        <v/>
      </c>
    </row>
    <row r="719" ht="15.75" customHeight="1" s="14">
      <c r="B719" s="5" t="n"/>
      <c r="H719">
        <f>K719*G719</f>
        <v/>
      </c>
      <c r="K719">
        <f>C719+D719</f>
        <v/>
      </c>
    </row>
    <row r="720" ht="15.75" customHeight="1" s="14">
      <c r="B720" s="5" t="n"/>
      <c r="H720">
        <f>K720*G720</f>
        <v/>
      </c>
      <c r="K720">
        <f>C720+D720</f>
        <v/>
      </c>
    </row>
    <row r="721" ht="15.75" customHeight="1" s="14">
      <c r="B721" s="5" t="n"/>
      <c r="H721">
        <f>K721*G721</f>
        <v/>
      </c>
      <c r="K721">
        <f>C721+D721</f>
        <v/>
      </c>
    </row>
    <row r="722" ht="15.75" customHeight="1" s="14">
      <c r="B722" s="5" t="n"/>
      <c r="H722">
        <f>K722*G722</f>
        <v/>
      </c>
      <c r="K722">
        <f>C722+D722</f>
        <v/>
      </c>
    </row>
    <row r="723" ht="15.75" customHeight="1" s="14">
      <c r="B723" s="5" t="n"/>
      <c r="H723">
        <f>K723*G723</f>
        <v/>
      </c>
      <c r="K723">
        <f>C723+D723</f>
        <v/>
      </c>
    </row>
    <row r="724" ht="15.75" customHeight="1" s="14">
      <c r="B724" s="5" t="n"/>
      <c r="H724">
        <f>K724*G724</f>
        <v/>
      </c>
      <c r="K724">
        <f>C724+D724</f>
        <v/>
      </c>
    </row>
    <row r="725" ht="15.75" customHeight="1" s="14">
      <c r="B725" s="5" t="n"/>
      <c r="H725">
        <f>K725*G725</f>
        <v/>
      </c>
      <c r="K725">
        <f>C725+D725</f>
        <v/>
      </c>
    </row>
    <row r="726" ht="15.75" customHeight="1" s="14">
      <c r="B726" s="5" t="n"/>
      <c r="H726">
        <f>K726*G726</f>
        <v/>
      </c>
      <c r="K726">
        <f>C726+D726</f>
        <v/>
      </c>
    </row>
    <row r="727" ht="15.75" customHeight="1" s="14">
      <c r="B727" s="5" t="n"/>
      <c r="H727">
        <f>K727*G727</f>
        <v/>
      </c>
      <c r="K727">
        <f>C727+D727</f>
        <v/>
      </c>
    </row>
    <row r="728" ht="15.75" customHeight="1" s="14">
      <c r="B728" s="5" t="n"/>
      <c r="H728">
        <f>K728*G728</f>
        <v/>
      </c>
      <c r="K728">
        <f>C728+D728</f>
        <v/>
      </c>
    </row>
    <row r="729" ht="15.75" customHeight="1" s="14">
      <c r="B729" s="5" t="n"/>
      <c r="H729">
        <f>K729*G729</f>
        <v/>
      </c>
      <c r="K729">
        <f>C729+D729</f>
        <v/>
      </c>
    </row>
    <row r="730" ht="15.75" customHeight="1" s="14">
      <c r="B730" s="5" t="n"/>
      <c r="H730">
        <f>K730*G730</f>
        <v/>
      </c>
      <c r="K730">
        <f>C730+D730</f>
        <v/>
      </c>
    </row>
    <row r="731" ht="15.75" customHeight="1" s="14">
      <c r="B731" s="5" t="n"/>
      <c r="H731">
        <f>K731*G731</f>
        <v/>
      </c>
      <c r="K731">
        <f>C731+D731</f>
        <v/>
      </c>
    </row>
    <row r="732" ht="15.75" customHeight="1" s="14">
      <c r="B732" s="5" t="n"/>
      <c r="H732">
        <f>K732*G732</f>
        <v/>
      </c>
      <c r="K732">
        <f>C732+D732</f>
        <v/>
      </c>
    </row>
    <row r="733" ht="15.75" customHeight="1" s="14">
      <c r="B733" s="5" t="n"/>
      <c r="H733">
        <f>K733*G733</f>
        <v/>
      </c>
      <c r="K733">
        <f>C733+D733</f>
        <v/>
      </c>
    </row>
    <row r="734" ht="15.75" customHeight="1" s="14">
      <c r="B734" s="5" t="n"/>
      <c r="H734">
        <f>K734*G734</f>
        <v/>
      </c>
      <c r="K734">
        <f>C734+D734</f>
        <v/>
      </c>
    </row>
    <row r="735" ht="15.75" customHeight="1" s="14">
      <c r="B735" s="5" t="n"/>
      <c r="H735">
        <f>K735*G735</f>
        <v/>
      </c>
      <c r="K735">
        <f>C735+D735</f>
        <v/>
      </c>
    </row>
    <row r="736" ht="15.75" customHeight="1" s="14">
      <c r="B736" s="5" t="n"/>
      <c r="H736">
        <f>K736*G736</f>
        <v/>
      </c>
      <c r="K736">
        <f>C736+D736</f>
        <v/>
      </c>
    </row>
    <row r="737" ht="15.75" customHeight="1" s="14">
      <c r="B737" s="5" t="n"/>
      <c r="H737">
        <f>K737*G737</f>
        <v/>
      </c>
      <c r="K737">
        <f>C737+D737</f>
        <v/>
      </c>
    </row>
    <row r="738" ht="15.75" customHeight="1" s="14">
      <c r="B738" s="5" t="n"/>
      <c r="H738">
        <f>K738*G738</f>
        <v/>
      </c>
      <c r="K738">
        <f>C738+D738</f>
        <v/>
      </c>
    </row>
    <row r="739" ht="15.75" customHeight="1" s="14">
      <c r="B739" s="5" t="n"/>
      <c r="H739">
        <f>K739*G739</f>
        <v/>
      </c>
      <c r="K739">
        <f>C739+D739</f>
        <v/>
      </c>
    </row>
    <row r="740" ht="15.75" customHeight="1" s="14">
      <c r="B740" s="5" t="n"/>
      <c r="H740">
        <f>K740*G740</f>
        <v/>
      </c>
      <c r="K740">
        <f>C740+D740</f>
        <v/>
      </c>
    </row>
    <row r="741" ht="15.75" customHeight="1" s="14">
      <c r="B741" s="5" t="n"/>
      <c r="H741">
        <f>K741*G741</f>
        <v/>
      </c>
      <c r="K741">
        <f>C741+D741</f>
        <v/>
      </c>
    </row>
    <row r="742" ht="15.75" customHeight="1" s="14">
      <c r="B742" s="5" t="n"/>
      <c r="H742">
        <f>K742*G742</f>
        <v/>
      </c>
      <c r="K742">
        <f>C742+D742</f>
        <v/>
      </c>
    </row>
    <row r="743" ht="15.75" customHeight="1" s="14">
      <c r="B743" s="5" t="n"/>
      <c r="H743">
        <f>K743*G743</f>
        <v/>
      </c>
      <c r="K743">
        <f>C743+D743</f>
        <v/>
      </c>
    </row>
    <row r="744" ht="15.75" customHeight="1" s="14">
      <c r="B744" s="5" t="n"/>
      <c r="H744">
        <f>K744*G744</f>
        <v/>
      </c>
      <c r="K744">
        <f>C744+D744</f>
        <v/>
      </c>
    </row>
    <row r="745" ht="15.75" customHeight="1" s="14">
      <c r="B745" s="5" t="n"/>
      <c r="H745">
        <f>K745*G745</f>
        <v/>
      </c>
      <c r="K745">
        <f>C745+D745</f>
        <v/>
      </c>
    </row>
    <row r="746" ht="15.75" customHeight="1" s="14">
      <c r="B746" s="5" t="n"/>
      <c r="H746">
        <f>K746*G746</f>
        <v/>
      </c>
      <c r="K746">
        <f>C746+D746</f>
        <v/>
      </c>
    </row>
    <row r="747" ht="15.75" customHeight="1" s="14">
      <c r="B747" s="5" t="n"/>
      <c r="H747">
        <f>K747*G747</f>
        <v/>
      </c>
      <c r="K747">
        <f>C747+D747</f>
        <v/>
      </c>
    </row>
    <row r="748" ht="15.75" customHeight="1" s="14">
      <c r="B748" s="5" t="n"/>
      <c r="H748">
        <f>K748*G748</f>
        <v/>
      </c>
      <c r="K748">
        <f>C748+D748</f>
        <v/>
      </c>
    </row>
    <row r="749" ht="15.75" customHeight="1" s="14">
      <c r="B749" s="5" t="n"/>
      <c r="H749">
        <f>K749*G749</f>
        <v/>
      </c>
      <c r="K749">
        <f>C749+D749</f>
        <v/>
      </c>
    </row>
    <row r="750" ht="15.75" customHeight="1" s="14">
      <c r="B750" s="5" t="n"/>
      <c r="H750">
        <f>K750*G750</f>
        <v/>
      </c>
      <c r="K750">
        <f>C750+D750</f>
        <v/>
      </c>
    </row>
    <row r="751" ht="15.75" customHeight="1" s="14">
      <c r="B751" s="5" t="n"/>
      <c r="H751">
        <f>K751*G751</f>
        <v/>
      </c>
      <c r="K751">
        <f>C751+D751</f>
        <v/>
      </c>
    </row>
    <row r="752" ht="15.75" customHeight="1" s="14">
      <c r="B752" s="5" t="n"/>
      <c r="H752">
        <f>K752*G752</f>
        <v/>
      </c>
      <c r="K752">
        <f>C752+D752</f>
        <v/>
      </c>
    </row>
    <row r="753" ht="15.75" customHeight="1" s="14">
      <c r="B753" s="5" t="n"/>
      <c r="H753">
        <f>K753*G753</f>
        <v/>
      </c>
      <c r="K753">
        <f>C753+D753</f>
        <v/>
      </c>
    </row>
    <row r="754" ht="15.75" customHeight="1" s="14">
      <c r="B754" s="5" t="n"/>
      <c r="H754">
        <f>K754*G754</f>
        <v/>
      </c>
      <c r="K754">
        <f>C754+D754</f>
        <v/>
      </c>
    </row>
    <row r="755" ht="15.75" customHeight="1" s="14">
      <c r="B755" s="5" t="n"/>
      <c r="H755">
        <f>K755*G755</f>
        <v/>
      </c>
      <c r="K755">
        <f>C755+D755</f>
        <v/>
      </c>
    </row>
    <row r="756" ht="15.75" customHeight="1" s="14">
      <c r="B756" s="5" t="n"/>
      <c r="H756">
        <f>K756*G756</f>
        <v/>
      </c>
      <c r="K756">
        <f>C756+D756</f>
        <v/>
      </c>
    </row>
    <row r="757" ht="15.75" customHeight="1" s="14">
      <c r="B757" s="5" t="n"/>
      <c r="H757">
        <f>K757*G757</f>
        <v/>
      </c>
      <c r="K757">
        <f>C757+D757</f>
        <v/>
      </c>
    </row>
    <row r="758" ht="15.75" customHeight="1" s="14">
      <c r="B758" s="5" t="n"/>
      <c r="H758">
        <f>K758*G758</f>
        <v/>
      </c>
      <c r="K758">
        <f>C758+D758</f>
        <v/>
      </c>
    </row>
    <row r="759" ht="15.75" customHeight="1" s="14">
      <c r="B759" s="5" t="n"/>
      <c r="H759">
        <f>K759*G759</f>
        <v/>
      </c>
      <c r="K759">
        <f>C759+D759</f>
        <v/>
      </c>
    </row>
    <row r="760" ht="15.75" customHeight="1" s="14">
      <c r="B760" s="5" t="n"/>
      <c r="H760">
        <f>K760*G760</f>
        <v/>
      </c>
      <c r="K760">
        <f>C760+D760</f>
        <v/>
      </c>
    </row>
    <row r="761" ht="15.75" customHeight="1" s="14">
      <c r="B761" s="5" t="n"/>
      <c r="H761">
        <f>K761*G761</f>
        <v/>
      </c>
      <c r="K761">
        <f>C761+D761</f>
        <v/>
      </c>
    </row>
    <row r="762" ht="15.75" customHeight="1" s="14">
      <c r="B762" s="5" t="n"/>
      <c r="H762">
        <f>K762*G762</f>
        <v/>
      </c>
      <c r="K762">
        <f>C762+D762</f>
        <v/>
      </c>
    </row>
    <row r="763" ht="15.75" customHeight="1" s="14">
      <c r="B763" s="5" t="n"/>
      <c r="H763">
        <f>K763*G763</f>
        <v/>
      </c>
      <c r="K763">
        <f>C763+D763</f>
        <v/>
      </c>
    </row>
    <row r="764" ht="15.75" customHeight="1" s="14">
      <c r="B764" s="5" t="n"/>
      <c r="H764">
        <f>K764*G764</f>
        <v/>
      </c>
      <c r="K764">
        <f>C764+D764</f>
        <v/>
      </c>
    </row>
    <row r="765" ht="15.75" customHeight="1" s="14">
      <c r="B765" s="5" t="n"/>
      <c r="H765">
        <f>K765*G765</f>
        <v/>
      </c>
      <c r="K765">
        <f>C765+D765</f>
        <v/>
      </c>
    </row>
    <row r="766" ht="15.75" customHeight="1" s="14">
      <c r="B766" s="5" t="n"/>
      <c r="H766">
        <f>K766*G766</f>
        <v/>
      </c>
      <c r="K766">
        <f>C766+D766</f>
        <v/>
      </c>
    </row>
    <row r="767" ht="15.75" customHeight="1" s="14">
      <c r="B767" s="5" t="n"/>
      <c r="H767">
        <f>K767*G767</f>
        <v/>
      </c>
      <c r="K767">
        <f>C767+D767</f>
        <v/>
      </c>
    </row>
    <row r="768" ht="15.75" customHeight="1" s="14">
      <c r="B768" s="5" t="n"/>
      <c r="H768">
        <f>K768*G768</f>
        <v/>
      </c>
      <c r="K768">
        <f>C768+D768</f>
        <v/>
      </c>
    </row>
    <row r="769" ht="15.75" customHeight="1" s="14">
      <c r="B769" s="5" t="n"/>
      <c r="H769">
        <f>K769*G769</f>
        <v/>
      </c>
      <c r="K769">
        <f>C769+D769</f>
        <v/>
      </c>
    </row>
    <row r="770" ht="15.75" customHeight="1" s="14">
      <c r="B770" s="5" t="n"/>
      <c r="H770">
        <f>K770*G770</f>
        <v/>
      </c>
      <c r="K770">
        <f>C770+D770</f>
        <v/>
      </c>
    </row>
    <row r="771" ht="15.75" customHeight="1" s="14">
      <c r="B771" s="5" t="n"/>
      <c r="H771">
        <f>K771*G771</f>
        <v/>
      </c>
      <c r="K771">
        <f>C771+D771</f>
        <v/>
      </c>
    </row>
    <row r="772" ht="15.75" customHeight="1" s="14">
      <c r="B772" s="5" t="n"/>
      <c r="H772">
        <f>K772*G772</f>
        <v/>
      </c>
      <c r="K772">
        <f>C772+D772</f>
        <v/>
      </c>
    </row>
    <row r="773" ht="15.75" customHeight="1" s="14">
      <c r="B773" s="5" t="n"/>
      <c r="H773">
        <f>K773*G773</f>
        <v/>
      </c>
      <c r="K773">
        <f>C773+D773</f>
        <v/>
      </c>
    </row>
    <row r="774" ht="15.75" customHeight="1" s="14">
      <c r="B774" s="5" t="n"/>
      <c r="H774">
        <f>K774*G774</f>
        <v/>
      </c>
      <c r="K774">
        <f>C774+D774</f>
        <v/>
      </c>
    </row>
    <row r="775" ht="15.75" customHeight="1" s="14">
      <c r="B775" s="5" t="n"/>
      <c r="H775">
        <f>K775*G775</f>
        <v/>
      </c>
      <c r="K775">
        <f>C775+D775</f>
        <v/>
      </c>
    </row>
    <row r="776" ht="15.75" customHeight="1" s="14">
      <c r="B776" s="5" t="n"/>
      <c r="H776">
        <f>K776*G776</f>
        <v/>
      </c>
      <c r="K776">
        <f>C776+D776</f>
        <v/>
      </c>
    </row>
    <row r="777" ht="15.75" customHeight="1" s="14">
      <c r="B777" s="5" t="n"/>
      <c r="H777">
        <f>K777*G777</f>
        <v/>
      </c>
      <c r="K777">
        <f>C777+D777</f>
        <v/>
      </c>
    </row>
    <row r="778" ht="15.75" customHeight="1" s="14">
      <c r="B778" s="5" t="n"/>
      <c r="H778">
        <f>K778*G778</f>
        <v/>
      </c>
      <c r="K778">
        <f>C778+D778</f>
        <v/>
      </c>
    </row>
    <row r="779" ht="15.75" customHeight="1" s="14">
      <c r="B779" s="5" t="n"/>
      <c r="H779">
        <f>K779*G779</f>
        <v/>
      </c>
      <c r="K779">
        <f>C779+D779</f>
        <v/>
      </c>
    </row>
    <row r="780" ht="15.75" customHeight="1" s="14">
      <c r="B780" s="5" t="n"/>
      <c r="H780">
        <f>K780*G780</f>
        <v/>
      </c>
      <c r="K780">
        <f>C780+D780</f>
        <v/>
      </c>
    </row>
    <row r="781" ht="15.75" customHeight="1" s="14">
      <c r="B781" s="5" t="n"/>
      <c r="H781">
        <f>K781*G781</f>
        <v/>
      </c>
      <c r="K781">
        <f>C781+D781</f>
        <v/>
      </c>
    </row>
    <row r="782" ht="15.75" customHeight="1" s="14">
      <c r="B782" s="5" t="n"/>
      <c r="H782">
        <f>K782*G782</f>
        <v/>
      </c>
      <c r="K782">
        <f>C782+D782</f>
        <v/>
      </c>
    </row>
    <row r="783" ht="15.75" customHeight="1" s="14">
      <c r="B783" s="5" t="n"/>
      <c r="H783">
        <f>K783*G783</f>
        <v/>
      </c>
      <c r="K783">
        <f>C783+D783</f>
        <v/>
      </c>
    </row>
    <row r="784" ht="15.75" customHeight="1" s="14">
      <c r="B784" s="5" t="n"/>
      <c r="H784">
        <f>K784*G784</f>
        <v/>
      </c>
      <c r="K784">
        <f>C784+D784</f>
        <v/>
      </c>
    </row>
    <row r="785" ht="15.75" customHeight="1" s="14">
      <c r="B785" s="5" t="n"/>
      <c r="H785">
        <f>K785*G785</f>
        <v/>
      </c>
      <c r="K785">
        <f>C785+D785</f>
        <v/>
      </c>
    </row>
    <row r="786" ht="15.75" customHeight="1" s="14">
      <c r="B786" s="5" t="n"/>
      <c r="H786">
        <f>K786*G786</f>
        <v/>
      </c>
      <c r="K786">
        <f>C786+D786</f>
        <v/>
      </c>
    </row>
    <row r="787" ht="15.75" customHeight="1" s="14">
      <c r="B787" s="5" t="n"/>
      <c r="H787">
        <f>K787*G787</f>
        <v/>
      </c>
      <c r="K787">
        <f>C787+D787</f>
        <v/>
      </c>
    </row>
    <row r="788" ht="15.75" customHeight="1" s="14">
      <c r="B788" s="5" t="n"/>
      <c r="H788">
        <f>K788*G788</f>
        <v/>
      </c>
      <c r="K788">
        <f>C788+D788</f>
        <v/>
      </c>
    </row>
    <row r="789" ht="15.75" customHeight="1" s="14">
      <c r="B789" s="5" t="n"/>
      <c r="H789">
        <f>K789*G789</f>
        <v/>
      </c>
      <c r="K789">
        <f>C789+D789</f>
        <v/>
      </c>
    </row>
    <row r="790" ht="15.75" customHeight="1" s="14">
      <c r="B790" s="5" t="n"/>
      <c r="H790">
        <f>K790*G790</f>
        <v/>
      </c>
      <c r="K790">
        <f>C790+D790</f>
        <v/>
      </c>
    </row>
    <row r="791" ht="15.75" customHeight="1" s="14">
      <c r="B791" s="5" t="n"/>
      <c r="H791">
        <f>K791*G791</f>
        <v/>
      </c>
      <c r="K791">
        <f>C791+D791</f>
        <v/>
      </c>
    </row>
    <row r="792" ht="15.75" customHeight="1" s="14">
      <c r="B792" s="5" t="n"/>
      <c r="H792">
        <f>K792*G792</f>
        <v/>
      </c>
      <c r="K792">
        <f>C792+D792</f>
        <v/>
      </c>
    </row>
    <row r="793" ht="15.75" customHeight="1" s="14">
      <c r="B793" s="5" t="n"/>
      <c r="H793">
        <f>K793*G793</f>
        <v/>
      </c>
      <c r="K793">
        <f>C793+D793</f>
        <v/>
      </c>
    </row>
    <row r="794" ht="15.75" customHeight="1" s="14">
      <c r="B794" s="5" t="n"/>
      <c r="H794">
        <f>K794*G794</f>
        <v/>
      </c>
      <c r="K794">
        <f>C794+D794</f>
        <v/>
      </c>
    </row>
    <row r="795" ht="15.75" customHeight="1" s="14">
      <c r="B795" s="5" t="n"/>
      <c r="H795">
        <f>K795*G795</f>
        <v/>
      </c>
      <c r="K795">
        <f>C795+D795</f>
        <v/>
      </c>
    </row>
    <row r="796" ht="15.75" customHeight="1" s="14">
      <c r="B796" s="5" t="n"/>
      <c r="H796">
        <f>K796*G796</f>
        <v/>
      </c>
      <c r="K796">
        <f>C796+D796</f>
        <v/>
      </c>
    </row>
    <row r="797" ht="15.75" customHeight="1" s="14">
      <c r="B797" s="5" t="n"/>
      <c r="H797">
        <f>K797*G797</f>
        <v/>
      </c>
      <c r="K797">
        <f>C797+D797</f>
        <v/>
      </c>
    </row>
    <row r="798" ht="15.75" customHeight="1" s="14">
      <c r="B798" s="5" t="n"/>
      <c r="H798">
        <f>K798*G798</f>
        <v/>
      </c>
      <c r="K798">
        <f>C798+D798</f>
        <v/>
      </c>
    </row>
    <row r="799" ht="15.75" customHeight="1" s="14">
      <c r="B799" s="5" t="n"/>
      <c r="H799">
        <f>K799*G799</f>
        <v/>
      </c>
      <c r="K799">
        <f>C799+D799</f>
        <v/>
      </c>
    </row>
    <row r="800" ht="15.75" customHeight="1" s="14">
      <c r="B800" s="5" t="n"/>
      <c r="H800">
        <f>K800*G800</f>
        <v/>
      </c>
      <c r="K800">
        <f>C800+D800</f>
        <v/>
      </c>
    </row>
    <row r="801" ht="15.75" customHeight="1" s="14">
      <c r="B801" s="5" t="n"/>
      <c r="H801">
        <f>K801*G801</f>
        <v/>
      </c>
      <c r="K801">
        <f>C801+D801</f>
        <v/>
      </c>
    </row>
    <row r="802" ht="15.75" customHeight="1" s="14">
      <c r="B802" s="5" t="n"/>
      <c r="H802">
        <f>K802*G802</f>
        <v/>
      </c>
      <c r="K802">
        <f>C802+D802</f>
        <v/>
      </c>
    </row>
    <row r="803" ht="15.75" customHeight="1" s="14">
      <c r="B803" s="5" t="n"/>
      <c r="H803">
        <f>K803*G803</f>
        <v/>
      </c>
      <c r="K803">
        <f>C803+D803</f>
        <v/>
      </c>
    </row>
    <row r="804" ht="15.75" customHeight="1" s="14">
      <c r="B804" s="5" t="n"/>
      <c r="H804">
        <f>K804*G804</f>
        <v/>
      </c>
      <c r="K804">
        <f>C804+D804</f>
        <v/>
      </c>
    </row>
    <row r="805" ht="15.75" customHeight="1" s="14">
      <c r="B805" s="5" t="n"/>
      <c r="H805">
        <f>K805*G805</f>
        <v/>
      </c>
      <c r="K805">
        <f>C805+D805</f>
        <v/>
      </c>
    </row>
    <row r="806" ht="15.75" customHeight="1" s="14">
      <c r="B806" s="5" t="n"/>
      <c r="H806">
        <f>K806*G806</f>
        <v/>
      </c>
      <c r="K806">
        <f>C806+D806</f>
        <v/>
      </c>
    </row>
    <row r="807" ht="15.75" customHeight="1" s="14">
      <c r="B807" s="5" t="n"/>
      <c r="H807">
        <f>K807*G807</f>
        <v/>
      </c>
      <c r="K807">
        <f>C807+D807</f>
        <v/>
      </c>
    </row>
    <row r="808" ht="15.75" customHeight="1" s="14">
      <c r="B808" s="5" t="n"/>
      <c r="H808">
        <f>K808*G808</f>
        <v/>
      </c>
      <c r="K808">
        <f>C808+D808</f>
        <v/>
      </c>
    </row>
    <row r="809" ht="15.75" customHeight="1" s="14">
      <c r="B809" s="5" t="n"/>
      <c r="H809">
        <f>K809*G809</f>
        <v/>
      </c>
      <c r="K809">
        <f>C809+D809</f>
        <v/>
      </c>
    </row>
    <row r="810" ht="15.75" customHeight="1" s="14">
      <c r="B810" s="5" t="n"/>
      <c r="H810">
        <f>K810*G810</f>
        <v/>
      </c>
      <c r="K810">
        <f>C810+D810</f>
        <v/>
      </c>
    </row>
    <row r="811" ht="15.75" customHeight="1" s="14">
      <c r="B811" s="5" t="n"/>
      <c r="H811">
        <f>K811*G811</f>
        <v/>
      </c>
      <c r="K811">
        <f>C811+D811</f>
        <v/>
      </c>
    </row>
    <row r="812" ht="15.75" customHeight="1" s="14">
      <c r="B812" s="5" t="n"/>
      <c r="H812">
        <f>K812*G812</f>
        <v/>
      </c>
      <c r="K812">
        <f>C812+D812</f>
        <v/>
      </c>
    </row>
    <row r="813" ht="15.75" customHeight="1" s="14">
      <c r="B813" s="5" t="n"/>
      <c r="H813">
        <f>K813*G813</f>
        <v/>
      </c>
      <c r="K813">
        <f>C813+D813</f>
        <v/>
      </c>
    </row>
    <row r="814" ht="15.75" customHeight="1" s="14">
      <c r="B814" s="5" t="n"/>
      <c r="H814">
        <f>K814*G814</f>
        <v/>
      </c>
      <c r="K814">
        <f>C814+D814</f>
        <v/>
      </c>
    </row>
    <row r="815" ht="15.75" customHeight="1" s="14">
      <c r="B815" s="5" t="n"/>
      <c r="H815">
        <f>K815*G815</f>
        <v/>
      </c>
      <c r="K815">
        <f>C815+D815</f>
        <v/>
      </c>
    </row>
    <row r="816" ht="15.75" customHeight="1" s="14">
      <c r="B816" s="5" t="n"/>
      <c r="H816">
        <f>K816*G816</f>
        <v/>
      </c>
      <c r="K816">
        <f>C816+D816</f>
        <v/>
      </c>
    </row>
    <row r="817" ht="15.75" customHeight="1" s="14">
      <c r="B817" s="5" t="n"/>
      <c r="H817">
        <f>K817*G817</f>
        <v/>
      </c>
      <c r="K817">
        <f>C817+D817</f>
        <v/>
      </c>
    </row>
    <row r="818" ht="15.75" customHeight="1" s="14">
      <c r="B818" s="5" t="n"/>
      <c r="H818">
        <f>K818*G818</f>
        <v/>
      </c>
      <c r="K818">
        <f>C818+D818</f>
        <v/>
      </c>
    </row>
    <row r="819" ht="15.75" customHeight="1" s="14">
      <c r="B819" s="5" t="n"/>
      <c r="H819">
        <f>K819*G819</f>
        <v/>
      </c>
      <c r="K819">
        <f>C819+D819</f>
        <v/>
      </c>
    </row>
    <row r="820" ht="15.75" customHeight="1" s="14">
      <c r="B820" s="5" t="n"/>
      <c r="H820">
        <f>K820*G820</f>
        <v/>
      </c>
      <c r="K820">
        <f>C820+D820</f>
        <v/>
      </c>
    </row>
    <row r="821" ht="15.75" customHeight="1" s="14">
      <c r="B821" s="5" t="n"/>
      <c r="H821">
        <f>K821*G821</f>
        <v/>
      </c>
      <c r="K821">
        <f>C821+D821</f>
        <v/>
      </c>
    </row>
    <row r="822" ht="15.75" customHeight="1" s="14">
      <c r="B822" s="5" t="n"/>
      <c r="H822">
        <f>K822*G822</f>
        <v/>
      </c>
      <c r="K822">
        <f>C822+D822</f>
        <v/>
      </c>
    </row>
    <row r="823" ht="15.75" customHeight="1" s="14">
      <c r="B823" s="5" t="n"/>
      <c r="H823">
        <f>K823*G823</f>
        <v/>
      </c>
      <c r="K823">
        <f>C823+D823</f>
        <v/>
      </c>
    </row>
    <row r="824" ht="15.75" customHeight="1" s="14">
      <c r="B824" s="5" t="n"/>
      <c r="H824">
        <f>K824*G824</f>
        <v/>
      </c>
      <c r="K824">
        <f>C824+D824</f>
        <v/>
      </c>
    </row>
    <row r="825" ht="15.75" customHeight="1" s="14">
      <c r="B825" s="5" t="n"/>
      <c r="H825">
        <f>K825*G825</f>
        <v/>
      </c>
      <c r="K825">
        <f>C825+D825</f>
        <v/>
      </c>
    </row>
    <row r="826" ht="15.75" customHeight="1" s="14">
      <c r="B826" s="5" t="n"/>
      <c r="H826">
        <f>K826*G826</f>
        <v/>
      </c>
      <c r="K826">
        <f>C826+D826</f>
        <v/>
      </c>
    </row>
    <row r="827" ht="15.75" customHeight="1" s="14">
      <c r="B827" s="5" t="n"/>
      <c r="H827">
        <f>K827*G827</f>
        <v/>
      </c>
      <c r="K827">
        <f>C827+D827</f>
        <v/>
      </c>
    </row>
    <row r="828" ht="15.75" customHeight="1" s="14">
      <c r="B828" s="5" t="n"/>
      <c r="H828">
        <f>K828*G828</f>
        <v/>
      </c>
      <c r="K828">
        <f>C828+D828</f>
        <v/>
      </c>
    </row>
    <row r="829" ht="15.75" customHeight="1" s="14">
      <c r="B829" s="5" t="n"/>
      <c r="H829">
        <f>K829*G829</f>
        <v/>
      </c>
      <c r="K829">
        <f>C829+D829</f>
        <v/>
      </c>
    </row>
    <row r="830" ht="15.75" customHeight="1" s="14">
      <c r="B830" s="5" t="n"/>
      <c r="H830">
        <f>K830*G830</f>
        <v/>
      </c>
      <c r="K830">
        <f>C830+D830</f>
        <v/>
      </c>
    </row>
    <row r="831" ht="15.75" customHeight="1" s="14">
      <c r="B831" s="5" t="n"/>
      <c r="H831">
        <f>K831*G831</f>
        <v/>
      </c>
      <c r="K831">
        <f>C831+D831</f>
        <v/>
      </c>
    </row>
    <row r="832" ht="15.75" customHeight="1" s="14">
      <c r="B832" s="5" t="n"/>
      <c r="H832">
        <f>K832*G832</f>
        <v/>
      </c>
      <c r="K832">
        <f>C832+D832</f>
        <v/>
      </c>
    </row>
    <row r="833" ht="15.75" customHeight="1" s="14">
      <c r="B833" s="5" t="n"/>
      <c r="H833">
        <f>K833*G833</f>
        <v/>
      </c>
      <c r="K833">
        <f>C833+D833</f>
        <v/>
      </c>
    </row>
    <row r="834" ht="15.75" customHeight="1" s="14">
      <c r="B834" s="5" t="n"/>
      <c r="H834">
        <f>K834*G834</f>
        <v/>
      </c>
      <c r="K834">
        <f>C834+D834</f>
        <v/>
      </c>
    </row>
    <row r="835" ht="15.75" customHeight="1" s="14">
      <c r="B835" s="5" t="n"/>
      <c r="H835">
        <f>K835*G835</f>
        <v/>
      </c>
      <c r="K835">
        <f>C835+D835</f>
        <v/>
      </c>
    </row>
    <row r="836" ht="15.75" customHeight="1" s="14">
      <c r="B836" s="5" t="n"/>
      <c r="H836">
        <f>K836*G836</f>
        <v/>
      </c>
      <c r="K836">
        <f>C836+D836</f>
        <v/>
      </c>
    </row>
    <row r="837" ht="15.75" customHeight="1" s="14">
      <c r="B837" s="5" t="n"/>
      <c r="H837">
        <f>K837*G837</f>
        <v/>
      </c>
      <c r="K837">
        <f>C837+D837</f>
        <v/>
      </c>
    </row>
    <row r="838" ht="15.75" customHeight="1" s="14">
      <c r="B838" s="5" t="n"/>
      <c r="H838">
        <f>K838*G838</f>
        <v/>
      </c>
      <c r="K838">
        <f>C838+D838</f>
        <v/>
      </c>
    </row>
    <row r="839" ht="15.75" customHeight="1" s="14">
      <c r="B839" s="5" t="n"/>
      <c r="H839">
        <f>K839*G839</f>
        <v/>
      </c>
      <c r="K839">
        <f>C839+D839</f>
        <v/>
      </c>
    </row>
    <row r="840" ht="15.75" customHeight="1" s="14">
      <c r="B840" s="5" t="n"/>
      <c r="H840">
        <f>K840*G840</f>
        <v/>
      </c>
      <c r="K840">
        <f>C840+D840</f>
        <v/>
      </c>
    </row>
    <row r="841" ht="15.75" customHeight="1" s="14">
      <c r="B841" s="5" t="n"/>
      <c r="H841">
        <f>K841*G841</f>
        <v/>
      </c>
      <c r="K841">
        <f>C841+D841</f>
        <v/>
      </c>
    </row>
    <row r="842" ht="15.75" customHeight="1" s="14">
      <c r="B842" s="5" t="n"/>
      <c r="H842">
        <f>K842*G842</f>
        <v/>
      </c>
      <c r="K842">
        <f>C842+D842</f>
        <v/>
      </c>
    </row>
    <row r="843" ht="15.75" customHeight="1" s="14">
      <c r="B843" s="5" t="n"/>
      <c r="H843">
        <f>K843*G843</f>
        <v/>
      </c>
      <c r="K843">
        <f>C843+D843</f>
        <v/>
      </c>
    </row>
    <row r="844" ht="15.75" customHeight="1" s="14">
      <c r="B844" s="5" t="n"/>
      <c r="H844">
        <f>K844*G844</f>
        <v/>
      </c>
      <c r="K844">
        <f>C844+D844</f>
        <v/>
      </c>
    </row>
    <row r="845" ht="15.75" customHeight="1" s="14">
      <c r="B845" s="5" t="n"/>
      <c r="H845">
        <f>K845*G845</f>
        <v/>
      </c>
      <c r="K845">
        <f>C845+D845</f>
        <v/>
      </c>
    </row>
    <row r="846" ht="15.75" customHeight="1" s="14">
      <c r="B846" s="5" t="n"/>
      <c r="H846">
        <f>K846*G846</f>
        <v/>
      </c>
      <c r="K846">
        <f>C846+D846</f>
        <v/>
      </c>
    </row>
    <row r="847" ht="15.75" customHeight="1" s="14">
      <c r="B847" s="5" t="n"/>
      <c r="H847">
        <f>K847*G847</f>
        <v/>
      </c>
      <c r="K847">
        <f>C847+D847</f>
        <v/>
      </c>
    </row>
    <row r="848" ht="15.75" customHeight="1" s="14">
      <c r="B848" s="5" t="n"/>
      <c r="H848">
        <f>K848*G848</f>
        <v/>
      </c>
      <c r="K848">
        <f>C848+D848</f>
        <v/>
      </c>
    </row>
    <row r="849" ht="15.75" customHeight="1" s="14">
      <c r="B849" s="5" t="n"/>
      <c r="H849">
        <f>K849*G849</f>
        <v/>
      </c>
      <c r="K849">
        <f>C849+D849</f>
        <v/>
      </c>
    </row>
    <row r="850" ht="15.75" customHeight="1" s="14">
      <c r="B850" s="5" t="n"/>
      <c r="H850">
        <f>K850*G850</f>
        <v/>
      </c>
      <c r="K850">
        <f>C850+D850</f>
        <v/>
      </c>
    </row>
    <row r="851" ht="15.75" customHeight="1" s="14">
      <c r="B851" s="5" t="n"/>
      <c r="H851">
        <f>K851*G851</f>
        <v/>
      </c>
      <c r="K851">
        <f>C851+D851</f>
        <v/>
      </c>
    </row>
    <row r="852" ht="15.75" customHeight="1" s="14">
      <c r="B852" s="5" t="n"/>
      <c r="H852">
        <f>K852*G852</f>
        <v/>
      </c>
      <c r="K852">
        <f>C852+D852</f>
        <v/>
      </c>
    </row>
    <row r="853" ht="15.75" customHeight="1" s="14">
      <c r="B853" s="5" t="n"/>
      <c r="H853">
        <f>K853*G853</f>
        <v/>
      </c>
      <c r="K853">
        <f>C853+D853</f>
        <v/>
      </c>
    </row>
    <row r="854" ht="15.75" customHeight="1" s="14">
      <c r="B854" s="5" t="n"/>
      <c r="H854">
        <f>K854*G854</f>
        <v/>
      </c>
      <c r="K854">
        <f>C854+D854</f>
        <v/>
      </c>
    </row>
    <row r="855" ht="15.75" customHeight="1" s="14">
      <c r="B855" s="9" t="n"/>
      <c r="H855">
        <f>K855*G855</f>
        <v/>
      </c>
      <c r="K855">
        <f>C855+D855</f>
        <v/>
      </c>
    </row>
    <row r="856" ht="15.75" customHeight="1" s="14">
      <c r="B856" s="9" t="n"/>
      <c r="H856">
        <f>K856*G856</f>
        <v/>
      </c>
      <c r="K856">
        <f>C856+D856</f>
        <v/>
      </c>
    </row>
    <row r="857" ht="15.75" customHeight="1" s="14">
      <c r="B857" s="9" t="n"/>
      <c r="H857">
        <f>K857*G857</f>
        <v/>
      </c>
      <c r="K857">
        <f>C857+D857</f>
        <v/>
      </c>
    </row>
    <row r="858" ht="15.75" customHeight="1" s="14">
      <c r="B858" s="9" t="n"/>
      <c r="H858">
        <f>K858*G858</f>
        <v/>
      </c>
      <c r="K858">
        <f>C858+D858</f>
        <v/>
      </c>
    </row>
    <row r="859" ht="15.75" customHeight="1" s="14">
      <c r="B859" s="9" t="n"/>
      <c r="H859">
        <f>K859*G859</f>
        <v/>
      </c>
      <c r="K859">
        <f>C859+D859</f>
        <v/>
      </c>
    </row>
    <row r="860" ht="15.75" customHeight="1" s="14">
      <c r="B860" s="9" t="n"/>
      <c r="H860">
        <f>K860*G860</f>
        <v/>
      </c>
      <c r="K860">
        <f>C860+D860</f>
        <v/>
      </c>
    </row>
    <row r="861" ht="15.75" customHeight="1" s="14">
      <c r="B861" s="9" t="n"/>
      <c r="H861">
        <f>K861*G861</f>
        <v/>
      </c>
      <c r="K861">
        <f>C861+D861</f>
        <v/>
      </c>
    </row>
    <row r="862" ht="15.75" customHeight="1" s="14">
      <c r="B862" s="9" t="n"/>
      <c r="H862">
        <f>K862*G862</f>
        <v/>
      </c>
      <c r="K862">
        <f>C862+D862</f>
        <v/>
      </c>
    </row>
    <row r="863" ht="15.75" customHeight="1" s="14">
      <c r="B863" s="9" t="n"/>
      <c r="H863">
        <f>K863*G863</f>
        <v/>
      </c>
      <c r="K863">
        <f>C863+D863</f>
        <v/>
      </c>
    </row>
    <row r="864" ht="15.75" customHeight="1" s="14">
      <c r="B864" s="9" t="n"/>
      <c r="H864">
        <f>K864*G864</f>
        <v/>
      </c>
      <c r="K864">
        <f>C864+D864</f>
        <v/>
      </c>
    </row>
    <row r="865" ht="15.75" customHeight="1" s="14">
      <c r="B865" s="9" t="n"/>
      <c r="H865">
        <f>K865*G865</f>
        <v/>
      </c>
      <c r="K865">
        <f>C865+D865</f>
        <v/>
      </c>
    </row>
    <row r="866" ht="15.75" customHeight="1" s="14">
      <c r="B866" s="9" t="n"/>
      <c r="H866">
        <f>K866*G866</f>
        <v/>
      </c>
      <c r="K866">
        <f>C866+D866</f>
        <v/>
      </c>
    </row>
    <row r="867" ht="15.75" customHeight="1" s="14">
      <c r="B867" s="9" t="n"/>
      <c r="H867">
        <f>K867*G867</f>
        <v/>
      </c>
      <c r="K867">
        <f>C867+D867</f>
        <v/>
      </c>
    </row>
    <row r="868" ht="15.75" customHeight="1" s="14">
      <c r="B868" s="9" t="n"/>
      <c r="H868">
        <f>K868*G868</f>
        <v/>
      </c>
      <c r="K868">
        <f>C868+D868</f>
        <v/>
      </c>
    </row>
    <row r="869" ht="15.75" customHeight="1" s="14">
      <c r="B869" s="9" t="n"/>
      <c r="H869">
        <f>K869*G869</f>
        <v/>
      </c>
      <c r="K869">
        <f>C869+D869</f>
        <v/>
      </c>
    </row>
    <row r="870" ht="15.75" customHeight="1" s="14">
      <c r="B870" s="9" t="n"/>
      <c r="H870">
        <f>K870*G870</f>
        <v/>
      </c>
      <c r="K870">
        <f>C870+D870</f>
        <v/>
      </c>
    </row>
    <row r="871" ht="15.75" customHeight="1" s="14">
      <c r="B871" s="9" t="n"/>
      <c r="H871">
        <f>K871*G871</f>
        <v/>
      </c>
      <c r="K871">
        <f>C871+D871</f>
        <v/>
      </c>
    </row>
    <row r="872" ht="15.75" customHeight="1" s="14">
      <c r="B872" s="9" t="n"/>
      <c r="H872">
        <f>K872*G872</f>
        <v/>
      </c>
      <c r="K872">
        <f>C872+D872</f>
        <v/>
      </c>
    </row>
    <row r="873" ht="15.75" customHeight="1" s="14">
      <c r="B873" s="9" t="n"/>
      <c r="H873">
        <f>K873*G873</f>
        <v/>
      </c>
      <c r="K873">
        <f>C873+D873</f>
        <v/>
      </c>
    </row>
    <row r="874" ht="15.75" customHeight="1" s="14">
      <c r="B874" s="9" t="n"/>
      <c r="H874">
        <f>K874*G874</f>
        <v/>
      </c>
      <c r="K874">
        <f>C874+D874</f>
        <v/>
      </c>
    </row>
    <row r="875" ht="15.75" customHeight="1" s="14">
      <c r="B875" s="9" t="n"/>
      <c r="H875">
        <f>K875*G875</f>
        <v/>
      </c>
      <c r="K875">
        <f>C875+D875</f>
        <v/>
      </c>
    </row>
    <row r="876" ht="15.75" customHeight="1" s="14">
      <c r="B876" s="9" t="n"/>
      <c r="H876">
        <f>K876*G876</f>
        <v/>
      </c>
      <c r="K876">
        <f>C876+D876</f>
        <v/>
      </c>
    </row>
    <row r="877" ht="15.75" customHeight="1" s="14">
      <c r="B877" s="9" t="n"/>
      <c r="H877">
        <f>K877*G877</f>
        <v/>
      </c>
      <c r="K877">
        <f>C877+D877</f>
        <v/>
      </c>
    </row>
    <row r="878" ht="15.75" customHeight="1" s="14">
      <c r="B878" s="9" t="n"/>
      <c r="H878">
        <f>K878*G878</f>
        <v/>
      </c>
      <c r="K878">
        <f>C878+D878</f>
        <v/>
      </c>
    </row>
    <row r="879" ht="15.75" customHeight="1" s="14">
      <c r="B879" s="9" t="n"/>
      <c r="H879">
        <f>K879*G879</f>
        <v/>
      </c>
      <c r="K879">
        <f>C879+D879</f>
        <v/>
      </c>
    </row>
    <row r="880" ht="15.75" customHeight="1" s="14">
      <c r="B880" s="9" t="n"/>
      <c r="H880">
        <f>K880*G880</f>
        <v/>
      </c>
      <c r="K880">
        <f>C880+D880</f>
        <v/>
      </c>
    </row>
    <row r="881" ht="15.75" customHeight="1" s="14">
      <c r="B881" s="9" t="n"/>
      <c r="H881">
        <f>K881*G881</f>
        <v/>
      </c>
      <c r="K881">
        <f>C881+D881</f>
        <v/>
      </c>
    </row>
    <row r="882" ht="15.75" customHeight="1" s="14">
      <c r="B882" s="9" t="n"/>
      <c r="H882">
        <f>K882*G882</f>
        <v/>
      </c>
      <c r="K882">
        <f>C882+D882</f>
        <v/>
      </c>
    </row>
    <row r="883" ht="15.75" customHeight="1" s="14">
      <c r="B883" s="9" t="n"/>
      <c r="H883">
        <f>K883*G883</f>
        <v/>
      </c>
      <c r="K883">
        <f>C883+D883</f>
        <v/>
      </c>
    </row>
    <row r="884" ht="15.75" customHeight="1" s="14">
      <c r="B884" s="9" t="n"/>
      <c r="H884">
        <f>K884*G884</f>
        <v/>
      </c>
      <c r="K884">
        <f>C884+D884</f>
        <v/>
      </c>
    </row>
    <row r="885" ht="15.75" customHeight="1" s="14">
      <c r="B885" s="9" t="n"/>
      <c r="H885">
        <f>K885*G885</f>
        <v/>
      </c>
      <c r="K885">
        <f>C885+D885</f>
        <v/>
      </c>
    </row>
    <row r="886" ht="15.75" customHeight="1" s="14">
      <c r="B886" s="9" t="n"/>
      <c r="H886">
        <f>K886*G886</f>
        <v/>
      </c>
      <c r="K886">
        <f>C886+D886</f>
        <v/>
      </c>
    </row>
    <row r="887" ht="15.75" customHeight="1" s="14">
      <c r="B887" s="9" t="n"/>
      <c r="H887">
        <f>K887*G887</f>
        <v/>
      </c>
      <c r="K887">
        <f>C887+D887</f>
        <v/>
      </c>
    </row>
    <row r="888" ht="15.75" customHeight="1" s="14">
      <c r="B888" s="9" t="n"/>
      <c r="H888">
        <f>K888*G888</f>
        <v/>
      </c>
      <c r="K888">
        <f>C888+D888</f>
        <v/>
      </c>
    </row>
    <row r="889" ht="15.75" customHeight="1" s="14">
      <c r="B889" s="9" t="n"/>
      <c r="H889">
        <f>K889*G889</f>
        <v/>
      </c>
      <c r="K889">
        <f>C889+D889</f>
        <v/>
      </c>
    </row>
    <row r="890" ht="15.75" customHeight="1" s="14">
      <c r="B890" s="9" t="n"/>
      <c r="H890">
        <f>K890*G890</f>
        <v/>
      </c>
      <c r="K890">
        <f>C890+D890</f>
        <v/>
      </c>
    </row>
    <row r="891" ht="15.75" customHeight="1" s="14">
      <c r="B891" s="9" t="n"/>
      <c r="H891">
        <f>K891*G891</f>
        <v/>
      </c>
      <c r="K891">
        <f>C891+D891</f>
        <v/>
      </c>
    </row>
    <row r="892" ht="15.75" customHeight="1" s="14">
      <c r="B892" s="9" t="n"/>
      <c r="H892">
        <f>K892*G892</f>
        <v/>
      </c>
      <c r="K892">
        <f>C892+D892</f>
        <v/>
      </c>
    </row>
    <row r="893" ht="15.75" customHeight="1" s="14">
      <c r="B893" s="9" t="n"/>
      <c r="H893">
        <f>K893*G893</f>
        <v/>
      </c>
      <c r="K893">
        <f>C893+D893</f>
        <v/>
      </c>
    </row>
    <row r="894" ht="15.75" customHeight="1" s="14">
      <c r="B894" s="9" t="n"/>
      <c r="H894">
        <f>K894*G894</f>
        <v/>
      </c>
      <c r="K894">
        <f>C894+D894</f>
        <v/>
      </c>
    </row>
    <row r="895" ht="15.75" customHeight="1" s="14">
      <c r="B895" s="9" t="n"/>
      <c r="H895">
        <f>K895*G895</f>
        <v/>
      </c>
      <c r="K895">
        <f>C895+D895</f>
        <v/>
      </c>
    </row>
    <row r="896" ht="15.75" customHeight="1" s="14">
      <c r="B896" s="9" t="n"/>
      <c r="H896">
        <f>K896*G896</f>
        <v/>
      </c>
      <c r="K896">
        <f>C896+D896</f>
        <v/>
      </c>
    </row>
    <row r="897" ht="15.75" customHeight="1" s="14">
      <c r="B897" s="9" t="n"/>
      <c r="H897">
        <f>K897*G897</f>
        <v/>
      </c>
      <c r="K897">
        <f>C897+D897</f>
        <v/>
      </c>
    </row>
    <row r="898" ht="15.75" customHeight="1" s="14">
      <c r="B898" s="9" t="n"/>
      <c r="H898">
        <f>K898*G898</f>
        <v/>
      </c>
      <c r="K898">
        <f>C898+D898</f>
        <v/>
      </c>
    </row>
    <row r="899" ht="15.75" customHeight="1" s="14">
      <c r="B899" s="9" t="n"/>
      <c r="H899">
        <f>K899*G899</f>
        <v/>
      </c>
      <c r="K899">
        <f>C899+D899</f>
        <v/>
      </c>
    </row>
    <row r="900" ht="15.75" customHeight="1" s="14">
      <c r="B900" s="9" t="n"/>
      <c r="H900">
        <f>K900*G900</f>
        <v/>
      </c>
      <c r="K900">
        <f>C900+D900</f>
        <v/>
      </c>
    </row>
    <row r="901" ht="15.75" customHeight="1" s="14">
      <c r="B901" s="9" t="n"/>
      <c r="H901">
        <f>K901*G901</f>
        <v/>
      </c>
      <c r="K901">
        <f>C901+D901</f>
        <v/>
      </c>
    </row>
    <row r="902" ht="15.75" customHeight="1" s="14">
      <c r="B902" s="9" t="n"/>
      <c r="H902">
        <f>K902*G902</f>
        <v/>
      </c>
      <c r="K902">
        <f>C902+D902</f>
        <v/>
      </c>
    </row>
    <row r="903" ht="15.75" customHeight="1" s="14">
      <c r="B903" s="9" t="n"/>
      <c r="H903">
        <f>K903*G903</f>
        <v/>
      </c>
      <c r="K903">
        <f>C903+D903</f>
        <v/>
      </c>
    </row>
    <row r="904" ht="15.75" customHeight="1" s="14">
      <c r="B904" s="9" t="n"/>
      <c r="H904">
        <f>K904*G904</f>
        <v/>
      </c>
      <c r="K904">
        <f>C904+D904</f>
        <v/>
      </c>
    </row>
    <row r="905" ht="15.75" customHeight="1" s="14">
      <c r="B905" s="9" t="n"/>
      <c r="H905">
        <f>K905*G905</f>
        <v/>
      </c>
      <c r="K905">
        <f>C905+D905</f>
        <v/>
      </c>
    </row>
    <row r="906" ht="15.75" customHeight="1" s="14">
      <c r="B906" s="9" t="n"/>
      <c r="H906">
        <f>K906*G906</f>
        <v/>
      </c>
      <c r="K906">
        <f>C906+D906</f>
        <v/>
      </c>
    </row>
    <row r="907" ht="15.75" customHeight="1" s="14">
      <c r="B907" s="9" t="n"/>
      <c r="H907">
        <f>K907*G907</f>
        <v/>
      </c>
      <c r="K907">
        <f>C907+D907</f>
        <v/>
      </c>
    </row>
    <row r="908" ht="15.75" customHeight="1" s="14">
      <c r="B908" s="9" t="n"/>
      <c r="H908">
        <f>K908*G908</f>
        <v/>
      </c>
      <c r="K908">
        <f>C908+D908</f>
        <v/>
      </c>
    </row>
    <row r="909" ht="15.75" customHeight="1" s="14">
      <c r="B909" s="9" t="n"/>
      <c r="H909">
        <f>K909*G909</f>
        <v/>
      </c>
      <c r="K909">
        <f>C909+D909</f>
        <v/>
      </c>
    </row>
    <row r="910" ht="15.75" customHeight="1" s="14">
      <c r="B910" s="9" t="n"/>
      <c r="H910">
        <f>K910*G910</f>
        <v/>
      </c>
      <c r="K910">
        <f>C910+D910</f>
        <v/>
      </c>
    </row>
    <row r="911" ht="15.75" customHeight="1" s="14">
      <c r="B911" s="9" t="n"/>
      <c r="H911">
        <f>K911*G911</f>
        <v/>
      </c>
      <c r="K911">
        <f>C911+D911</f>
        <v/>
      </c>
    </row>
    <row r="912" ht="15.75" customHeight="1" s="14">
      <c r="B912" s="9" t="n"/>
      <c r="H912">
        <f>K912*G912</f>
        <v/>
      </c>
      <c r="K912">
        <f>C912+D912</f>
        <v/>
      </c>
    </row>
    <row r="913" ht="15.75" customHeight="1" s="14">
      <c r="B913" s="9" t="n"/>
      <c r="H913">
        <f>K913*G913</f>
        <v/>
      </c>
      <c r="K913">
        <f>C913+D913</f>
        <v/>
      </c>
    </row>
    <row r="914" ht="15.75" customHeight="1" s="14">
      <c r="B914" s="9" t="n"/>
      <c r="H914">
        <f>K914*G914</f>
        <v/>
      </c>
      <c r="K914">
        <f>C914+D914</f>
        <v/>
      </c>
    </row>
    <row r="915" ht="15.75" customHeight="1" s="14">
      <c r="B915" s="9" t="n"/>
      <c r="H915">
        <f>K915*G915</f>
        <v/>
      </c>
      <c r="K915">
        <f>C915+D915</f>
        <v/>
      </c>
    </row>
    <row r="916" ht="15.75" customHeight="1" s="14">
      <c r="B916" s="9" t="n"/>
      <c r="H916">
        <f>K916*G916</f>
        <v/>
      </c>
      <c r="K916">
        <f>C916+D916</f>
        <v/>
      </c>
    </row>
    <row r="917" ht="15.75" customHeight="1" s="14">
      <c r="B917" s="9" t="n"/>
      <c r="H917">
        <f>K917*G917</f>
        <v/>
      </c>
      <c r="K917">
        <f>C917+D917</f>
        <v/>
      </c>
    </row>
    <row r="918" ht="15.75" customHeight="1" s="14">
      <c r="B918" s="9" t="n"/>
      <c r="H918">
        <f>K918*G918</f>
        <v/>
      </c>
      <c r="K918">
        <f>C918+D918</f>
        <v/>
      </c>
    </row>
    <row r="919" ht="15.75" customHeight="1" s="14">
      <c r="B919" s="9" t="n"/>
      <c r="H919">
        <f>K919*G919</f>
        <v/>
      </c>
      <c r="K919">
        <f>C919+D919</f>
        <v/>
      </c>
    </row>
    <row r="920" ht="15.75" customHeight="1" s="14">
      <c r="B920" s="9" t="n"/>
      <c r="H920">
        <f>K920*G920</f>
        <v/>
      </c>
      <c r="K920">
        <f>C920+D920</f>
        <v/>
      </c>
    </row>
    <row r="921" ht="15.75" customHeight="1" s="14">
      <c r="B921" s="9" t="n"/>
      <c r="H921">
        <f>K921*G921</f>
        <v/>
      </c>
      <c r="K921">
        <f>C921+D921</f>
        <v/>
      </c>
    </row>
    <row r="922" ht="15.75" customHeight="1" s="14">
      <c r="B922" s="9" t="n"/>
      <c r="H922">
        <f>K922*G922</f>
        <v/>
      </c>
      <c r="K922">
        <f>C922+D922</f>
        <v/>
      </c>
    </row>
    <row r="923" ht="15.75" customHeight="1" s="14">
      <c r="B923" s="9" t="n"/>
      <c r="H923">
        <f>K923*G923</f>
        <v/>
      </c>
      <c r="K923">
        <f>C923+D923</f>
        <v/>
      </c>
    </row>
    <row r="924" ht="15.75" customHeight="1" s="14">
      <c r="B924" s="9" t="n"/>
      <c r="H924">
        <f>K924*G924</f>
        <v/>
      </c>
      <c r="K924">
        <f>C924+D924</f>
        <v/>
      </c>
    </row>
    <row r="925" ht="15.75" customHeight="1" s="14">
      <c r="B925" s="9" t="n"/>
      <c r="H925">
        <f>K925*G925</f>
        <v/>
      </c>
      <c r="K925">
        <f>C925+D925</f>
        <v/>
      </c>
    </row>
    <row r="926" ht="15.75" customHeight="1" s="14">
      <c r="B926" s="9" t="n"/>
      <c r="H926">
        <f>K926*G926</f>
        <v/>
      </c>
      <c r="K926">
        <f>C926+D926</f>
        <v/>
      </c>
    </row>
    <row r="927" ht="15.75" customHeight="1" s="14">
      <c r="B927" s="9" t="n"/>
      <c r="H927">
        <f>K927*G927</f>
        <v/>
      </c>
      <c r="K927">
        <f>C927+D927</f>
        <v/>
      </c>
    </row>
    <row r="928" ht="15.75" customHeight="1" s="14">
      <c r="B928" s="9" t="n"/>
      <c r="H928">
        <f>K928*G928</f>
        <v/>
      </c>
      <c r="K928">
        <f>C928+D928</f>
        <v/>
      </c>
    </row>
    <row r="929" ht="15.75" customHeight="1" s="14">
      <c r="B929" s="9" t="n"/>
      <c r="H929">
        <f>K929*G929</f>
        <v/>
      </c>
      <c r="K929">
        <f>C929+D929</f>
        <v/>
      </c>
    </row>
    <row r="930" ht="15.75" customHeight="1" s="14">
      <c r="B930" s="9" t="n"/>
      <c r="H930">
        <f>K930*G930</f>
        <v/>
      </c>
      <c r="K930">
        <f>C930+D930</f>
        <v/>
      </c>
    </row>
    <row r="931" ht="15.75" customHeight="1" s="14">
      <c r="B931" s="9" t="n"/>
      <c r="H931">
        <f>K931*G931</f>
        <v/>
      </c>
      <c r="K931">
        <f>C931+D931</f>
        <v/>
      </c>
    </row>
    <row r="932" ht="15.75" customHeight="1" s="14">
      <c r="B932" s="9" t="n"/>
      <c r="H932">
        <f>K932*G932</f>
        <v/>
      </c>
      <c r="K932">
        <f>C932+D932</f>
        <v/>
      </c>
    </row>
    <row r="933" ht="15.75" customHeight="1" s="14">
      <c r="B933" s="9" t="n"/>
      <c r="H933">
        <f>K933*G933</f>
        <v/>
      </c>
      <c r="K933">
        <f>C933+D933</f>
        <v/>
      </c>
    </row>
    <row r="934" ht="15.75" customHeight="1" s="14">
      <c r="B934" s="9" t="n"/>
      <c r="H934">
        <f>K934*G934</f>
        <v/>
      </c>
      <c r="K934">
        <f>C934+D934</f>
        <v/>
      </c>
    </row>
    <row r="935" ht="15.75" customHeight="1" s="14">
      <c r="B935" s="9" t="n"/>
      <c r="H935">
        <f>K935*G935</f>
        <v/>
      </c>
      <c r="K935">
        <f>C935+D935</f>
        <v/>
      </c>
    </row>
    <row r="936" ht="15.75" customHeight="1" s="14">
      <c r="B936" s="9" t="n"/>
      <c r="H936">
        <f>K936*G936</f>
        <v/>
      </c>
      <c r="K936">
        <f>C936+D936</f>
        <v/>
      </c>
    </row>
    <row r="937" ht="15.75" customHeight="1" s="14">
      <c r="B937" s="9" t="n"/>
      <c r="H937">
        <f>K937*G937</f>
        <v/>
      </c>
      <c r="K937">
        <f>C937+D937</f>
        <v/>
      </c>
    </row>
    <row r="938" ht="15.75" customHeight="1" s="14">
      <c r="B938" s="9" t="n"/>
      <c r="H938">
        <f>K938*G938</f>
        <v/>
      </c>
      <c r="K938">
        <f>C938+D938</f>
        <v/>
      </c>
    </row>
    <row r="939" ht="15.75" customHeight="1" s="14">
      <c r="B939" s="9" t="n"/>
      <c r="H939">
        <f>K939*G939</f>
        <v/>
      </c>
      <c r="K939">
        <f>C939+D939</f>
        <v/>
      </c>
    </row>
    <row r="940" ht="15.75" customHeight="1" s="14">
      <c r="B940" s="9" t="n"/>
      <c r="H940">
        <f>K940*G940</f>
        <v/>
      </c>
      <c r="K940">
        <f>C940+D940</f>
        <v/>
      </c>
    </row>
    <row r="941" ht="15.75" customHeight="1" s="14">
      <c r="B941" s="9" t="n"/>
      <c r="H941">
        <f>K941*G941</f>
        <v/>
      </c>
      <c r="K941">
        <f>C941+D941</f>
        <v/>
      </c>
    </row>
    <row r="942" ht="15.75" customHeight="1" s="14">
      <c r="B942" s="9" t="n"/>
      <c r="H942">
        <f>K942*G942</f>
        <v/>
      </c>
      <c r="K942">
        <f>C942+D942</f>
        <v/>
      </c>
    </row>
    <row r="943" ht="15.75" customHeight="1" s="14">
      <c r="B943" s="9" t="n"/>
      <c r="H943">
        <f>K943*G943</f>
        <v/>
      </c>
      <c r="K943">
        <f>C943+D943</f>
        <v/>
      </c>
    </row>
    <row r="944" ht="15.75" customHeight="1" s="14">
      <c r="B944" s="9" t="n"/>
      <c r="H944">
        <f>K944*G944</f>
        <v/>
      </c>
      <c r="K944">
        <f>C944+D944</f>
        <v/>
      </c>
    </row>
    <row r="945" ht="15.75" customHeight="1" s="14">
      <c r="B945" s="9" t="n"/>
      <c r="H945">
        <f>K945*G945</f>
        <v/>
      </c>
      <c r="K945">
        <f>C945+D945</f>
        <v/>
      </c>
    </row>
    <row r="946" ht="15.75" customHeight="1" s="14">
      <c r="B946" s="9" t="n"/>
      <c r="H946">
        <f>K946*G946</f>
        <v/>
      </c>
      <c r="K946">
        <f>C946+D946</f>
        <v/>
      </c>
    </row>
    <row r="947" ht="15.75" customHeight="1" s="14">
      <c r="B947" s="9" t="n"/>
      <c r="H947">
        <f>K947*G947</f>
        <v/>
      </c>
      <c r="K947">
        <f>C947+D947</f>
        <v/>
      </c>
    </row>
    <row r="948" ht="15.75" customHeight="1" s="14">
      <c r="B948" s="9" t="n"/>
      <c r="H948">
        <f>K948*G948</f>
        <v/>
      </c>
      <c r="K948">
        <f>C948+D948</f>
        <v/>
      </c>
    </row>
    <row r="949" ht="15.75" customHeight="1" s="14">
      <c r="B949" s="9" t="n"/>
      <c r="H949">
        <f>K949*G949</f>
        <v/>
      </c>
      <c r="K949">
        <f>C949+D949</f>
        <v/>
      </c>
    </row>
    <row r="950" ht="15.75" customHeight="1" s="14">
      <c r="B950" s="9" t="n"/>
      <c r="H950">
        <f>K950*G950</f>
        <v/>
      </c>
      <c r="K950">
        <f>C950+D950</f>
        <v/>
      </c>
    </row>
    <row r="951" ht="15.75" customHeight="1" s="14">
      <c r="B951" s="9" t="n"/>
      <c r="H951">
        <f>K951*G951</f>
        <v/>
      </c>
      <c r="K951">
        <f>C951+D951</f>
        <v/>
      </c>
    </row>
    <row r="952" ht="15.75" customHeight="1" s="14">
      <c r="B952" s="9" t="n"/>
      <c r="H952">
        <f>K952*G952</f>
        <v/>
      </c>
      <c r="K952">
        <f>C952+D952</f>
        <v/>
      </c>
    </row>
    <row r="953" ht="15.75" customHeight="1" s="14">
      <c r="B953" s="9" t="n"/>
      <c r="H953">
        <f>K953*G953</f>
        <v/>
      </c>
      <c r="K953">
        <f>C953+D953</f>
        <v/>
      </c>
    </row>
    <row r="954" ht="15.75" customHeight="1" s="14">
      <c r="B954" s="9" t="n"/>
      <c r="H954">
        <f>K954*G954</f>
        <v/>
      </c>
      <c r="K954">
        <f>C954+D954</f>
        <v/>
      </c>
    </row>
    <row r="955" ht="15.75" customHeight="1" s="14">
      <c r="B955" s="9" t="n"/>
      <c r="H955">
        <f>K955*G955</f>
        <v/>
      </c>
      <c r="K955">
        <f>C955+D955</f>
        <v/>
      </c>
    </row>
    <row r="956" ht="15.75" customHeight="1" s="14">
      <c r="B956" s="9" t="n"/>
      <c r="H956">
        <f>K956*G956</f>
        <v/>
      </c>
      <c r="K956">
        <f>C956+D956</f>
        <v/>
      </c>
    </row>
    <row r="957" ht="15.75" customHeight="1" s="14">
      <c r="B957" s="9" t="n"/>
      <c r="H957">
        <f>K957*G957</f>
        <v/>
      </c>
      <c r="K957">
        <f>C957+D957</f>
        <v/>
      </c>
    </row>
    <row r="958" ht="15.75" customHeight="1" s="14">
      <c r="B958" s="9" t="n"/>
      <c r="H958">
        <f>K958*G958</f>
        <v/>
      </c>
      <c r="K958">
        <f>C958+D958</f>
        <v/>
      </c>
    </row>
    <row r="959" ht="15.75" customHeight="1" s="14">
      <c r="B959" s="9" t="n"/>
      <c r="H959">
        <f>K959*G959</f>
        <v/>
      </c>
      <c r="K959">
        <f>C959+D959</f>
        <v/>
      </c>
    </row>
    <row r="960" ht="15.75" customHeight="1" s="14">
      <c r="B960" s="9" t="n"/>
      <c r="H960">
        <f>K960*G960</f>
        <v/>
      </c>
      <c r="K960">
        <f>C960+D960</f>
        <v/>
      </c>
    </row>
    <row r="961" ht="15.75" customHeight="1" s="14">
      <c r="B961" s="9" t="n"/>
      <c r="H961">
        <f>K961*G961</f>
        <v/>
      </c>
      <c r="K961">
        <f>C961+D961</f>
        <v/>
      </c>
    </row>
    <row r="962" ht="15.75" customHeight="1" s="14">
      <c r="B962" s="9" t="n"/>
      <c r="H962">
        <f>K962*G962</f>
        <v/>
      </c>
      <c r="K962">
        <f>C962+D962</f>
        <v/>
      </c>
    </row>
    <row r="963" ht="15.75" customHeight="1" s="14">
      <c r="B963" s="9" t="n"/>
      <c r="H963">
        <f>K963*G963</f>
        <v/>
      </c>
      <c r="K963">
        <f>C963+D963</f>
        <v/>
      </c>
    </row>
    <row r="964" ht="15.75" customHeight="1" s="14">
      <c r="B964" s="9" t="n"/>
      <c r="H964">
        <f>K964*G964</f>
        <v/>
      </c>
      <c r="K964">
        <f>C964+D964</f>
        <v/>
      </c>
    </row>
    <row r="965" ht="15.75" customHeight="1" s="14">
      <c r="B965" s="9" t="n"/>
      <c r="H965">
        <f>K965*G965</f>
        <v/>
      </c>
      <c r="K965">
        <f>C965+D965</f>
        <v/>
      </c>
    </row>
    <row r="966" ht="15.75" customHeight="1" s="14">
      <c r="B966" s="9" t="n"/>
      <c r="H966">
        <f>K966*G966</f>
        <v/>
      </c>
      <c r="K966">
        <f>C966+D966</f>
        <v/>
      </c>
    </row>
    <row r="967" ht="15.75" customHeight="1" s="14">
      <c r="B967" s="9" t="n"/>
      <c r="H967">
        <f>K967*G967</f>
        <v/>
      </c>
      <c r="K967">
        <f>C967+D967</f>
        <v/>
      </c>
    </row>
    <row r="968" ht="15.75" customHeight="1" s="14">
      <c r="B968" s="9" t="n"/>
      <c r="H968">
        <f>K968*G968</f>
        <v/>
      </c>
      <c r="K968">
        <f>C968+D968</f>
        <v/>
      </c>
    </row>
    <row r="969" ht="15.75" customHeight="1" s="14">
      <c r="B969" s="9" t="n"/>
      <c r="H969">
        <f>K969*G969</f>
        <v/>
      </c>
      <c r="K969">
        <f>C969+D969</f>
        <v/>
      </c>
    </row>
    <row r="970" ht="15.75" customHeight="1" s="14">
      <c r="B970" s="9" t="n"/>
      <c r="H970">
        <f>K970*G970</f>
        <v/>
      </c>
      <c r="K970">
        <f>C970+D970</f>
        <v/>
      </c>
    </row>
    <row r="971" ht="15.75" customHeight="1" s="14">
      <c r="B971" s="9" t="n"/>
      <c r="H971">
        <f>K971*G971</f>
        <v/>
      </c>
      <c r="K971">
        <f>C971+D971</f>
        <v/>
      </c>
    </row>
    <row r="972" ht="15.75" customHeight="1" s="14">
      <c r="B972" s="9" t="n"/>
      <c r="H972">
        <f>K972*G972</f>
        <v/>
      </c>
      <c r="K972">
        <f>C972+D972</f>
        <v/>
      </c>
    </row>
    <row r="973" ht="15.75" customHeight="1" s="14">
      <c r="B973" s="9" t="n"/>
      <c r="H973">
        <f>K973*G973</f>
        <v/>
      </c>
      <c r="K973">
        <f>C973+D973</f>
        <v/>
      </c>
    </row>
    <row r="974" ht="15.75" customHeight="1" s="14">
      <c r="B974" s="9" t="n"/>
      <c r="H974">
        <f>K974*G974</f>
        <v/>
      </c>
      <c r="K974">
        <f>C974+D974</f>
        <v/>
      </c>
    </row>
    <row r="975" ht="15.75" customHeight="1" s="14">
      <c r="B975" s="9" t="n"/>
      <c r="H975">
        <f>K975*G975</f>
        <v/>
      </c>
      <c r="K975">
        <f>C975+D975</f>
        <v/>
      </c>
    </row>
    <row r="976" ht="15.75" customHeight="1" s="14">
      <c r="B976" s="9" t="n"/>
      <c r="H976">
        <f>K976*G976</f>
        <v/>
      </c>
      <c r="K976">
        <f>C976+D976</f>
        <v/>
      </c>
    </row>
    <row r="977" ht="15.75" customHeight="1" s="14">
      <c r="B977" s="9" t="n"/>
      <c r="H977">
        <f>K977*G977</f>
        <v/>
      </c>
      <c r="K977">
        <f>C977+D977</f>
        <v/>
      </c>
    </row>
    <row r="978" ht="15.75" customHeight="1" s="14">
      <c r="B978" s="9" t="n"/>
      <c r="H978">
        <f>K978*G978</f>
        <v/>
      </c>
      <c r="K978">
        <f>C978+D978</f>
        <v/>
      </c>
    </row>
    <row r="979" ht="15.75" customHeight="1" s="14">
      <c r="B979" s="9" t="n"/>
      <c r="H979">
        <f>K979*G979</f>
        <v/>
      </c>
      <c r="K979">
        <f>C979+D979</f>
        <v/>
      </c>
    </row>
    <row r="980" ht="15.75" customHeight="1" s="14">
      <c r="B980" s="9" t="n"/>
      <c r="H980">
        <f>K980*G980</f>
        <v/>
      </c>
      <c r="K980">
        <f>C980+D980</f>
        <v/>
      </c>
    </row>
    <row r="981" ht="15.75" customHeight="1" s="14">
      <c r="B981" s="9" t="n"/>
      <c r="H981">
        <f>K981*G981</f>
        <v/>
      </c>
      <c r="K981">
        <f>C981+D981</f>
        <v/>
      </c>
    </row>
    <row r="982" ht="15.75" customHeight="1" s="14">
      <c r="B982" s="9" t="n"/>
      <c r="H982">
        <f>K982*G982</f>
        <v/>
      </c>
      <c r="K982">
        <f>C982+D982</f>
        <v/>
      </c>
    </row>
    <row r="983" ht="15.75" customHeight="1" s="14">
      <c r="B983" s="9" t="n"/>
      <c r="H983">
        <f>K983*G983</f>
        <v/>
      </c>
      <c r="K983">
        <f>C983+D983</f>
        <v/>
      </c>
    </row>
    <row r="984" ht="15.75" customHeight="1" s="14">
      <c r="B984" s="9" t="n"/>
      <c r="H984">
        <f>K984*G984</f>
        <v/>
      </c>
      <c r="K984">
        <f>C984+D984</f>
        <v/>
      </c>
    </row>
    <row r="985" ht="15.75" customHeight="1" s="14">
      <c r="B985" s="9" t="n"/>
      <c r="H985">
        <f>K985*G985</f>
        <v/>
      </c>
      <c r="K985">
        <f>C985+D985</f>
        <v/>
      </c>
    </row>
    <row r="986" ht="15.75" customHeight="1" s="14">
      <c r="B986" s="9" t="n"/>
      <c r="H986">
        <f>K986*G986</f>
        <v/>
      </c>
      <c r="K986">
        <f>C986+D986</f>
        <v/>
      </c>
    </row>
    <row r="987" ht="15.75" customHeight="1" s="14">
      <c r="B987" s="9" t="n"/>
      <c r="H987">
        <f>K987*G987</f>
        <v/>
      </c>
      <c r="K987">
        <f>C987+D987</f>
        <v/>
      </c>
    </row>
    <row r="988" ht="15.75" customHeight="1" s="14">
      <c r="B988" s="9" t="n"/>
      <c r="H988">
        <f>K988*G988</f>
        <v/>
      </c>
      <c r="K988">
        <f>C988+D988</f>
        <v/>
      </c>
    </row>
    <row r="989" ht="15.75" customHeight="1" s="14">
      <c r="B989" s="9" t="n"/>
      <c r="H989">
        <f>K989*G989</f>
        <v/>
      </c>
      <c r="K989">
        <f>C989+D989</f>
        <v/>
      </c>
    </row>
    <row r="990" ht="15.75" customHeight="1" s="14">
      <c r="B990" s="9" t="n"/>
      <c r="H990">
        <f>K990*G990</f>
        <v/>
      </c>
      <c r="K990">
        <f>C990+D990</f>
        <v/>
      </c>
    </row>
    <row r="991" ht="15.75" customHeight="1" s="14">
      <c r="B991" s="9" t="n"/>
      <c r="H991">
        <f>K991*G991</f>
        <v/>
      </c>
      <c r="K991">
        <f>C991+D991</f>
        <v/>
      </c>
    </row>
    <row r="992" ht="15.75" customHeight="1" s="14">
      <c r="B992" s="9" t="n"/>
      <c r="H992">
        <f>K992*G992</f>
        <v/>
      </c>
      <c r="K992">
        <f>C992+D992</f>
        <v/>
      </c>
    </row>
    <row r="993" ht="15.75" customHeight="1" s="14">
      <c r="B993" s="9" t="n"/>
      <c r="H993">
        <f>K993*G993</f>
        <v/>
      </c>
      <c r="K993">
        <f>C993+D993</f>
        <v/>
      </c>
    </row>
    <row r="994" ht="15.75" customHeight="1" s="14">
      <c r="B994" s="9" t="n"/>
      <c r="H994">
        <f>K994*G994</f>
        <v/>
      </c>
      <c r="K994">
        <f>C994+D994</f>
        <v/>
      </c>
    </row>
    <row r="995" ht="15.75" customHeight="1" s="14">
      <c r="B995" s="9" t="n"/>
      <c r="H995">
        <f>K995*G995</f>
        <v/>
      </c>
      <c r="K995">
        <f>C995+D995</f>
        <v/>
      </c>
    </row>
    <row r="996" ht="15.75" customHeight="1" s="14">
      <c r="B996" s="9" t="n"/>
      <c r="H996">
        <f>K996*G996</f>
        <v/>
      </c>
      <c r="K996">
        <f>C996+D996</f>
        <v/>
      </c>
    </row>
    <row r="997" ht="15.75" customHeight="1" s="14">
      <c r="B997" s="9" t="n"/>
      <c r="H997">
        <f>K997*G997</f>
        <v/>
      </c>
      <c r="K997">
        <f>C997+D997</f>
        <v/>
      </c>
    </row>
    <row r="998" ht="15.75" customHeight="1" s="14">
      <c r="B998" s="9" t="n"/>
      <c r="H998">
        <f>K998*G998</f>
        <v/>
      </c>
      <c r="K998">
        <f>C998+D998</f>
        <v/>
      </c>
    </row>
    <row r="999" ht="15.75" customHeight="1" s="14">
      <c r="B999" s="9" t="n"/>
      <c r="H999">
        <f>K999*G999</f>
        <v/>
      </c>
      <c r="K999">
        <f>C999+D999</f>
        <v/>
      </c>
    </row>
    <row r="1000" ht="15.75" customHeight="1" s="14">
      <c r="B1000" s="9" t="n"/>
      <c r="H1000">
        <f>K1000*G1000</f>
        <v/>
      </c>
      <c r="K1000">
        <f>C1000+D1000</f>
        <v/>
      </c>
    </row>
  </sheetData>
  <dataValidations count="1">
    <dataValidation sqref="B2:B1000" showDropDown="0" showInputMessage="0" showErrorMessage="1" allowBlank="1" type="list">
      <formula1>Master_Items!$C$2:$C1006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I100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4" min="1" max="6"/>
  </cols>
  <sheetData>
    <row r="1" ht="15.75" customHeight="1" s="14">
      <c r="A1" s="5" t="inlineStr">
        <is>
          <t>Date</t>
        </is>
      </c>
      <c r="B1" s="5" t="inlineStr">
        <is>
          <t>Vendor</t>
        </is>
      </c>
      <c r="C1" s="5" t="inlineStr">
        <is>
          <t>Item Name</t>
        </is>
      </c>
      <c r="D1" s="5" t="inlineStr">
        <is>
          <t>Qty Purchased</t>
        </is>
      </c>
      <c r="E1" s="5" t="inlineStr">
        <is>
          <t>Unit Cost</t>
        </is>
      </c>
      <c r="F1" s="5" t="inlineStr">
        <is>
          <t>Total Cost</t>
        </is>
      </c>
      <c r="G1" s="5" t="inlineStr">
        <is>
          <t>Invoice #</t>
        </is>
      </c>
      <c r="H1" s="5" t="inlineStr">
        <is>
          <t>Paid?</t>
        </is>
      </c>
      <c r="I1" s="5" t="inlineStr">
        <is>
          <t>Notes</t>
        </is>
      </c>
    </row>
    <row r="2" ht="15.75" customHeight="1" s="14">
      <c r="B2" s="5" t="n"/>
      <c r="C2" s="5" t="n"/>
      <c r="E2" s="5">
        <f>IFERROR(__xludf.DUMMYFUNCTION("IFERROR(
 VLOOKUP(
   C2,
   FILTER(Vendors_Pricing!A:E, Vendors_Pricing!H:H=""Yes""),
   5,
   FALSE
 ),
 """"
)
"),"")</f>
        <v/>
      </c>
      <c r="F2" s="5">
        <f>D2 * E2</f>
        <v/>
      </c>
    </row>
    <row r="3" ht="15.75" customHeight="1" s="14">
      <c r="B3" s="5" t="n"/>
      <c r="C3" s="5" t="n"/>
      <c r="E3" s="5">
        <f>IFERROR(__xludf.DUMMYFUNCTION("IFERROR(
 VLOOKUP(
   C3,
   FILTER(Vendors_Pricing!A:E, Vendors_Pricing!H:H=""Yes""),
   5,
   FALSE
 ),
 """"
)
"),"")</f>
        <v/>
      </c>
      <c r="F3" s="5">
        <f>D3 * E3</f>
        <v/>
      </c>
    </row>
    <row r="4" ht="15.75" customHeight="1" s="14">
      <c r="B4" s="5" t="n"/>
      <c r="C4" s="5" t="n"/>
      <c r="E4" s="5">
        <f>IFERROR(__xludf.DUMMYFUNCTION("IFERROR(
 VLOOKUP(
   C4,
   FILTER(Vendors_Pricing!A:E, Vendors_Pricing!H:H=""Yes""),
   5,
   FALSE
 ),
 """"
)
"),"")</f>
        <v/>
      </c>
      <c r="F4" s="5">
        <f>D4 * E4</f>
        <v/>
      </c>
    </row>
    <row r="5" ht="15.75" customHeight="1" s="14">
      <c r="B5" s="5" t="n"/>
      <c r="C5" s="5" t="n"/>
      <c r="E5" s="5">
        <f>IFERROR(__xludf.DUMMYFUNCTION("IFERROR(
 VLOOKUP(
   C5,
   FILTER(Vendors_Pricing!A:E, Vendors_Pricing!H:H=""Yes""),
   5,
   FALSE
 ),
 """"
)
"),"")</f>
        <v/>
      </c>
      <c r="F5" s="5">
        <f>D5 * E5</f>
        <v/>
      </c>
    </row>
    <row r="6" ht="15.75" customHeight="1" s="14">
      <c r="B6" s="5" t="n"/>
      <c r="C6" s="5" t="n"/>
      <c r="E6" s="5">
        <f>IFERROR(__xludf.DUMMYFUNCTION("IFERROR(
 VLOOKUP(
   C6,
   FILTER(Vendors_Pricing!A:E, Vendors_Pricing!H:H=""Yes""),
   5,
   FALSE
 ),
 """"
)
"),"")</f>
        <v/>
      </c>
      <c r="F6" s="5">
        <f>D6 * E6</f>
        <v/>
      </c>
    </row>
    <row r="7" ht="15.75" customHeight="1" s="14">
      <c r="B7" s="5" t="n"/>
      <c r="C7" s="5" t="n"/>
      <c r="E7" s="5">
        <f>IFERROR(__xludf.DUMMYFUNCTION("IFERROR(
 VLOOKUP(
   C7,
   FILTER(Vendors_Pricing!A:E, Vendors_Pricing!H:H=""Yes""),
   5,
   FALSE
 ),
 """"
)
"),"")</f>
        <v/>
      </c>
      <c r="F7" s="5">
        <f>D7 * E7</f>
        <v/>
      </c>
    </row>
    <row r="8" ht="15.75" customHeight="1" s="14">
      <c r="B8" s="5" t="n"/>
      <c r="C8" s="5" t="n"/>
      <c r="E8" s="5">
        <f>IFERROR(__xludf.DUMMYFUNCTION("IFERROR(
 VLOOKUP(
   C8,
   FILTER(Vendors_Pricing!A:E, Vendors_Pricing!H:H=""Yes""),
   5,
   FALSE
 ),
 """"
)
"),"")</f>
        <v/>
      </c>
      <c r="F8" s="5">
        <f>D8 * E8</f>
        <v/>
      </c>
    </row>
    <row r="9" ht="15.75" customHeight="1" s="14">
      <c r="B9" s="5" t="n"/>
      <c r="C9" s="5" t="n"/>
      <c r="E9" s="5">
        <f>IFERROR(__xludf.DUMMYFUNCTION("IFERROR(
 VLOOKUP(
   C9,
   FILTER(Vendors_Pricing!A:E, Vendors_Pricing!H:H=""Yes""),
   5,
   FALSE
 ),
 """"
)
"),"")</f>
        <v/>
      </c>
      <c r="F9" s="5">
        <f>D9 * E9</f>
        <v/>
      </c>
    </row>
    <row r="10" ht="15.75" customHeight="1" s="14">
      <c r="B10" s="5" t="n"/>
      <c r="C10" s="5" t="n"/>
      <c r="E10" s="5">
        <f>IFERROR(__xludf.DUMMYFUNCTION("IFERROR(
 VLOOKUP(
   C10,
   FILTER(Vendors_Pricing!A:E, Vendors_Pricing!H:H=""Yes""),
   5,
   FALSE
 ),
 """"
)
"),"")</f>
        <v/>
      </c>
      <c r="F10" s="5">
        <f>D10 * E10</f>
        <v/>
      </c>
    </row>
    <row r="11" ht="15.75" customHeight="1" s="14">
      <c r="B11" s="5" t="n"/>
      <c r="C11" s="5" t="n"/>
      <c r="E11" s="5">
        <f>IFERROR(__xludf.DUMMYFUNCTION("IFERROR(
 VLOOKUP(
   C11,
   FILTER(Vendors_Pricing!A:E, Vendors_Pricing!H:H=""Yes""),
   5,
   FALSE
 ),
 """"
)
"),"")</f>
        <v/>
      </c>
      <c r="F11" s="5">
        <f>D11 * E11</f>
        <v/>
      </c>
    </row>
    <row r="12" ht="15.75" customHeight="1" s="14">
      <c r="B12" s="5" t="n"/>
      <c r="C12" s="5" t="n"/>
      <c r="E12" s="5">
        <f>IFERROR(__xludf.DUMMYFUNCTION("IFERROR(
 VLOOKUP(
   C12,
   FILTER(Vendors_Pricing!A:E, Vendors_Pricing!H:H=""Yes""),
   5,
   FALSE
 ),
 """"
)
"),"")</f>
        <v/>
      </c>
      <c r="F12" s="5">
        <f>D12 * E12</f>
        <v/>
      </c>
    </row>
    <row r="13" ht="15.75" customHeight="1" s="14">
      <c r="B13" s="5" t="n"/>
      <c r="C13" s="5" t="n"/>
      <c r="E13" s="5">
        <f>IFERROR(__xludf.DUMMYFUNCTION("IFERROR(
 VLOOKUP(
   C13,
   FILTER(Vendors_Pricing!A:E, Vendors_Pricing!H:H=""Yes""),
   5,
   FALSE
 ),
 """"
)
"),"")</f>
        <v/>
      </c>
      <c r="F13" s="5">
        <f>D13 * E13</f>
        <v/>
      </c>
    </row>
    <row r="14" ht="15.75" customHeight="1" s="14">
      <c r="B14" s="5" t="n"/>
      <c r="C14" s="5" t="n"/>
      <c r="E14" s="5">
        <f>IFERROR(__xludf.DUMMYFUNCTION("IFERROR(
 VLOOKUP(
   C14,
   FILTER(Vendors_Pricing!A:E, Vendors_Pricing!H:H=""Yes""),
   5,
   FALSE
 ),
 """"
)
"),"")</f>
        <v/>
      </c>
      <c r="F14" s="5">
        <f>D14 * E14</f>
        <v/>
      </c>
    </row>
    <row r="15" ht="15.75" customHeight="1" s="14">
      <c r="B15" s="5" t="n"/>
      <c r="C15" s="5" t="n"/>
      <c r="E15" s="5">
        <f>IFERROR(__xludf.DUMMYFUNCTION("IFERROR(
 VLOOKUP(
   C15,
   FILTER(Vendors_Pricing!A:E, Vendors_Pricing!H:H=""Yes""),
   5,
   FALSE
 ),
 """"
)
"),"")</f>
        <v/>
      </c>
      <c r="F15" s="5">
        <f>D15 * E15</f>
        <v/>
      </c>
    </row>
    <row r="16" ht="15.75" customHeight="1" s="14">
      <c r="B16" s="5" t="n"/>
      <c r="C16" s="5" t="n"/>
      <c r="E16" s="5">
        <f>IFERROR(__xludf.DUMMYFUNCTION("IFERROR(
 VLOOKUP(
   C16,
   FILTER(Vendors_Pricing!A:E, Vendors_Pricing!H:H=""Yes""),
   5,
   FALSE
 ),
 """"
)
"),"")</f>
        <v/>
      </c>
      <c r="F16" s="5">
        <f>D16 * E16</f>
        <v/>
      </c>
    </row>
    <row r="17" ht="15.75" customHeight="1" s="14">
      <c r="B17" s="5" t="n"/>
      <c r="C17" s="5" t="n"/>
      <c r="E17" s="5">
        <f>IFERROR(__xludf.DUMMYFUNCTION("IFERROR(
 VLOOKUP(
   C17,
   FILTER(Vendors_Pricing!A:E, Vendors_Pricing!H:H=""Yes""),
   5,
   FALSE
 ),
 """"
)
"),"")</f>
        <v/>
      </c>
      <c r="F17" s="5">
        <f>D17 * E17</f>
        <v/>
      </c>
    </row>
    <row r="18" ht="15.75" customHeight="1" s="14">
      <c r="B18" s="5" t="n"/>
      <c r="C18" s="5" t="n"/>
      <c r="E18" s="5">
        <f>IFERROR(__xludf.DUMMYFUNCTION("IFERROR(
 VLOOKUP(
   C18,
   FILTER(Vendors_Pricing!A:E, Vendors_Pricing!H:H=""Yes""),
   5,
   FALSE
 ),
 """"
)
"),"")</f>
        <v/>
      </c>
      <c r="F18" s="5">
        <f>D18 * E18</f>
        <v/>
      </c>
    </row>
    <row r="19" ht="15.75" customHeight="1" s="14">
      <c r="B19" s="5" t="n"/>
      <c r="C19" s="5" t="n"/>
      <c r="E19" s="5">
        <f>IFERROR(__xludf.DUMMYFUNCTION("IFERROR(
 VLOOKUP(
   C19,
   FILTER(Vendors_Pricing!A:E, Vendors_Pricing!H:H=""Yes""),
   5,
   FALSE
 ),
 """"
)
"),"")</f>
        <v/>
      </c>
      <c r="F19" s="5">
        <f>D19 * E19</f>
        <v/>
      </c>
    </row>
    <row r="20" ht="15.75" customHeight="1" s="14">
      <c r="B20" s="5" t="n"/>
      <c r="C20" s="5" t="n"/>
      <c r="E20" s="5">
        <f>IFERROR(__xludf.DUMMYFUNCTION("IFERROR(
 VLOOKUP(
   C20,
   FILTER(Vendors_Pricing!A:E, Vendors_Pricing!H:H=""Yes""),
   5,
   FALSE
 ),
 """"
)
"),"")</f>
        <v/>
      </c>
      <c r="F20" s="5">
        <f>D20 * E20</f>
        <v/>
      </c>
    </row>
    <row r="21" ht="15.75" customHeight="1" s="14">
      <c r="B21" s="5" t="n"/>
      <c r="C21" s="5" t="n"/>
      <c r="E21" s="5">
        <f>IFERROR(__xludf.DUMMYFUNCTION("IFERROR(
 VLOOKUP(
   C21,
   FILTER(Vendors_Pricing!A:E, Vendors_Pricing!H:H=""Yes""),
   5,
   FALSE
 ),
 """"
)
"),"")</f>
        <v/>
      </c>
      <c r="F21" s="5">
        <f>D21 * E21</f>
        <v/>
      </c>
    </row>
    <row r="22" ht="15.75" customHeight="1" s="14">
      <c r="B22" s="5" t="n"/>
      <c r="C22" s="5" t="n"/>
      <c r="E22" s="5">
        <f>IFERROR(__xludf.DUMMYFUNCTION("IFERROR(
 VLOOKUP(
   C22,
   FILTER(Vendors_Pricing!A:E, Vendors_Pricing!H:H=""Yes""),
   5,
   FALSE
 ),
 """"
)
"),"")</f>
        <v/>
      </c>
      <c r="F22" s="5">
        <f>D22 * E22</f>
        <v/>
      </c>
    </row>
    <row r="23" ht="15.75" customHeight="1" s="14">
      <c r="B23" s="5" t="n"/>
      <c r="C23" s="5" t="n"/>
      <c r="E23" s="5">
        <f>IFERROR(__xludf.DUMMYFUNCTION("IFERROR(
 VLOOKUP(
   C23,
   FILTER(Vendors_Pricing!A:E, Vendors_Pricing!H:H=""Yes""),
   5,
   FALSE
 ),
 """"
)
"),"")</f>
        <v/>
      </c>
      <c r="F23" s="5">
        <f>D23 * E23</f>
        <v/>
      </c>
    </row>
    <row r="24" ht="15.75" customHeight="1" s="14">
      <c r="B24" s="5" t="n"/>
      <c r="C24" s="5" t="n"/>
      <c r="E24" s="5">
        <f>IFERROR(__xludf.DUMMYFUNCTION("IFERROR(
 VLOOKUP(
   C24,
   FILTER(Vendors_Pricing!A:E, Vendors_Pricing!H:H=""Yes""),
   5,
   FALSE
 ),
 """"
)
"),"")</f>
        <v/>
      </c>
      <c r="F24" s="5">
        <f>D24 * E24</f>
        <v/>
      </c>
    </row>
    <row r="25" ht="15.75" customHeight="1" s="14">
      <c r="B25" s="5" t="n"/>
      <c r="C25" s="5" t="n"/>
      <c r="E25" s="5">
        <f>IFERROR(__xludf.DUMMYFUNCTION("IFERROR(
 VLOOKUP(
   C25,
   FILTER(Vendors_Pricing!A:E, Vendors_Pricing!H:H=""Yes""),
   5,
   FALSE
 ),
 """"
)
"),"")</f>
        <v/>
      </c>
      <c r="F25" s="5">
        <f>D25 * E25</f>
        <v/>
      </c>
    </row>
    <row r="26" ht="15.75" customHeight="1" s="14">
      <c r="B26" s="5" t="n"/>
      <c r="C26" s="5" t="n"/>
      <c r="E26" s="5">
        <f>IFERROR(__xludf.DUMMYFUNCTION("IFERROR(
 VLOOKUP(
   C26,
   FILTER(Vendors_Pricing!A:E, Vendors_Pricing!H:H=""Yes""),
   5,
   FALSE
 ),
 """"
)
"),"")</f>
        <v/>
      </c>
      <c r="F26" s="5">
        <f>D26 * E26</f>
        <v/>
      </c>
    </row>
    <row r="27" ht="15.75" customHeight="1" s="14">
      <c r="B27" s="5" t="n"/>
      <c r="C27" s="5" t="n"/>
      <c r="E27" s="5">
        <f>IFERROR(__xludf.DUMMYFUNCTION("IFERROR(
 VLOOKUP(
   C27,
   FILTER(Vendors_Pricing!A:E, Vendors_Pricing!H:H=""Yes""),
   5,
   FALSE
 ),
 """"
)
"),"")</f>
        <v/>
      </c>
      <c r="F27" s="5">
        <f>D27 * E27</f>
        <v/>
      </c>
    </row>
    <row r="28" ht="15.75" customHeight="1" s="14">
      <c r="B28" s="5" t="n"/>
      <c r="C28" s="5" t="n"/>
      <c r="E28" s="5">
        <f>IFERROR(__xludf.DUMMYFUNCTION("IFERROR(
 VLOOKUP(
   C28,
   FILTER(Vendors_Pricing!A:E, Vendors_Pricing!H:H=""Yes""),
   5,
   FALSE
 ),
 """"
)
"),"")</f>
        <v/>
      </c>
      <c r="F28" s="5">
        <f>D28 * E28</f>
        <v/>
      </c>
    </row>
    <row r="29" ht="15.75" customHeight="1" s="14">
      <c r="B29" s="5" t="n"/>
      <c r="C29" s="5" t="n"/>
      <c r="E29" s="5">
        <f>IFERROR(__xludf.DUMMYFUNCTION("IFERROR(
 VLOOKUP(
   C29,
   FILTER(Vendors_Pricing!A:E, Vendors_Pricing!H:H=""Yes""),
   5,
   FALSE
 ),
 """"
)
"),"")</f>
        <v/>
      </c>
      <c r="F29" s="5">
        <f>D29 * E29</f>
        <v/>
      </c>
    </row>
    <row r="30" ht="15.75" customHeight="1" s="14">
      <c r="B30" s="5" t="n"/>
      <c r="C30" s="5" t="n"/>
      <c r="E30" s="5">
        <f>IFERROR(__xludf.DUMMYFUNCTION("IFERROR(
 VLOOKUP(
   C30,
   FILTER(Vendors_Pricing!A:E, Vendors_Pricing!H:H=""Yes""),
   5,
   FALSE
 ),
 """"
)
"),"")</f>
        <v/>
      </c>
      <c r="F30" s="5">
        <f>D30 * E30</f>
        <v/>
      </c>
    </row>
    <row r="31" ht="15.75" customHeight="1" s="14">
      <c r="B31" s="5" t="n"/>
      <c r="C31" s="5" t="n"/>
      <c r="E31" s="5">
        <f>IFERROR(__xludf.DUMMYFUNCTION("IFERROR(
 VLOOKUP(
   C31,
   FILTER(Vendors_Pricing!A:E, Vendors_Pricing!H:H=""Yes""),
   5,
   FALSE
 ),
 """"
)
"),"")</f>
        <v/>
      </c>
      <c r="F31" s="5">
        <f>D31 * E31</f>
        <v/>
      </c>
    </row>
    <row r="32" ht="15.75" customHeight="1" s="14">
      <c r="B32" s="5" t="n"/>
      <c r="C32" s="5" t="n"/>
      <c r="E32" s="5">
        <f>IFERROR(__xludf.DUMMYFUNCTION("IFERROR(
 VLOOKUP(
   C32,
   FILTER(Vendors_Pricing!A:E, Vendors_Pricing!H:H=""Yes""),
   5,
   FALSE
 ),
 """"
)
"),"")</f>
        <v/>
      </c>
      <c r="F32" s="5">
        <f>D32 * E32</f>
        <v/>
      </c>
    </row>
    <row r="33" ht="15.75" customHeight="1" s="14">
      <c r="B33" s="5" t="n"/>
      <c r="C33" s="5" t="n"/>
      <c r="E33" s="5">
        <f>IFERROR(__xludf.DUMMYFUNCTION("IFERROR(
 VLOOKUP(
   C33,
   FILTER(Vendors_Pricing!A:E, Vendors_Pricing!H:H=""Yes""),
   5,
   FALSE
 ),
 """"
)
"),"")</f>
        <v/>
      </c>
      <c r="F33" s="5">
        <f>D33 * E33</f>
        <v/>
      </c>
    </row>
    <row r="34" ht="15.75" customHeight="1" s="14">
      <c r="B34" s="5" t="n"/>
      <c r="C34" s="5" t="n"/>
      <c r="E34" s="5">
        <f>IFERROR(__xludf.DUMMYFUNCTION("IFERROR(
 VLOOKUP(
   C34,
   FILTER(Vendors_Pricing!A:E, Vendors_Pricing!H:H=""Yes""),
   5,
   FALSE
 ),
 """"
)
"),"")</f>
        <v/>
      </c>
      <c r="F34" s="5">
        <f>D34 * E34</f>
        <v/>
      </c>
    </row>
    <row r="35" ht="15.75" customHeight="1" s="14">
      <c r="B35" s="5" t="n"/>
      <c r="C35" s="5" t="n"/>
      <c r="E35" s="5">
        <f>IFERROR(__xludf.DUMMYFUNCTION("IFERROR(
 VLOOKUP(
   C35,
   FILTER(Vendors_Pricing!A:E, Vendors_Pricing!H:H=""Yes""),
   5,
   FALSE
 ),
 """"
)
"),"")</f>
        <v/>
      </c>
      <c r="F35" s="5">
        <f>D35 * E35</f>
        <v/>
      </c>
    </row>
    <row r="36" ht="15.75" customHeight="1" s="14">
      <c r="B36" s="5" t="n"/>
      <c r="C36" s="5" t="n"/>
      <c r="E36" s="5">
        <f>IFERROR(__xludf.DUMMYFUNCTION("IFERROR(
 VLOOKUP(
   C36,
   FILTER(Vendors_Pricing!A:E, Vendors_Pricing!H:H=""Yes""),
   5,
   FALSE
 ),
 """"
)
"),"")</f>
        <v/>
      </c>
      <c r="F36" s="5">
        <f>D36 * E36</f>
        <v/>
      </c>
    </row>
    <row r="37" ht="15.75" customHeight="1" s="14">
      <c r="B37" s="5" t="n"/>
      <c r="C37" s="5" t="n"/>
      <c r="E37" s="5">
        <f>IFERROR(__xludf.DUMMYFUNCTION("IFERROR(
 VLOOKUP(
   C37,
   FILTER(Vendors_Pricing!A:E, Vendors_Pricing!H:H=""Yes""),
   5,
   FALSE
 ),
 """"
)
"),"")</f>
        <v/>
      </c>
      <c r="F37" s="5">
        <f>D37 * E37</f>
        <v/>
      </c>
    </row>
    <row r="38" ht="15.75" customHeight="1" s="14">
      <c r="B38" s="5" t="n"/>
      <c r="C38" s="5" t="n"/>
      <c r="E38" s="5">
        <f>IFERROR(__xludf.DUMMYFUNCTION("IFERROR(
 VLOOKUP(
   C38,
   FILTER(Vendors_Pricing!A:E, Vendors_Pricing!H:H=""Yes""),
   5,
   FALSE
 ),
 """"
)
"),"")</f>
        <v/>
      </c>
      <c r="F38" s="5">
        <f>D38 * E38</f>
        <v/>
      </c>
    </row>
    <row r="39" ht="15.75" customHeight="1" s="14">
      <c r="B39" s="5" t="n"/>
      <c r="C39" s="5" t="n"/>
      <c r="E39" s="5">
        <f>IFERROR(__xludf.DUMMYFUNCTION("IFERROR(
 VLOOKUP(
   C39,
   FILTER(Vendors_Pricing!A:E, Vendors_Pricing!H:H=""Yes""),
   5,
   FALSE
 ),
 """"
)
"),"")</f>
        <v/>
      </c>
      <c r="F39" s="5">
        <f>D39 * E39</f>
        <v/>
      </c>
    </row>
    <row r="40" ht="15.75" customHeight="1" s="14">
      <c r="B40" s="5" t="n"/>
      <c r="C40" s="5" t="n"/>
      <c r="E40" s="5">
        <f>IFERROR(__xludf.DUMMYFUNCTION("IFERROR(
 VLOOKUP(
   C40,
   FILTER(Vendors_Pricing!A:E, Vendors_Pricing!H:H=""Yes""),
   5,
   FALSE
 ),
 """"
)
"),"")</f>
        <v/>
      </c>
      <c r="F40" s="5">
        <f>D40 * E40</f>
        <v/>
      </c>
    </row>
    <row r="41" ht="15.75" customHeight="1" s="14">
      <c r="B41" s="5" t="n"/>
      <c r="C41" s="5" t="n"/>
      <c r="E41" s="5">
        <f>IFERROR(__xludf.DUMMYFUNCTION("IFERROR(
 VLOOKUP(
   C41,
   FILTER(Vendors_Pricing!A:E, Vendors_Pricing!H:H=""Yes""),
   5,
   FALSE
 ),
 """"
)
"),"")</f>
        <v/>
      </c>
      <c r="F41" s="5">
        <f>D41 * E41</f>
        <v/>
      </c>
    </row>
    <row r="42" ht="15.75" customHeight="1" s="14">
      <c r="B42" s="5" t="n"/>
      <c r="C42" s="5" t="n"/>
      <c r="E42" s="5">
        <f>IFERROR(__xludf.DUMMYFUNCTION("IFERROR(
 VLOOKUP(
   C42,
   FILTER(Vendors_Pricing!A:E, Vendors_Pricing!H:H=""Yes""),
   5,
   FALSE
 ),
 """"
)
"),"")</f>
        <v/>
      </c>
      <c r="F42" s="5">
        <f>D42 * E42</f>
        <v/>
      </c>
    </row>
    <row r="43" ht="15.75" customHeight="1" s="14">
      <c r="B43" s="5" t="n"/>
      <c r="C43" s="5" t="n"/>
      <c r="E43" s="5">
        <f>IFERROR(__xludf.DUMMYFUNCTION("IFERROR(
 VLOOKUP(
   C43,
   FILTER(Vendors_Pricing!A:E, Vendors_Pricing!H:H=""Yes""),
   5,
   FALSE
 ),
 """"
)
"),"")</f>
        <v/>
      </c>
      <c r="F43" s="5">
        <f>D43 * E43</f>
        <v/>
      </c>
    </row>
    <row r="44" ht="15.75" customHeight="1" s="14">
      <c r="B44" s="5" t="n"/>
      <c r="C44" s="5" t="n"/>
      <c r="E44" s="5">
        <f>IFERROR(__xludf.DUMMYFUNCTION("IFERROR(
 VLOOKUP(
   C44,
   FILTER(Vendors_Pricing!A:E, Vendors_Pricing!H:H=""Yes""),
   5,
   FALSE
 ),
 """"
)
"),"")</f>
        <v/>
      </c>
      <c r="F44" s="5">
        <f>D44 * E44</f>
        <v/>
      </c>
    </row>
    <row r="45" ht="15.75" customHeight="1" s="14">
      <c r="B45" s="5" t="n"/>
      <c r="C45" s="5" t="n"/>
      <c r="E45" s="5">
        <f>IFERROR(__xludf.DUMMYFUNCTION("IFERROR(
 VLOOKUP(
   C45,
   FILTER(Vendors_Pricing!A:E, Vendors_Pricing!H:H=""Yes""),
   5,
   FALSE
 ),
 """"
)
"),"")</f>
        <v/>
      </c>
      <c r="F45" s="5">
        <f>D45 * E45</f>
        <v/>
      </c>
    </row>
    <row r="46" ht="15.75" customHeight="1" s="14">
      <c r="B46" s="5" t="n"/>
      <c r="C46" s="5" t="n"/>
      <c r="E46" s="5">
        <f>IFERROR(__xludf.DUMMYFUNCTION("IFERROR(
 VLOOKUP(
   C46,
   FILTER(Vendors_Pricing!A:E, Vendors_Pricing!H:H=""Yes""),
   5,
   FALSE
 ),
 """"
)
"),"")</f>
        <v/>
      </c>
      <c r="F46" s="5">
        <f>D46 * E46</f>
        <v/>
      </c>
    </row>
    <row r="47" ht="15.75" customHeight="1" s="14">
      <c r="B47" s="5" t="n"/>
      <c r="C47" s="5" t="n"/>
      <c r="E47" s="5">
        <f>IFERROR(__xludf.DUMMYFUNCTION("IFERROR(
 VLOOKUP(
   C47,
   FILTER(Vendors_Pricing!A:E, Vendors_Pricing!H:H=""Yes""),
   5,
   FALSE
 ),
 """"
)
"),"")</f>
        <v/>
      </c>
      <c r="F47" s="5">
        <f>D47 * E47</f>
        <v/>
      </c>
    </row>
    <row r="48" ht="15.75" customHeight="1" s="14">
      <c r="B48" s="5" t="n"/>
      <c r="C48" s="5" t="n"/>
      <c r="E48" s="5">
        <f>IFERROR(__xludf.DUMMYFUNCTION("IFERROR(
 VLOOKUP(
   C48,
   FILTER(Vendors_Pricing!A:E, Vendors_Pricing!H:H=""Yes""),
   5,
   FALSE
 ),
 """"
)
"),"")</f>
        <v/>
      </c>
      <c r="F48" s="5">
        <f>D48 * E48</f>
        <v/>
      </c>
    </row>
    <row r="49" ht="15.75" customHeight="1" s="14">
      <c r="B49" s="5" t="n"/>
      <c r="C49" s="5" t="n"/>
      <c r="E49" s="5">
        <f>IFERROR(__xludf.DUMMYFUNCTION("IFERROR(
 VLOOKUP(
   C49,
   FILTER(Vendors_Pricing!A:E, Vendors_Pricing!H:H=""Yes""),
   5,
   FALSE
 ),
 """"
)
"),"")</f>
        <v/>
      </c>
      <c r="F49" s="5">
        <f>D49 * E49</f>
        <v/>
      </c>
    </row>
    <row r="50" ht="15.75" customHeight="1" s="14">
      <c r="B50" s="5" t="n"/>
      <c r="C50" s="5" t="n"/>
      <c r="E50" s="5">
        <f>IFERROR(__xludf.DUMMYFUNCTION("IFERROR(
 VLOOKUP(
   C50,
   FILTER(Vendors_Pricing!A:E, Vendors_Pricing!H:H=""Yes""),
   5,
   FALSE
 ),
 """"
)
"),"")</f>
        <v/>
      </c>
      <c r="F50" s="5">
        <f>D50 * E50</f>
        <v/>
      </c>
    </row>
    <row r="51" ht="15.75" customHeight="1" s="14">
      <c r="B51" s="5" t="n"/>
      <c r="C51" s="5" t="n"/>
      <c r="E51" s="5">
        <f>IFERROR(__xludf.DUMMYFUNCTION("IFERROR(
 VLOOKUP(
   C51,
   FILTER(Vendors_Pricing!A:E, Vendors_Pricing!H:H=""Yes""),
   5,
   FALSE
 ),
 """"
)
"),"")</f>
        <v/>
      </c>
      <c r="F51" s="5">
        <f>D51 * E51</f>
        <v/>
      </c>
    </row>
    <row r="52" ht="15.75" customHeight="1" s="14">
      <c r="B52" s="5" t="n"/>
      <c r="C52" s="5" t="n"/>
      <c r="E52" s="5">
        <f>IFERROR(__xludf.DUMMYFUNCTION("IFERROR(
 VLOOKUP(
   C52,
   FILTER(Vendors_Pricing!A:E, Vendors_Pricing!H:H=""Yes""),
   5,
   FALSE
 ),
 """"
)
"),"")</f>
        <v/>
      </c>
      <c r="F52" s="5">
        <f>D52 * E52</f>
        <v/>
      </c>
    </row>
    <row r="53" ht="15.75" customHeight="1" s="14">
      <c r="B53" s="5" t="n"/>
      <c r="C53" s="5" t="n"/>
      <c r="E53" s="5">
        <f>IFERROR(__xludf.DUMMYFUNCTION("IFERROR(
 VLOOKUP(
   C53,
   FILTER(Vendors_Pricing!A:E, Vendors_Pricing!H:H=""Yes""),
   5,
   FALSE
 ),
 """"
)
"),"")</f>
        <v/>
      </c>
      <c r="F53" s="5">
        <f>D53 * E53</f>
        <v/>
      </c>
    </row>
    <row r="54" ht="15.75" customHeight="1" s="14">
      <c r="B54" s="5" t="n"/>
      <c r="C54" s="5" t="n"/>
      <c r="E54" s="5">
        <f>IFERROR(__xludf.DUMMYFUNCTION("IFERROR(
 VLOOKUP(
   C54,
   FILTER(Vendors_Pricing!A:E, Vendors_Pricing!H:H=""Yes""),
   5,
   FALSE
 ),
 """"
)
"),"")</f>
        <v/>
      </c>
      <c r="F54" s="5">
        <f>D54 * E54</f>
        <v/>
      </c>
    </row>
    <row r="55" ht="15.75" customHeight="1" s="14">
      <c r="B55" s="5" t="n"/>
      <c r="C55" s="5" t="n"/>
      <c r="E55" s="5">
        <f>IFERROR(__xludf.DUMMYFUNCTION("IFERROR(
 VLOOKUP(
   C55,
   FILTER(Vendors_Pricing!A:E, Vendors_Pricing!H:H=""Yes""),
   5,
   FALSE
 ),
 """"
)
"),"")</f>
        <v/>
      </c>
      <c r="F55" s="5">
        <f>D55 * E55</f>
        <v/>
      </c>
    </row>
    <row r="56" ht="15.75" customHeight="1" s="14">
      <c r="B56" s="5" t="n"/>
      <c r="C56" s="5" t="n"/>
      <c r="E56" s="5">
        <f>IFERROR(__xludf.DUMMYFUNCTION("IFERROR(
 VLOOKUP(
   C56,
   FILTER(Vendors_Pricing!A:E, Vendors_Pricing!H:H=""Yes""),
   5,
   FALSE
 ),
 """"
)
"),"")</f>
        <v/>
      </c>
      <c r="F56" s="5">
        <f>D56 * E56</f>
        <v/>
      </c>
    </row>
    <row r="57" ht="15.75" customHeight="1" s="14">
      <c r="B57" s="5" t="n"/>
      <c r="C57" s="5" t="n"/>
      <c r="E57" s="5">
        <f>IFERROR(__xludf.DUMMYFUNCTION("IFERROR(
 VLOOKUP(
   C57,
   FILTER(Vendors_Pricing!A:E, Vendors_Pricing!H:H=""Yes""),
   5,
   FALSE
 ),
 """"
)
"),"")</f>
        <v/>
      </c>
      <c r="F57" s="5">
        <f>D57 * E57</f>
        <v/>
      </c>
    </row>
    <row r="58" ht="15.75" customHeight="1" s="14">
      <c r="B58" s="5" t="n"/>
      <c r="C58" s="5" t="n"/>
      <c r="E58" s="5">
        <f>IFERROR(__xludf.DUMMYFUNCTION("IFERROR(
 VLOOKUP(
   C58,
   FILTER(Vendors_Pricing!A:E, Vendors_Pricing!H:H=""Yes""),
   5,
   FALSE
 ),
 """"
)
"),"")</f>
        <v/>
      </c>
      <c r="F58" s="5">
        <f>D58 * E58</f>
        <v/>
      </c>
    </row>
    <row r="59" ht="15.75" customHeight="1" s="14">
      <c r="B59" s="5" t="n"/>
      <c r="C59" s="5" t="n"/>
      <c r="E59" s="5">
        <f>IFERROR(__xludf.DUMMYFUNCTION("IFERROR(
 VLOOKUP(
   C59,
   FILTER(Vendors_Pricing!A:E, Vendors_Pricing!H:H=""Yes""),
   5,
   FALSE
 ),
 """"
)
"),"")</f>
        <v/>
      </c>
      <c r="F59" s="5">
        <f>D59 * E59</f>
        <v/>
      </c>
    </row>
    <row r="60" ht="15.75" customHeight="1" s="14">
      <c r="B60" s="5" t="n"/>
      <c r="C60" s="5" t="n"/>
      <c r="E60" s="5">
        <f>IFERROR(__xludf.DUMMYFUNCTION("IFERROR(
 VLOOKUP(
   C60,
   FILTER(Vendors_Pricing!A:E, Vendors_Pricing!H:H=""Yes""),
   5,
   FALSE
 ),
 """"
)
"),"")</f>
        <v/>
      </c>
      <c r="F60" s="5">
        <f>D60 * E60</f>
        <v/>
      </c>
    </row>
    <row r="61" ht="15.75" customHeight="1" s="14">
      <c r="B61" s="5" t="n"/>
      <c r="C61" s="5" t="n"/>
      <c r="E61" s="5">
        <f>IFERROR(__xludf.DUMMYFUNCTION("IFERROR(
 VLOOKUP(
   C61,
   FILTER(Vendors_Pricing!A:E, Vendors_Pricing!H:H=""Yes""),
   5,
   FALSE
 ),
 """"
)
"),"")</f>
        <v/>
      </c>
      <c r="F61" s="5">
        <f>D61 * E61</f>
        <v/>
      </c>
    </row>
    <row r="62" ht="15.75" customHeight="1" s="14">
      <c r="B62" s="5" t="n"/>
      <c r="C62" s="5" t="n"/>
      <c r="E62" s="5">
        <f>IFERROR(__xludf.DUMMYFUNCTION("IFERROR(
 VLOOKUP(
   C62,
   FILTER(Vendors_Pricing!A:E, Vendors_Pricing!H:H=""Yes""),
   5,
   FALSE
 ),
 """"
)
"),"")</f>
        <v/>
      </c>
      <c r="F62" s="5">
        <f>D62 * E62</f>
        <v/>
      </c>
    </row>
    <row r="63" ht="15.75" customHeight="1" s="14">
      <c r="B63" s="5" t="n"/>
      <c r="C63" s="5" t="n"/>
      <c r="E63" s="5">
        <f>IFERROR(__xludf.DUMMYFUNCTION("IFERROR(
 VLOOKUP(
   C63,
   FILTER(Vendors_Pricing!A:E, Vendors_Pricing!H:H=""Yes""),
   5,
   FALSE
 ),
 """"
)
"),"")</f>
        <v/>
      </c>
      <c r="F63" s="5">
        <f>D63 * E63</f>
        <v/>
      </c>
    </row>
    <row r="64" ht="15.75" customHeight="1" s="14">
      <c r="B64" s="5" t="n"/>
      <c r="C64" s="5" t="n"/>
      <c r="E64" s="5">
        <f>IFERROR(__xludf.DUMMYFUNCTION("IFERROR(
 VLOOKUP(
   C64,
   FILTER(Vendors_Pricing!A:E, Vendors_Pricing!H:H=""Yes""),
   5,
   FALSE
 ),
 """"
)
"),"")</f>
        <v/>
      </c>
      <c r="F64" s="5">
        <f>D64 * E64</f>
        <v/>
      </c>
    </row>
    <row r="65" ht="15.75" customHeight="1" s="14">
      <c r="B65" s="5" t="n"/>
      <c r="C65" s="5" t="n"/>
      <c r="E65" s="5">
        <f>IFERROR(__xludf.DUMMYFUNCTION("IFERROR(
 VLOOKUP(
   C65,
   FILTER(Vendors_Pricing!A:E, Vendors_Pricing!H:H=""Yes""),
   5,
   FALSE
 ),
 """"
)
"),"")</f>
        <v/>
      </c>
      <c r="F65" s="5">
        <f>D65 * E65</f>
        <v/>
      </c>
    </row>
    <row r="66" ht="15.75" customHeight="1" s="14">
      <c r="B66" s="5" t="n"/>
      <c r="C66" s="5" t="n"/>
      <c r="E66" s="5">
        <f>IFERROR(__xludf.DUMMYFUNCTION("IFERROR(
 VLOOKUP(
   C66,
   FILTER(Vendors_Pricing!A:E, Vendors_Pricing!H:H=""Yes""),
   5,
   FALSE
 ),
 """"
)
"),"")</f>
        <v/>
      </c>
      <c r="F66" s="5">
        <f>D66 * E66</f>
        <v/>
      </c>
    </row>
    <row r="67" ht="15.75" customHeight="1" s="14">
      <c r="B67" s="5" t="n"/>
      <c r="C67" s="5" t="n"/>
      <c r="E67" s="5">
        <f>IFERROR(__xludf.DUMMYFUNCTION("IFERROR(
 VLOOKUP(
   C67,
   FILTER(Vendors_Pricing!A:E, Vendors_Pricing!H:H=""Yes""),
   5,
   FALSE
 ),
 """"
)
"),"")</f>
        <v/>
      </c>
      <c r="F67" s="5">
        <f>D67 * E67</f>
        <v/>
      </c>
    </row>
    <row r="68" ht="15.75" customHeight="1" s="14">
      <c r="B68" s="5" t="n"/>
      <c r="C68" s="5" t="n"/>
      <c r="E68" s="5">
        <f>IFERROR(__xludf.DUMMYFUNCTION("IFERROR(
 VLOOKUP(
   C68,
   FILTER(Vendors_Pricing!A:E, Vendors_Pricing!H:H=""Yes""),
   5,
   FALSE
 ),
 """"
)
"),"")</f>
        <v/>
      </c>
      <c r="F68" s="5">
        <f>D68 * E68</f>
        <v/>
      </c>
    </row>
    <row r="69" ht="15.75" customHeight="1" s="14">
      <c r="B69" s="5" t="n"/>
      <c r="C69" s="5" t="n"/>
      <c r="E69" s="5">
        <f>IFERROR(__xludf.DUMMYFUNCTION("IFERROR(
 VLOOKUP(
   C69,
   FILTER(Vendors_Pricing!A:E, Vendors_Pricing!H:H=""Yes""),
   5,
   FALSE
 ),
 """"
)
"),"")</f>
        <v/>
      </c>
      <c r="F69" s="5">
        <f>D69 * E69</f>
        <v/>
      </c>
    </row>
    <row r="70" ht="15.75" customHeight="1" s="14">
      <c r="B70" s="5" t="n"/>
      <c r="C70" s="5" t="n"/>
      <c r="E70" s="5">
        <f>IFERROR(__xludf.DUMMYFUNCTION("IFERROR(
 VLOOKUP(
   C70,
   FILTER(Vendors_Pricing!A:E, Vendors_Pricing!H:H=""Yes""),
   5,
   FALSE
 ),
 """"
)
"),"")</f>
        <v/>
      </c>
      <c r="F70" s="5">
        <f>D70 * E70</f>
        <v/>
      </c>
    </row>
    <row r="71" ht="15.75" customHeight="1" s="14">
      <c r="B71" s="5" t="n"/>
      <c r="C71" s="5" t="n"/>
      <c r="E71" s="5">
        <f>IFERROR(__xludf.DUMMYFUNCTION("IFERROR(
 VLOOKUP(
   C71,
   FILTER(Vendors_Pricing!A:E, Vendors_Pricing!H:H=""Yes""),
   5,
   FALSE
 ),
 """"
)
"),"")</f>
        <v/>
      </c>
      <c r="F71" s="5">
        <f>D71 * E71</f>
        <v/>
      </c>
    </row>
    <row r="72" ht="15.75" customHeight="1" s="14">
      <c r="B72" s="5" t="n"/>
      <c r="C72" s="5" t="n"/>
      <c r="E72" s="5">
        <f>IFERROR(__xludf.DUMMYFUNCTION("IFERROR(
 VLOOKUP(
   C72,
   FILTER(Vendors_Pricing!A:E, Vendors_Pricing!H:H=""Yes""),
   5,
   FALSE
 ),
 """"
)
"),"")</f>
        <v/>
      </c>
      <c r="F72" s="5">
        <f>D72 * E72</f>
        <v/>
      </c>
    </row>
    <row r="73" ht="15.75" customHeight="1" s="14">
      <c r="B73" s="5" t="n"/>
      <c r="C73" s="5" t="n"/>
      <c r="E73" s="5">
        <f>IFERROR(__xludf.DUMMYFUNCTION("IFERROR(
 VLOOKUP(
   C73,
   FILTER(Vendors_Pricing!A:E, Vendors_Pricing!H:H=""Yes""),
   5,
   FALSE
 ),
 """"
)
"),"")</f>
        <v/>
      </c>
      <c r="F73" s="5">
        <f>D73 * E73</f>
        <v/>
      </c>
    </row>
    <row r="74" ht="15.75" customHeight="1" s="14">
      <c r="B74" s="5" t="n"/>
      <c r="C74" s="5" t="n"/>
      <c r="E74" s="5">
        <f>IFERROR(__xludf.DUMMYFUNCTION("IFERROR(
 VLOOKUP(
   C74,
   FILTER(Vendors_Pricing!A:E, Vendors_Pricing!H:H=""Yes""),
   5,
   FALSE
 ),
 """"
)
"),"")</f>
        <v/>
      </c>
      <c r="F74" s="5">
        <f>D74 * E74</f>
        <v/>
      </c>
    </row>
    <row r="75" ht="15.75" customHeight="1" s="14">
      <c r="B75" s="5" t="n"/>
      <c r="C75" s="5" t="n"/>
      <c r="E75" s="5">
        <f>IFERROR(__xludf.DUMMYFUNCTION("IFERROR(
 VLOOKUP(
   C75,
   FILTER(Vendors_Pricing!A:E, Vendors_Pricing!H:H=""Yes""),
   5,
   FALSE
 ),
 """"
)
"),"")</f>
        <v/>
      </c>
      <c r="F75" s="5">
        <f>D75 * E75</f>
        <v/>
      </c>
    </row>
    <row r="76" ht="15.75" customHeight="1" s="14">
      <c r="B76" s="5" t="n"/>
      <c r="C76" s="5" t="n"/>
      <c r="E76" s="5">
        <f>IFERROR(__xludf.DUMMYFUNCTION("IFERROR(
 VLOOKUP(
   C76,
   FILTER(Vendors_Pricing!A:E, Vendors_Pricing!H:H=""Yes""),
   5,
   FALSE
 ),
 """"
)
"),"")</f>
        <v/>
      </c>
      <c r="F76" s="5">
        <f>D76 * E76</f>
        <v/>
      </c>
    </row>
    <row r="77" ht="15.75" customHeight="1" s="14">
      <c r="B77" s="5" t="n"/>
      <c r="C77" s="5" t="n"/>
      <c r="E77" s="5">
        <f>IFERROR(__xludf.DUMMYFUNCTION("IFERROR(
 VLOOKUP(
   C77,
   FILTER(Vendors_Pricing!A:E, Vendors_Pricing!H:H=""Yes""),
   5,
   FALSE
 ),
 """"
)
"),"")</f>
        <v/>
      </c>
      <c r="F77" s="5">
        <f>D77 * E77</f>
        <v/>
      </c>
    </row>
    <row r="78" ht="15.75" customHeight="1" s="14">
      <c r="B78" s="5" t="n"/>
      <c r="C78" s="5" t="n"/>
      <c r="E78" s="5">
        <f>IFERROR(__xludf.DUMMYFUNCTION("IFERROR(
 VLOOKUP(
   C78,
   FILTER(Vendors_Pricing!A:E, Vendors_Pricing!H:H=""Yes""),
   5,
   FALSE
 ),
 """"
)
"),"")</f>
        <v/>
      </c>
      <c r="F78" s="5">
        <f>D78 * E78</f>
        <v/>
      </c>
    </row>
    <row r="79" ht="15.75" customHeight="1" s="14">
      <c r="B79" s="5" t="n"/>
      <c r="C79" s="5" t="n"/>
      <c r="E79" s="5">
        <f>IFERROR(__xludf.DUMMYFUNCTION("IFERROR(
 VLOOKUP(
   C79,
   FILTER(Vendors_Pricing!A:E, Vendors_Pricing!H:H=""Yes""),
   5,
   FALSE
 ),
 """"
)
"),"")</f>
        <v/>
      </c>
      <c r="F79" s="5">
        <f>D79 * E79</f>
        <v/>
      </c>
    </row>
    <row r="80" ht="15.75" customHeight="1" s="14">
      <c r="B80" s="5" t="n"/>
      <c r="C80" s="5" t="n"/>
      <c r="E80" s="5">
        <f>IFERROR(__xludf.DUMMYFUNCTION("IFERROR(
 VLOOKUP(
   C80,
   FILTER(Vendors_Pricing!A:E, Vendors_Pricing!H:H=""Yes""),
   5,
   FALSE
 ),
 """"
)
"),"")</f>
        <v/>
      </c>
      <c r="F80" s="5">
        <f>D80 * E80</f>
        <v/>
      </c>
    </row>
    <row r="81" ht="15.75" customHeight="1" s="14">
      <c r="B81" s="5" t="n"/>
      <c r="C81" s="5" t="n"/>
      <c r="E81" s="5">
        <f>IFERROR(__xludf.DUMMYFUNCTION("IFERROR(
 VLOOKUP(
   C81,
   FILTER(Vendors_Pricing!A:E, Vendors_Pricing!H:H=""Yes""),
   5,
   FALSE
 ),
 """"
)
"),"")</f>
        <v/>
      </c>
      <c r="F81" s="5">
        <f>D81 * E81</f>
        <v/>
      </c>
    </row>
    <row r="82" ht="15.75" customHeight="1" s="14">
      <c r="B82" s="5" t="n"/>
      <c r="C82" s="5" t="n"/>
      <c r="E82" s="5">
        <f>IFERROR(__xludf.DUMMYFUNCTION("IFERROR(
 VLOOKUP(
   C82,
   FILTER(Vendors_Pricing!A:E, Vendors_Pricing!H:H=""Yes""),
   5,
   FALSE
 ),
 """"
)
"),"")</f>
        <v/>
      </c>
      <c r="F82" s="5">
        <f>D82 * E82</f>
        <v/>
      </c>
    </row>
    <row r="83" ht="15.75" customHeight="1" s="14">
      <c r="B83" s="5" t="n"/>
      <c r="C83" s="5" t="n"/>
      <c r="E83" s="5">
        <f>IFERROR(__xludf.DUMMYFUNCTION("IFERROR(
 VLOOKUP(
   C83,
   FILTER(Vendors_Pricing!A:E, Vendors_Pricing!H:H=""Yes""),
   5,
   FALSE
 ),
 """"
)
"),"")</f>
        <v/>
      </c>
      <c r="F83" s="5">
        <f>D83 * E83</f>
        <v/>
      </c>
    </row>
    <row r="84" ht="15.75" customHeight="1" s="14">
      <c r="B84" s="5" t="n"/>
      <c r="C84" s="5" t="n"/>
      <c r="E84" s="5">
        <f>IFERROR(__xludf.DUMMYFUNCTION("IFERROR(
 VLOOKUP(
   C84,
   FILTER(Vendors_Pricing!A:E, Vendors_Pricing!H:H=""Yes""),
   5,
   FALSE
 ),
 """"
)
"),"")</f>
        <v/>
      </c>
      <c r="F84" s="5">
        <f>D84 * E84</f>
        <v/>
      </c>
    </row>
    <row r="85" ht="15.75" customHeight="1" s="14">
      <c r="B85" s="5" t="n"/>
      <c r="C85" s="5" t="n"/>
      <c r="E85" s="5">
        <f>IFERROR(__xludf.DUMMYFUNCTION("IFERROR(
 VLOOKUP(
   C85,
   FILTER(Vendors_Pricing!A:E, Vendors_Pricing!H:H=""Yes""),
   5,
   FALSE
 ),
 """"
)
"),"")</f>
        <v/>
      </c>
      <c r="F85" s="5">
        <f>D85 * E85</f>
        <v/>
      </c>
    </row>
    <row r="86" ht="15.75" customHeight="1" s="14">
      <c r="B86" s="5" t="n"/>
      <c r="C86" s="5" t="n"/>
      <c r="E86" s="5">
        <f>IFERROR(__xludf.DUMMYFUNCTION("IFERROR(
 VLOOKUP(
   C86,
   FILTER(Vendors_Pricing!A:E, Vendors_Pricing!H:H=""Yes""),
   5,
   FALSE
 ),
 """"
)
"),"")</f>
        <v/>
      </c>
      <c r="F86" s="5">
        <f>D86 * E86</f>
        <v/>
      </c>
    </row>
    <row r="87" ht="15.75" customHeight="1" s="14">
      <c r="B87" s="5" t="n"/>
      <c r="C87" s="5" t="n"/>
      <c r="E87" s="5">
        <f>IFERROR(__xludf.DUMMYFUNCTION("IFERROR(
 VLOOKUP(
   C87,
   FILTER(Vendors_Pricing!A:E, Vendors_Pricing!H:H=""Yes""),
   5,
   FALSE
 ),
 """"
)
"),"")</f>
        <v/>
      </c>
      <c r="F87" s="5">
        <f>D87 * E87</f>
        <v/>
      </c>
    </row>
    <row r="88" ht="15.75" customHeight="1" s="14">
      <c r="B88" s="5" t="n"/>
      <c r="C88" s="5" t="n"/>
      <c r="E88" s="5">
        <f>IFERROR(__xludf.DUMMYFUNCTION("IFERROR(
 VLOOKUP(
   C88,
   FILTER(Vendors_Pricing!A:E, Vendors_Pricing!H:H=""Yes""),
   5,
   FALSE
 ),
 """"
)
"),"")</f>
        <v/>
      </c>
      <c r="F88" s="5">
        <f>D88 * E88</f>
        <v/>
      </c>
    </row>
    <row r="89" ht="15.75" customHeight="1" s="14">
      <c r="B89" s="5" t="n"/>
      <c r="C89" s="5" t="n"/>
      <c r="E89" s="5">
        <f>IFERROR(__xludf.DUMMYFUNCTION("IFERROR(
 VLOOKUP(
   C89,
   FILTER(Vendors_Pricing!A:E, Vendors_Pricing!H:H=""Yes""),
   5,
   FALSE
 ),
 """"
)
"),"")</f>
        <v/>
      </c>
      <c r="F89" s="5">
        <f>D89 * E89</f>
        <v/>
      </c>
    </row>
    <row r="90" ht="15.75" customHeight="1" s="14">
      <c r="B90" s="5" t="n"/>
      <c r="C90" s="5" t="n"/>
      <c r="E90" s="5">
        <f>IFERROR(__xludf.DUMMYFUNCTION("IFERROR(
 VLOOKUP(
   C90,
   FILTER(Vendors_Pricing!A:E, Vendors_Pricing!H:H=""Yes""),
   5,
   FALSE
 ),
 """"
)
"),"")</f>
        <v/>
      </c>
      <c r="F90" s="5">
        <f>D90 * E90</f>
        <v/>
      </c>
    </row>
    <row r="91" ht="15.75" customHeight="1" s="14">
      <c r="B91" s="5" t="n"/>
      <c r="C91" s="5" t="n"/>
      <c r="E91" s="5">
        <f>IFERROR(__xludf.DUMMYFUNCTION("IFERROR(
 VLOOKUP(
   C91,
   FILTER(Vendors_Pricing!A:E, Vendors_Pricing!H:H=""Yes""),
   5,
   FALSE
 ),
 """"
)
"),"")</f>
        <v/>
      </c>
      <c r="F91" s="5">
        <f>D91 * E91</f>
        <v/>
      </c>
    </row>
    <row r="92" ht="15.75" customHeight="1" s="14">
      <c r="B92" s="5" t="n"/>
      <c r="C92" s="5" t="n"/>
      <c r="E92" s="5">
        <f>IFERROR(__xludf.DUMMYFUNCTION("IFERROR(
 VLOOKUP(
   C92,
   FILTER(Vendors_Pricing!A:E, Vendors_Pricing!H:H=""Yes""),
   5,
   FALSE
 ),
 """"
)
"),"")</f>
        <v/>
      </c>
      <c r="F92" s="5">
        <f>D92 * E92</f>
        <v/>
      </c>
    </row>
    <row r="93" ht="15.75" customHeight="1" s="14">
      <c r="B93" s="5" t="n"/>
      <c r="C93" s="5" t="n"/>
      <c r="E93" s="5">
        <f>IFERROR(__xludf.DUMMYFUNCTION("IFERROR(
 VLOOKUP(
   C93,
   FILTER(Vendors_Pricing!A:E, Vendors_Pricing!H:H=""Yes""),
   5,
   FALSE
 ),
 """"
)
"),"")</f>
        <v/>
      </c>
      <c r="F93" s="5">
        <f>D93 * E93</f>
        <v/>
      </c>
    </row>
    <row r="94" ht="15.75" customHeight="1" s="14">
      <c r="B94" s="5" t="n"/>
      <c r="C94" s="5" t="n"/>
      <c r="E94" s="5">
        <f>IFERROR(__xludf.DUMMYFUNCTION("IFERROR(
 VLOOKUP(
   C94,
   FILTER(Vendors_Pricing!A:E, Vendors_Pricing!H:H=""Yes""),
   5,
   FALSE
 ),
 """"
)
"),"")</f>
        <v/>
      </c>
      <c r="F94" s="5">
        <f>D94 * E94</f>
        <v/>
      </c>
    </row>
    <row r="95" ht="15.75" customHeight="1" s="14">
      <c r="B95" s="5" t="n"/>
      <c r="C95" s="5" t="n"/>
      <c r="E95" s="5">
        <f>IFERROR(__xludf.DUMMYFUNCTION("IFERROR(
 VLOOKUP(
   C95,
   FILTER(Vendors_Pricing!A:E, Vendors_Pricing!H:H=""Yes""),
   5,
   FALSE
 ),
 """"
)
"),"")</f>
        <v/>
      </c>
      <c r="F95" s="5">
        <f>D95 * E95</f>
        <v/>
      </c>
    </row>
    <row r="96" ht="15.75" customHeight="1" s="14">
      <c r="B96" s="5" t="n"/>
      <c r="C96" s="5" t="n"/>
      <c r="E96" s="5">
        <f>IFERROR(__xludf.DUMMYFUNCTION("IFERROR(
 VLOOKUP(
   C96,
   FILTER(Vendors_Pricing!A:E, Vendors_Pricing!H:H=""Yes""),
   5,
   FALSE
 ),
 """"
)
"),"")</f>
        <v/>
      </c>
      <c r="F96" s="5">
        <f>D96 * E96</f>
        <v/>
      </c>
    </row>
    <row r="97" ht="15.75" customHeight="1" s="14">
      <c r="B97" s="5" t="n"/>
      <c r="C97" s="5" t="n"/>
      <c r="E97" s="5">
        <f>IFERROR(__xludf.DUMMYFUNCTION("IFERROR(
 VLOOKUP(
   C97,
   FILTER(Vendors_Pricing!A:E, Vendors_Pricing!H:H=""Yes""),
   5,
   FALSE
 ),
 """"
)
"),"")</f>
        <v/>
      </c>
      <c r="F97" s="5">
        <f>D97 * E97</f>
        <v/>
      </c>
    </row>
    <row r="98" ht="15.75" customHeight="1" s="14">
      <c r="B98" s="5" t="n"/>
      <c r="C98" s="5" t="n"/>
      <c r="E98" s="5">
        <f>IFERROR(__xludf.DUMMYFUNCTION("IFERROR(
 VLOOKUP(
   C98,
   FILTER(Vendors_Pricing!A:E, Vendors_Pricing!H:H=""Yes""),
   5,
   FALSE
 ),
 """"
)
"),"")</f>
        <v/>
      </c>
      <c r="F98" s="5">
        <f>D98 * E98</f>
        <v/>
      </c>
    </row>
    <row r="99" ht="15.75" customHeight="1" s="14">
      <c r="B99" s="5" t="n"/>
      <c r="C99" s="5" t="n"/>
      <c r="E99" s="5">
        <f>IFERROR(__xludf.DUMMYFUNCTION("IFERROR(
 VLOOKUP(
   C99,
   FILTER(Vendors_Pricing!A:E, Vendors_Pricing!H:H=""Yes""),
   5,
   FALSE
 ),
 """"
)
"),"")</f>
        <v/>
      </c>
      <c r="F99" s="5">
        <f>D99 * E99</f>
        <v/>
      </c>
    </row>
    <row r="100" ht="15.75" customHeight="1" s="14">
      <c r="B100" s="5" t="n"/>
      <c r="C100" s="5" t="n"/>
      <c r="E100" s="5">
        <f>IFERROR(__xludf.DUMMYFUNCTION("IFERROR(
 VLOOKUP(
   C100,
   FILTER(Vendors_Pricing!A:E, Vendors_Pricing!H:H=""Yes""),
   5,
   FALSE
 ),
 """"
)
"),"")</f>
        <v/>
      </c>
      <c r="F100" s="5">
        <f>D100 * E100</f>
        <v/>
      </c>
    </row>
    <row r="101" ht="15.75" customHeight="1" s="14">
      <c r="B101" s="5" t="n"/>
      <c r="C101" s="5" t="n"/>
      <c r="E101" s="5">
        <f>IFERROR(__xludf.DUMMYFUNCTION("IFERROR(
 VLOOKUP(
   C101,
   FILTER(Vendors_Pricing!A:E, Vendors_Pricing!H:H=""Yes""),
   5,
   FALSE
 ),
 """"
)
"),"")</f>
        <v/>
      </c>
      <c r="F101" s="5">
        <f>D101 * E101</f>
        <v/>
      </c>
    </row>
    <row r="102" ht="15.75" customHeight="1" s="14">
      <c r="B102" s="5" t="n"/>
      <c r="C102" s="5" t="n"/>
      <c r="E102" s="5">
        <f>IFERROR(__xludf.DUMMYFUNCTION("IFERROR(
 VLOOKUP(
   C102,
   FILTER(Vendors_Pricing!A:E, Vendors_Pricing!H:H=""Yes""),
   5,
   FALSE
 ),
 """"
)
"),"")</f>
        <v/>
      </c>
      <c r="F102" s="5">
        <f>D102 * E102</f>
        <v/>
      </c>
    </row>
    <row r="103" ht="15.75" customHeight="1" s="14">
      <c r="B103" s="5" t="n"/>
      <c r="C103" s="5" t="n"/>
      <c r="E103" s="5">
        <f>IFERROR(__xludf.DUMMYFUNCTION("IFERROR(
 VLOOKUP(
   C103,
   FILTER(Vendors_Pricing!A:E, Vendors_Pricing!H:H=""Yes""),
   5,
   FALSE
 ),
 """"
)
"),"")</f>
        <v/>
      </c>
      <c r="F103" s="5">
        <f>D103 * E103</f>
        <v/>
      </c>
    </row>
    <row r="104" ht="15.75" customHeight="1" s="14">
      <c r="B104" s="5" t="n"/>
      <c r="C104" s="5" t="n"/>
      <c r="E104" s="5">
        <f>IFERROR(__xludf.DUMMYFUNCTION("IFERROR(
 VLOOKUP(
   C104,
   FILTER(Vendors_Pricing!A:E, Vendors_Pricing!H:H=""Yes""),
   5,
   FALSE
 ),
 """"
)
"),"")</f>
        <v/>
      </c>
      <c r="F104" s="5">
        <f>D104 * E104</f>
        <v/>
      </c>
    </row>
    <row r="105" ht="15.75" customHeight="1" s="14">
      <c r="B105" s="5" t="n"/>
      <c r="C105" s="5" t="n"/>
      <c r="E105" s="5">
        <f>IFERROR(__xludf.DUMMYFUNCTION("IFERROR(
 VLOOKUP(
   C105,
   FILTER(Vendors_Pricing!A:E, Vendors_Pricing!H:H=""Yes""),
   5,
   FALSE
 ),
 """"
)
"),"")</f>
        <v/>
      </c>
      <c r="F105" s="5">
        <f>D105 * E105</f>
        <v/>
      </c>
    </row>
    <row r="106" ht="15.75" customHeight="1" s="14">
      <c r="B106" s="5" t="n"/>
      <c r="C106" s="5" t="n"/>
      <c r="E106" s="5">
        <f>IFERROR(__xludf.DUMMYFUNCTION("IFERROR(
 VLOOKUP(
   C106,
   FILTER(Vendors_Pricing!A:E, Vendors_Pricing!H:H=""Yes""),
   5,
   FALSE
 ),
 """"
)
"),"")</f>
        <v/>
      </c>
      <c r="F106" s="5">
        <f>D106 * E106</f>
        <v/>
      </c>
    </row>
    <row r="107" ht="15.75" customHeight="1" s="14">
      <c r="B107" s="5" t="n"/>
      <c r="C107" s="5" t="n"/>
      <c r="E107" s="5">
        <f>IFERROR(__xludf.DUMMYFUNCTION("IFERROR(
 VLOOKUP(
   C107,
   FILTER(Vendors_Pricing!A:E, Vendors_Pricing!H:H=""Yes""),
   5,
   FALSE
 ),
 """"
)
"),"")</f>
        <v/>
      </c>
      <c r="F107" s="5">
        <f>D107 * E107</f>
        <v/>
      </c>
    </row>
    <row r="108" ht="15.75" customHeight="1" s="14">
      <c r="B108" s="5" t="n"/>
      <c r="C108" s="5" t="n"/>
      <c r="E108" s="5">
        <f>IFERROR(__xludf.DUMMYFUNCTION("IFERROR(
 VLOOKUP(
   C108,
   FILTER(Vendors_Pricing!A:E, Vendors_Pricing!H:H=""Yes""),
   5,
   FALSE
 ),
 """"
)
"),"")</f>
        <v/>
      </c>
      <c r="F108" s="5">
        <f>D108 * E108</f>
        <v/>
      </c>
    </row>
    <row r="109" ht="15.75" customHeight="1" s="14">
      <c r="B109" s="5" t="n"/>
      <c r="C109" s="5" t="n"/>
      <c r="E109" s="5">
        <f>IFERROR(__xludf.DUMMYFUNCTION("IFERROR(
 VLOOKUP(
   C109,
   FILTER(Vendors_Pricing!A:E, Vendors_Pricing!H:H=""Yes""),
   5,
   FALSE
 ),
 """"
)
"),"")</f>
        <v/>
      </c>
      <c r="F109" s="5">
        <f>D109 * E109</f>
        <v/>
      </c>
    </row>
    <row r="110" ht="15.75" customHeight="1" s="14">
      <c r="B110" s="5" t="n"/>
      <c r="C110" s="5" t="n"/>
      <c r="E110" s="5">
        <f>IFERROR(__xludf.DUMMYFUNCTION("IFERROR(
 VLOOKUP(
   C110,
   FILTER(Vendors_Pricing!A:E, Vendors_Pricing!H:H=""Yes""),
   5,
   FALSE
 ),
 """"
)
"),"")</f>
        <v/>
      </c>
      <c r="F110" s="5">
        <f>D110 * E110</f>
        <v/>
      </c>
    </row>
    <row r="111" ht="15.75" customHeight="1" s="14">
      <c r="B111" s="5" t="n"/>
      <c r="C111" s="5" t="n"/>
      <c r="E111" s="5">
        <f>IFERROR(__xludf.DUMMYFUNCTION("IFERROR(
 VLOOKUP(
   C111,
   FILTER(Vendors_Pricing!A:E, Vendors_Pricing!H:H=""Yes""),
   5,
   FALSE
 ),
 """"
)
"),"")</f>
        <v/>
      </c>
      <c r="F111" s="5">
        <f>D111 * E111</f>
        <v/>
      </c>
    </row>
    <row r="112" ht="15.75" customHeight="1" s="14">
      <c r="B112" s="5" t="n"/>
      <c r="C112" s="5" t="n"/>
      <c r="E112" s="5">
        <f>IFERROR(__xludf.DUMMYFUNCTION("IFERROR(
 VLOOKUP(
   C112,
   FILTER(Vendors_Pricing!A:E, Vendors_Pricing!H:H=""Yes""),
   5,
   FALSE
 ),
 """"
)
"),"")</f>
        <v/>
      </c>
      <c r="F112" s="5">
        <f>D112 * E112</f>
        <v/>
      </c>
    </row>
    <row r="113" ht="15.75" customHeight="1" s="14">
      <c r="B113" s="5" t="n"/>
      <c r="C113" s="5" t="n"/>
      <c r="E113" s="5">
        <f>IFERROR(__xludf.DUMMYFUNCTION("IFERROR(
 VLOOKUP(
   C113,
   FILTER(Vendors_Pricing!A:E, Vendors_Pricing!H:H=""Yes""),
   5,
   FALSE
 ),
 """"
)
"),"")</f>
        <v/>
      </c>
      <c r="F113" s="5">
        <f>D113 * E113</f>
        <v/>
      </c>
    </row>
    <row r="114" ht="15.75" customHeight="1" s="14">
      <c r="B114" s="5" t="n"/>
      <c r="C114" s="5" t="n"/>
      <c r="E114" s="5">
        <f>IFERROR(__xludf.DUMMYFUNCTION("IFERROR(
 VLOOKUP(
   C114,
   FILTER(Vendors_Pricing!A:E, Vendors_Pricing!H:H=""Yes""),
   5,
   FALSE
 ),
 """"
)
"),"")</f>
        <v/>
      </c>
      <c r="F114" s="5">
        <f>D114 * E114</f>
        <v/>
      </c>
    </row>
    <row r="115" ht="15.75" customHeight="1" s="14">
      <c r="B115" s="5" t="n"/>
      <c r="C115" s="5" t="n"/>
      <c r="E115" s="5">
        <f>IFERROR(__xludf.DUMMYFUNCTION("IFERROR(
 VLOOKUP(
   C115,
   FILTER(Vendors_Pricing!A:E, Vendors_Pricing!H:H=""Yes""),
   5,
   FALSE
 ),
 """"
)
"),"")</f>
        <v/>
      </c>
      <c r="F115" s="5">
        <f>D115 * E115</f>
        <v/>
      </c>
    </row>
    <row r="116" ht="15.75" customHeight="1" s="14">
      <c r="B116" s="5" t="n"/>
      <c r="C116" s="5" t="n"/>
      <c r="E116" s="5">
        <f>IFERROR(__xludf.DUMMYFUNCTION("IFERROR(
 VLOOKUP(
   C116,
   FILTER(Vendors_Pricing!A:E, Vendors_Pricing!H:H=""Yes""),
   5,
   FALSE
 ),
 """"
)
"),"")</f>
        <v/>
      </c>
      <c r="F116" s="5">
        <f>D116 * E116</f>
        <v/>
      </c>
    </row>
    <row r="117" ht="15.75" customHeight="1" s="14">
      <c r="B117" s="5" t="n"/>
      <c r="C117" s="5" t="n"/>
      <c r="E117" s="5">
        <f>IFERROR(__xludf.DUMMYFUNCTION("IFERROR(
 VLOOKUP(
   C117,
   FILTER(Vendors_Pricing!A:E, Vendors_Pricing!H:H=""Yes""),
   5,
   FALSE
 ),
 """"
)
"),"")</f>
        <v/>
      </c>
      <c r="F117" s="5">
        <f>D117 * E117</f>
        <v/>
      </c>
    </row>
    <row r="118" ht="15.75" customHeight="1" s="14">
      <c r="B118" s="5" t="n"/>
      <c r="C118" s="5" t="n"/>
      <c r="E118" s="5">
        <f>IFERROR(__xludf.DUMMYFUNCTION("IFERROR(
 VLOOKUP(
   C118,
   FILTER(Vendors_Pricing!A:E, Vendors_Pricing!H:H=""Yes""),
   5,
   FALSE
 ),
 """"
)
"),"")</f>
        <v/>
      </c>
      <c r="F118" s="5">
        <f>D118 * E118</f>
        <v/>
      </c>
    </row>
    <row r="119" ht="15.75" customHeight="1" s="14">
      <c r="B119" s="5" t="n"/>
      <c r="C119" s="5" t="n"/>
      <c r="E119" s="5">
        <f>IFERROR(__xludf.DUMMYFUNCTION("IFERROR(
 VLOOKUP(
   C119,
   FILTER(Vendors_Pricing!A:E, Vendors_Pricing!H:H=""Yes""),
   5,
   FALSE
 ),
 """"
)
"),"")</f>
        <v/>
      </c>
      <c r="F119" s="5">
        <f>D119 * E119</f>
        <v/>
      </c>
    </row>
    <row r="120" ht="15.75" customHeight="1" s="14">
      <c r="B120" s="5" t="n"/>
      <c r="C120" s="5" t="n"/>
      <c r="E120" s="5">
        <f>IFERROR(__xludf.DUMMYFUNCTION("IFERROR(
 VLOOKUP(
   C120,
   FILTER(Vendors_Pricing!A:E, Vendors_Pricing!H:H=""Yes""),
   5,
   FALSE
 ),
 """"
)
"),"")</f>
        <v/>
      </c>
      <c r="F120" s="5">
        <f>D120 * E120</f>
        <v/>
      </c>
    </row>
    <row r="121" ht="15.75" customHeight="1" s="14">
      <c r="B121" s="5" t="n"/>
      <c r="C121" s="5" t="n"/>
      <c r="E121" s="5">
        <f>IFERROR(__xludf.DUMMYFUNCTION("IFERROR(
 VLOOKUP(
   C121,
   FILTER(Vendors_Pricing!A:E, Vendors_Pricing!H:H=""Yes""),
   5,
   FALSE
 ),
 """"
)
"),"")</f>
        <v/>
      </c>
      <c r="F121" s="5">
        <f>D121 * E121</f>
        <v/>
      </c>
    </row>
    <row r="122" ht="15.75" customHeight="1" s="14">
      <c r="B122" s="5" t="n"/>
      <c r="C122" s="5" t="n"/>
      <c r="E122" s="5">
        <f>IFERROR(__xludf.DUMMYFUNCTION("IFERROR(
 VLOOKUP(
   C122,
   FILTER(Vendors_Pricing!A:E, Vendors_Pricing!H:H=""Yes""),
   5,
   FALSE
 ),
 """"
)
"),"")</f>
        <v/>
      </c>
      <c r="F122" s="5">
        <f>D122 * E122</f>
        <v/>
      </c>
    </row>
    <row r="123" ht="15.75" customHeight="1" s="14">
      <c r="B123" s="5" t="n"/>
      <c r="C123" s="5" t="n"/>
      <c r="E123" s="5">
        <f>IFERROR(__xludf.DUMMYFUNCTION("IFERROR(
 VLOOKUP(
   C123,
   FILTER(Vendors_Pricing!A:E, Vendors_Pricing!H:H=""Yes""),
   5,
   FALSE
 ),
 """"
)
"),"")</f>
        <v/>
      </c>
      <c r="F123" s="5">
        <f>D123 * E123</f>
        <v/>
      </c>
    </row>
    <row r="124" ht="15.75" customHeight="1" s="14">
      <c r="B124" s="5" t="n"/>
      <c r="C124" s="5" t="n"/>
      <c r="E124" s="5">
        <f>IFERROR(__xludf.DUMMYFUNCTION("IFERROR(
 VLOOKUP(
   C124,
   FILTER(Vendors_Pricing!A:E, Vendors_Pricing!H:H=""Yes""),
   5,
   FALSE
 ),
 """"
)
"),"")</f>
        <v/>
      </c>
      <c r="F124" s="5">
        <f>D124 * E124</f>
        <v/>
      </c>
    </row>
    <row r="125" ht="15.75" customHeight="1" s="14">
      <c r="B125" s="5" t="n"/>
      <c r="C125" s="5" t="n"/>
      <c r="E125" s="5">
        <f>IFERROR(__xludf.DUMMYFUNCTION("IFERROR(
 VLOOKUP(
   C125,
   FILTER(Vendors_Pricing!A:E, Vendors_Pricing!H:H=""Yes""),
   5,
   FALSE
 ),
 """"
)
"),"")</f>
        <v/>
      </c>
      <c r="F125" s="5">
        <f>D125 * E125</f>
        <v/>
      </c>
    </row>
    <row r="126" ht="15.75" customHeight="1" s="14">
      <c r="B126" s="5" t="n"/>
      <c r="C126" s="5" t="n"/>
      <c r="E126" s="5">
        <f>IFERROR(__xludf.DUMMYFUNCTION("IFERROR(
 VLOOKUP(
   C126,
   FILTER(Vendors_Pricing!A:E, Vendors_Pricing!H:H=""Yes""),
   5,
   FALSE
 ),
 """"
)
"),"")</f>
        <v/>
      </c>
      <c r="F126" s="5">
        <f>D126 * E126</f>
        <v/>
      </c>
    </row>
    <row r="127" ht="15.75" customHeight="1" s="14">
      <c r="B127" s="5" t="n"/>
      <c r="C127" s="5" t="n"/>
      <c r="E127" s="5">
        <f>IFERROR(__xludf.DUMMYFUNCTION("IFERROR(
 VLOOKUP(
   C127,
   FILTER(Vendors_Pricing!A:E, Vendors_Pricing!H:H=""Yes""),
   5,
   FALSE
 ),
 """"
)
"),"")</f>
        <v/>
      </c>
      <c r="F127" s="5">
        <f>D127 * E127</f>
        <v/>
      </c>
    </row>
    <row r="128" ht="15.75" customHeight="1" s="14">
      <c r="B128" s="5" t="n"/>
      <c r="C128" s="5" t="n"/>
      <c r="E128" s="5">
        <f>IFERROR(__xludf.DUMMYFUNCTION("IFERROR(
 VLOOKUP(
   C128,
   FILTER(Vendors_Pricing!A:E, Vendors_Pricing!H:H=""Yes""),
   5,
   FALSE
 ),
 """"
)
"),"")</f>
        <v/>
      </c>
      <c r="F128" s="5">
        <f>D128 * E128</f>
        <v/>
      </c>
    </row>
    <row r="129" ht="15.75" customHeight="1" s="14">
      <c r="B129" s="5" t="n"/>
      <c r="C129" s="5" t="n"/>
      <c r="E129" s="5">
        <f>IFERROR(__xludf.DUMMYFUNCTION("IFERROR(
 VLOOKUP(
   C129,
   FILTER(Vendors_Pricing!A:E, Vendors_Pricing!H:H=""Yes""),
   5,
   FALSE
 ),
 """"
)
"),"")</f>
        <v/>
      </c>
      <c r="F129" s="5">
        <f>D129 * E129</f>
        <v/>
      </c>
    </row>
    <row r="130" ht="15.75" customHeight="1" s="14">
      <c r="B130" s="5" t="n"/>
      <c r="C130" s="5" t="n"/>
      <c r="E130" s="5">
        <f>IFERROR(__xludf.DUMMYFUNCTION("IFERROR(
 VLOOKUP(
   C130,
   FILTER(Vendors_Pricing!A:E, Vendors_Pricing!H:H=""Yes""),
   5,
   FALSE
 ),
 """"
)
"),"")</f>
        <v/>
      </c>
      <c r="F130" s="5">
        <f>D130 * E130</f>
        <v/>
      </c>
    </row>
    <row r="131" ht="15.75" customHeight="1" s="14">
      <c r="B131" s="5" t="n"/>
      <c r="C131" s="5" t="n"/>
      <c r="E131" s="5">
        <f>IFERROR(__xludf.DUMMYFUNCTION("IFERROR(
 VLOOKUP(
   C131,
   FILTER(Vendors_Pricing!A:E, Vendors_Pricing!H:H=""Yes""),
   5,
   FALSE
 ),
 """"
)
"),"")</f>
        <v/>
      </c>
      <c r="F131" s="5">
        <f>D131 * E131</f>
        <v/>
      </c>
    </row>
    <row r="132" ht="15.75" customHeight="1" s="14">
      <c r="B132" s="5" t="n"/>
      <c r="C132" s="5" t="n"/>
      <c r="E132" s="5">
        <f>IFERROR(__xludf.DUMMYFUNCTION("IFERROR(
 VLOOKUP(
   C132,
   FILTER(Vendors_Pricing!A:E, Vendors_Pricing!H:H=""Yes""),
   5,
   FALSE
 ),
 """"
)
"),"")</f>
        <v/>
      </c>
      <c r="F132" s="5">
        <f>D132 * E132</f>
        <v/>
      </c>
    </row>
    <row r="133" ht="15.75" customHeight="1" s="14">
      <c r="B133" s="5" t="n"/>
      <c r="C133" s="5" t="n"/>
      <c r="E133" s="5">
        <f>IFERROR(__xludf.DUMMYFUNCTION("IFERROR(
 VLOOKUP(
   C133,
   FILTER(Vendors_Pricing!A:E, Vendors_Pricing!H:H=""Yes""),
   5,
   FALSE
 ),
 """"
)
"),"")</f>
        <v/>
      </c>
      <c r="F133" s="5">
        <f>D133 * E133</f>
        <v/>
      </c>
    </row>
    <row r="134" ht="15.75" customHeight="1" s="14">
      <c r="B134" s="5" t="n"/>
      <c r="C134" s="5" t="n"/>
      <c r="E134" s="5">
        <f>IFERROR(__xludf.DUMMYFUNCTION("IFERROR(
 VLOOKUP(
   C134,
   FILTER(Vendors_Pricing!A:E, Vendors_Pricing!H:H=""Yes""),
   5,
   FALSE
 ),
 """"
)
"),"")</f>
        <v/>
      </c>
      <c r="F134" s="5">
        <f>D134 * E134</f>
        <v/>
      </c>
    </row>
    <row r="135" ht="15.75" customHeight="1" s="14">
      <c r="B135" s="5" t="n"/>
      <c r="C135" s="5" t="n"/>
      <c r="E135" s="5">
        <f>IFERROR(__xludf.DUMMYFUNCTION("IFERROR(
 VLOOKUP(
   C135,
   FILTER(Vendors_Pricing!A:E, Vendors_Pricing!H:H=""Yes""),
   5,
   FALSE
 ),
 """"
)
"),"")</f>
        <v/>
      </c>
      <c r="F135" s="5">
        <f>D135 * E135</f>
        <v/>
      </c>
    </row>
    <row r="136" ht="15.75" customHeight="1" s="14">
      <c r="B136" s="5" t="n"/>
      <c r="C136" s="5" t="n"/>
      <c r="E136" s="5">
        <f>IFERROR(__xludf.DUMMYFUNCTION("IFERROR(
 VLOOKUP(
   C136,
   FILTER(Vendors_Pricing!A:E, Vendors_Pricing!H:H=""Yes""),
   5,
   FALSE
 ),
 """"
)
"),"")</f>
        <v/>
      </c>
      <c r="F136" s="5">
        <f>D136 * E136</f>
        <v/>
      </c>
    </row>
    <row r="137" ht="15.75" customHeight="1" s="14">
      <c r="B137" s="5" t="n"/>
      <c r="C137" s="5" t="n"/>
      <c r="E137" s="5">
        <f>IFERROR(__xludf.DUMMYFUNCTION("IFERROR(
 VLOOKUP(
   C137,
   FILTER(Vendors_Pricing!A:E, Vendors_Pricing!H:H=""Yes""),
   5,
   FALSE
 ),
 """"
)
"),"")</f>
        <v/>
      </c>
      <c r="F137" s="5">
        <f>D137 * E137</f>
        <v/>
      </c>
    </row>
    <row r="138" ht="15.75" customHeight="1" s="14">
      <c r="B138" s="5" t="n"/>
      <c r="C138" s="5" t="n"/>
      <c r="E138" s="5">
        <f>IFERROR(__xludf.DUMMYFUNCTION("IFERROR(
 VLOOKUP(
   C138,
   FILTER(Vendors_Pricing!A:E, Vendors_Pricing!H:H=""Yes""),
   5,
   FALSE
 ),
 """"
)
"),"")</f>
        <v/>
      </c>
      <c r="F138" s="5">
        <f>D138 * E138</f>
        <v/>
      </c>
    </row>
    <row r="139" ht="15.75" customHeight="1" s="14">
      <c r="B139" s="5" t="n"/>
      <c r="C139" s="5" t="n"/>
      <c r="E139" s="5">
        <f>IFERROR(__xludf.DUMMYFUNCTION("IFERROR(
 VLOOKUP(
   C139,
   FILTER(Vendors_Pricing!A:E, Vendors_Pricing!H:H=""Yes""),
   5,
   FALSE
 ),
 """"
)
"),"")</f>
        <v/>
      </c>
      <c r="F139" s="5">
        <f>D139 * E139</f>
        <v/>
      </c>
    </row>
    <row r="140" ht="15.75" customHeight="1" s="14">
      <c r="B140" s="5" t="n"/>
      <c r="C140" s="5" t="n"/>
      <c r="E140" s="5">
        <f>IFERROR(__xludf.DUMMYFUNCTION("IFERROR(
 VLOOKUP(
   C140,
   FILTER(Vendors_Pricing!A:E, Vendors_Pricing!H:H=""Yes""),
   5,
   FALSE
 ),
 """"
)
"),"")</f>
        <v/>
      </c>
      <c r="F140" s="5">
        <f>D140 * E140</f>
        <v/>
      </c>
    </row>
    <row r="141" ht="15.75" customHeight="1" s="14">
      <c r="B141" s="5" t="n"/>
      <c r="C141" s="5" t="n"/>
      <c r="E141" s="5">
        <f>IFERROR(__xludf.DUMMYFUNCTION("IFERROR(
 VLOOKUP(
   C141,
   FILTER(Vendors_Pricing!A:E, Vendors_Pricing!H:H=""Yes""),
   5,
   FALSE
 ),
 """"
)
"),"")</f>
        <v/>
      </c>
      <c r="F141" s="5">
        <f>D141 * E141</f>
        <v/>
      </c>
    </row>
    <row r="142" ht="15.75" customHeight="1" s="14">
      <c r="B142" s="5" t="n"/>
      <c r="C142" s="5" t="n"/>
      <c r="E142" s="5">
        <f>IFERROR(__xludf.DUMMYFUNCTION("IFERROR(
 VLOOKUP(
   C142,
   FILTER(Vendors_Pricing!A:E, Vendors_Pricing!H:H=""Yes""),
   5,
   FALSE
 ),
 """"
)
"),"")</f>
        <v/>
      </c>
      <c r="F142" s="5">
        <f>D142 * E142</f>
        <v/>
      </c>
    </row>
    <row r="143" ht="15.75" customHeight="1" s="14">
      <c r="B143" s="5" t="n"/>
      <c r="C143" s="5" t="n"/>
      <c r="E143" s="5">
        <f>IFERROR(__xludf.DUMMYFUNCTION("IFERROR(
 VLOOKUP(
   C143,
   FILTER(Vendors_Pricing!A:E, Vendors_Pricing!H:H=""Yes""),
   5,
   FALSE
 ),
 """"
)
"),"")</f>
        <v/>
      </c>
      <c r="F143" s="5">
        <f>D143 * E143</f>
        <v/>
      </c>
    </row>
    <row r="144" ht="15.75" customHeight="1" s="14">
      <c r="B144" s="5" t="n"/>
      <c r="C144" s="5" t="n"/>
      <c r="E144" s="5">
        <f>IFERROR(__xludf.DUMMYFUNCTION("IFERROR(
 VLOOKUP(
   C144,
   FILTER(Vendors_Pricing!A:E, Vendors_Pricing!H:H=""Yes""),
   5,
   FALSE
 ),
 """"
)
"),"")</f>
        <v/>
      </c>
      <c r="F144" s="5">
        <f>D144 * E144</f>
        <v/>
      </c>
    </row>
    <row r="145" ht="15.75" customHeight="1" s="14">
      <c r="B145" s="5" t="n"/>
      <c r="C145" s="5" t="n"/>
      <c r="E145" s="5">
        <f>IFERROR(__xludf.DUMMYFUNCTION("IFERROR(
 VLOOKUP(
   C145,
   FILTER(Vendors_Pricing!A:E, Vendors_Pricing!H:H=""Yes""),
   5,
   FALSE
 ),
 """"
)
"),"")</f>
        <v/>
      </c>
      <c r="F145" s="5">
        <f>D145 * E145</f>
        <v/>
      </c>
    </row>
    <row r="146" ht="15.75" customHeight="1" s="14">
      <c r="B146" s="5" t="n"/>
      <c r="C146" s="5" t="n"/>
      <c r="E146" s="5">
        <f>IFERROR(__xludf.DUMMYFUNCTION("IFERROR(
 VLOOKUP(
   C146,
   FILTER(Vendors_Pricing!A:E, Vendors_Pricing!H:H=""Yes""),
   5,
   FALSE
 ),
 """"
)
"),"")</f>
        <v/>
      </c>
      <c r="F146" s="5">
        <f>D146 * E146</f>
        <v/>
      </c>
    </row>
    <row r="147" ht="15.75" customHeight="1" s="14">
      <c r="B147" s="5" t="n"/>
      <c r="C147" s="5" t="n"/>
      <c r="E147" s="5">
        <f>IFERROR(__xludf.DUMMYFUNCTION("IFERROR(
 VLOOKUP(
   C147,
   FILTER(Vendors_Pricing!A:E, Vendors_Pricing!H:H=""Yes""),
   5,
   FALSE
 ),
 """"
)
"),"")</f>
        <v/>
      </c>
      <c r="F147" s="5">
        <f>D147 * E147</f>
        <v/>
      </c>
    </row>
    <row r="148" ht="15.75" customHeight="1" s="14">
      <c r="B148" s="5" t="n"/>
      <c r="C148" s="5" t="n"/>
      <c r="E148" s="5">
        <f>IFERROR(__xludf.DUMMYFUNCTION("IFERROR(
 VLOOKUP(
   C148,
   FILTER(Vendors_Pricing!A:E, Vendors_Pricing!H:H=""Yes""),
   5,
   FALSE
 ),
 """"
)
"),"")</f>
        <v/>
      </c>
      <c r="F148" s="5">
        <f>D148 * E148</f>
        <v/>
      </c>
    </row>
    <row r="149" ht="15.75" customHeight="1" s="14">
      <c r="B149" s="5" t="n"/>
      <c r="C149" s="5" t="n"/>
      <c r="E149" s="5">
        <f>IFERROR(__xludf.DUMMYFUNCTION("IFERROR(
 VLOOKUP(
   C149,
   FILTER(Vendors_Pricing!A:E, Vendors_Pricing!H:H=""Yes""),
   5,
   FALSE
 ),
 """"
)
"),"")</f>
        <v/>
      </c>
      <c r="F149" s="5">
        <f>D149 * E149</f>
        <v/>
      </c>
    </row>
    <row r="150" ht="15.75" customHeight="1" s="14">
      <c r="B150" s="5" t="n"/>
      <c r="C150" s="5" t="n"/>
      <c r="E150" s="5">
        <f>IFERROR(__xludf.DUMMYFUNCTION("IFERROR(
 VLOOKUP(
   C150,
   FILTER(Vendors_Pricing!A:E, Vendors_Pricing!H:H=""Yes""),
   5,
   FALSE
 ),
 """"
)
"),"")</f>
        <v/>
      </c>
      <c r="F150" s="5">
        <f>D150 * E150</f>
        <v/>
      </c>
    </row>
    <row r="151" ht="15.75" customHeight="1" s="14">
      <c r="B151" s="5" t="n"/>
      <c r="C151" s="5" t="n"/>
      <c r="E151" s="5">
        <f>IFERROR(__xludf.DUMMYFUNCTION("IFERROR(
 VLOOKUP(
   C151,
   FILTER(Vendors_Pricing!A:E, Vendors_Pricing!H:H=""Yes""),
   5,
   FALSE
 ),
 """"
)
"),"")</f>
        <v/>
      </c>
      <c r="F151" s="5">
        <f>D151 * E151</f>
        <v/>
      </c>
    </row>
    <row r="152" ht="15.75" customHeight="1" s="14">
      <c r="B152" s="5" t="n"/>
      <c r="C152" s="5" t="n"/>
      <c r="E152" s="5">
        <f>IFERROR(__xludf.DUMMYFUNCTION("IFERROR(
 VLOOKUP(
   C152,
   FILTER(Vendors_Pricing!A:E, Vendors_Pricing!H:H=""Yes""),
   5,
   FALSE
 ),
 """"
)
"),"")</f>
        <v/>
      </c>
      <c r="F152" s="5">
        <f>D152 * E152</f>
        <v/>
      </c>
    </row>
    <row r="153" ht="15.75" customHeight="1" s="14">
      <c r="B153" s="5" t="n"/>
      <c r="C153" s="5" t="n"/>
      <c r="E153" s="5">
        <f>IFERROR(__xludf.DUMMYFUNCTION("IFERROR(
 VLOOKUP(
   C153,
   FILTER(Vendors_Pricing!A:E, Vendors_Pricing!H:H=""Yes""),
   5,
   FALSE
 ),
 """"
)
"),"")</f>
        <v/>
      </c>
      <c r="F153" s="5">
        <f>D153 * E153</f>
        <v/>
      </c>
    </row>
    <row r="154" ht="15.75" customHeight="1" s="14">
      <c r="B154" s="5" t="n"/>
      <c r="C154" s="5" t="n"/>
      <c r="E154" s="5">
        <f>IFERROR(__xludf.DUMMYFUNCTION("IFERROR(
 VLOOKUP(
   C154,
   FILTER(Vendors_Pricing!A:E, Vendors_Pricing!H:H=""Yes""),
   5,
   FALSE
 ),
 """"
)
"),"")</f>
        <v/>
      </c>
      <c r="F154" s="5">
        <f>D154 * E154</f>
        <v/>
      </c>
    </row>
    <row r="155" ht="15.75" customHeight="1" s="14">
      <c r="B155" s="5" t="n"/>
      <c r="C155" s="5" t="n"/>
      <c r="E155" s="5">
        <f>IFERROR(__xludf.DUMMYFUNCTION("IFERROR(
 VLOOKUP(
   C155,
   FILTER(Vendors_Pricing!A:E, Vendors_Pricing!H:H=""Yes""),
   5,
   FALSE
 ),
 """"
)
"),"")</f>
        <v/>
      </c>
      <c r="F155" s="5">
        <f>D155 * E155</f>
        <v/>
      </c>
    </row>
    <row r="156" ht="15.75" customHeight="1" s="14">
      <c r="B156" s="5" t="n"/>
      <c r="C156" s="5" t="n"/>
      <c r="E156" s="5">
        <f>IFERROR(__xludf.DUMMYFUNCTION("IFERROR(
 VLOOKUP(
   C156,
   FILTER(Vendors_Pricing!A:E, Vendors_Pricing!H:H=""Yes""),
   5,
   FALSE
 ),
 """"
)
"),"")</f>
        <v/>
      </c>
      <c r="F156" s="5">
        <f>D156 * E156</f>
        <v/>
      </c>
    </row>
    <row r="157" ht="15.75" customHeight="1" s="14">
      <c r="B157" s="5" t="n"/>
      <c r="C157" s="5" t="n"/>
      <c r="E157" s="5">
        <f>IFERROR(__xludf.DUMMYFUNCTION("IFERROR(
 VLOOKUP(
   C157,
   FILTER(Vendors_Pricing!A:E, Vendors_Pricing!H:H=""Yes""),
   5,
   FALSE
 ),
 """"
)
"),"")</f>
        <v/>
      </c>
      <c r="F157" s="5">
        <f>D157 * E157</f>
        <v/>
      </c>
    </row>
    <row r="158" ht="15.75" customHeight="1" s="14">
      <c r="B158" s="5" t="n"/>
      <c r="C158" s="5" t="n"/>
      <c r="E158" s="5">
        <f>IFERROR(__xludf.DUMMYFUNCTION("IFERROR(
 VLOOKUP(
   C158,
   FILTER(Vendors_Pricing!A:E, Vendors_Pricing!H:H=""Yes""),
   5,
   FALSE
 ),
 """"
)
"),"")</f>
        <v/>
      </c>
      <c r="F158" s="5">
        <f>D158 * E158</f>
        <v/>
      </c>
    </row>
    <row r="159" ht="15.75" customHeight="1" s="14">
      <c r="B159" s="5" t="n"/>
      <c r="C159" s="5" t="n"/>
      <c r="E159" s="5">
        <f>IFERROR(__xludf.DUMMYFUNCTION("IFERROR(
 VLOOKUP(
   C159,
   FILTER(Vendors_Pricing!A:E, Vendors_Pricing!H:H=""Yes""),
   5,
   FALSE
 ),
 """"
)
"),"")</f>
        <v/>
      </c>
      <c r="F159" s="5">
        <f>D159 * E159</f>
        <v/>
      </c>
    </row>
    <row r="160" ht="15.75" customHeight="1" s="14">
      <c r="B160" s="5" t="n"/>
      <c r="C160" s="5" t="n"/>
      <c r="E160" s="5">
        <f>IFERROR(__xludf.DUMMYFUNCTION("IFERROR(
 VLOOKUP(
   C160,
   FILTER(Vendors_Pricing!A:E, Vendors_Pricing!H:H=""Yes""),
   5,
   FALSE
 ),
 """"
)
"),"")</f>
        <v/>
      </c>
      <c r="F160" s="5">
        <f>D160 * E160</f>
        <v/>
      </c>
    </row>
    <row r="161" ht="15.75" customHeight="1" s="14">
      <c r="B161" s="5" t="n"/>
      <c r="C161" s="5" t="n"/>
      <c r="E161" s="5">
        <f>IFERROR(__xludf.DUMMYFUNCTION("IFERROR(
 VLOOKUP(
   C161,
   FILTER(Vendors_Pricing!A:E, Vendors_Pricing!H:H=""Yes""),
   5,
   FALSE
 ),
 """"
)
"),"")</f>
        <v/>
      </c>
      <c r="F161" s="5">
        <f>D161 * E161</f>
        <v/>
      </c>
    </row>
    <row r="162" ht="15.75" customHeight="1" s="14">
      <c r="B162" s="5" t="n"/>
      <c r="C162" s="5" t="n"/>
      <c r="E162" s="5">
        <f>IFERROR(__xludf.DUMMYFUNCTION("IFERROR(
 VLOOKUP(
   C162,
   FILTER(Vendors_Pricing!A:E, Vendors_Pricing!H:H=""Yes""),
   5,
   FALSE
 ),
 """"
)
"),"")</f>
        <v/>
      </c>
      <c r="F162" s="5">
        <f>D162 * E162</f>
        <v/>
      </c>
    </row>
    <row r="163" ht="15.75" customHeight="1" s="14">
      <c r="B163" s="5" t="n"/>
      <c r="C163" s="5" t="n"/>
      <c r="E163" s="5">
        <f>IFERROR(__xludf.DUMMYFUNCTION("IFERROR(
 VLOOKUP(
   C163,
   FILTER(Vendors_Pricing!A:E, Vendors_Pricing!H:H=""Yes""),
   5,
   FALSE
 ),
 """"
)
"),"")</f>
        <v/>
      </c>
      <c r="F163" s="5">
        <f>D163 * E163</f>
        <v/>
      </c>
    </row>
    <row r="164" ht="15.75" customHeight="1" s="14">
      <c r="B164" s="5" t="n"/>
      <c r="C164" s="5" t="n"/>
      <c r="E164" s="5">
        <f>IFERROR(__xludf.DUMMYFUNCTION("IFERROR(
 VLOOKUP(
   C164,
   FILTER(Vendors_Pricing!A:E, Vendors_Pricing!H:H=""Yes""),
   5,
   FALSE
 ),
 """"
)
"),"")</f>
        <v/>
      </c>
      <c r="F164" s="5">
        <f>D164 * E164</f>
        <v/>
      </c>
    </row>
    <row r="165" ht="15.75" customHeight="1" s="14">
      <c r="B165" s="5" t="n"/>
      <c r="C165" s="5" t="n"/>
      <c r="E165" s="5">
        <f>IFERROR(__xludf.DUMMYFUNCTION("IFERROR(
 VLOOKUP(
   C165,
   FILTER(Vendors_Pricing!A:E, Vendors_Pricing!H:H=""Yes""),
   5,
   FALSE
 ),
 """"
)
"),"")</f>
        <v/>
      </c>
      <c r="F165" s="5">
        <f>D165 * E165</f>
        <v/>
      </c>
    </row>
    <row r="166" ht="15.75" customHeight="1" s="14">
      <c r="B166" s="5" t="n"/>
      <c r="C166" s="5" t="n"/>
      <c r="E166" s="5">
        <f>IFERROR(__xludf.DUMMYFUNCTION("IFERROR(
 VLOOKUP(
   C166,
   FILTER(Vendors_Pricing!A:E, Vendors_Pricing!H:H=""Yes""),
   5,
   FALSE
 ),
 """"
)
"),"")</f>
        <v/>
      </c>
      <c r="F166" s="5">
        <f>D166 * E166</f>
        <v/>
      </c>
    </row>
    <row r="167" ht="15.75" customHeight="1" s="14">
      <c r="B167" s="5" t="n"/>
      <c r="C167" s="5" t="n"/>
      <c r="E167" s="5">
        <f>IFERROR(__xludf.DUMMYFUNCTION("IFERROR(
 VLOOKUP(
   C167,
   FILTER(Vendors_Pricing!A:E, Vendors_Pricing!H:H=""Yes""),
   5,
   FALSE
 ),
 """"
)
"),"")</f>
        <v/>
      </c>
      <c r="F167" s="5">
        <f>D167 * E167</f>
        <v/>
      </c>
    </row>
    <row r="168" ht="15.75" customHeight="1" s="14">
      <c r="B168" s="5" t="n"/>
      <c r="C168" s="5" t="n"/>
      <c r="E168" s="5">
        <f>IFERROR(__xludf.DUMMYFUNCTION("IFERROR(
 VLOOKUP(
   C168,
   FILTER(Vendors_Pricing!A:E, Vendors_Pricing!H:H=""Yes""),
   5,
   FALSE
 ),
 """"
)
"),"")</f>
        <v/>
      </c>
      <c r="F168" s="5">
        <f>D168 * E168</f>
        <v/>
      </c>
    </row>
    <row r="169" ht="15.75" customHeight="1" s="14">
      <c r="B169" s="5" t="n"/>
      <c r="C169" s="5" t="n"/>
      <c r="E169" s="5">
        <f>IFERROR(__xludf.DUMMYFUNCTION("IFERROR(
 VLOOKUP(
   C169,
   FILTER(Vendors_Pricing!A:E, Vendors_Pricing!H:H=""Yes""),
   5,
   FALSE
 ),
 """"
)
"),"")</f>
        <v/>
      </c>
      <c r="F169" s="5">
        <f>D169 * E169</f>
        <v/>
      </c>
    </row>
    <row r="170" ht="15.75" customHeight="1" s="14">
      <c r="B170" s="5" t="n"/>
      <c r="C170" s="5" t="n"/>
      <c r="E170" s="5">
        <f>IFERROR(__xludf.DUMMYFUNCTION("IFERROR(
 VLOOKUP(
   C170,
   FILTER(Vendors_Pricing!A:E, Vendors_Pricing!H:H=""Yes""),
   5,
   FALSE
 ),
 """"
)
"),"")</f>
        <v/>
      </c>
      <c r="F170" s="5">
        <f>D170 * E170</f>
        <v/>
      </c>
    </row>
    <row r="171" ht="15.75" customHeight="1" s="14">
      <c r="B171" s="5" t="n"/>
      <c r="C171" s="5" t="n"/>
      <c r="E171" s="5">
        <f>IFERROR(__xludf.DUMMYFUNCTION("IFERROR(
 VLOOKUP(
   C171,
   FILTER(Vendors_Pricing!A:E, Vendors_Pricing!H:H=""Yes""),
   5,
   FALSE
 ),
 """"
)
"),"")</f>
        <v/>
      </c>
      <c r="F171" s="5">
        <f>D171 * E171</f>
        <v/>
      </c>
    </row>
    <row r="172" ht="15.75" customHeight="1" s="14">
      <c r="B172" s="5" t="n"/>
      <c r="C172" s="5" t="n"/>
      <c r="E172" s="5">
        <f>IFERROR(__xludf.DUMMYFUNCTION("IFERROR(
 VLOOKUP(
   C172,
   FILTER(Vendors_Pricing!A:E, Vendors_Pricing!H:H=""Yes""),
   5,
   FALSE
 ),
 """"
)
"),"")</f>
        <v/>
      </c>
      <c r="F172" s="5">
        <f>D172 * E172</f>
        <v/>
      </c>
    </row>
    <row r="173" ht="15.75" customHeight="1" s="14">
      <c r="B173" s="5" t="n"/>
      <c r="C173" s="5" t="n"/>
      <c r="E173" s="5">
        <f>IFERROR(__xludf.DUMMYFUNCTION("IFERROR(
 VLOOKUP(
   C173,
   FILTER(Vendors_Pricing!A:E, Vendors_Pricing!H:H=""Yes""),
   5,
   FALSE
 ),
 """"
)
"),"")</f>
        <v/>
      </c>
      <c r="F173" s="5">
        <f>D173 * E173</f>
        <v/>
      </c>
    </row>
    <row r="174" ht="15.75" customHeight="1" s="14">
      <c r="B174" s="5" t="n"/>
      <c r="C174" s="5" t="n"/>
      <c r="E174" s="5">
        <f>IFERROR(__xludf.DUMMYFUNCTION("IFERROR(
 VLOOKUP(
   C174,
   FILTER(Vendors_Pricing!A:E, Vendors_Pricing!H:H=""Yes""),
   5,
   FALSE
 ),
 """"
)
"),"")</f>
        <v/>
      </c>
      <c r="F174" s="5">
        <f>D174 * E174</f>
        <v/>
      </c>
    </row>
    <row r="175" ht="15.75" customHeight="1" s="14">
      <c r="B175" s="5" t="n"/>
      <c r="C175" s="5" t="n"/>
      <c r="E175" s="5">
        <f>IFERROR(__xludf.DUMMYFUNCTION("IFERROR(
 VLOOKUP(
   C175,
   FILTER(Vendors_Pricing!A:E, Vendors_Pricing!H:H=""Yes""),
   5,
   FALSE
 ),
 """"
)
"),"")</f>
        <v/>
      </c>
      <c r="F175" s="5">
        <f>D175 * E175</f>
        <v/>
      </c>
    </row>
    <row r="176" ht="15.75" customHeight="1" s="14">
      <c r="B176" s="5" t="n"/>
      <c r="C176" s="5" t="n"/>
      <c r="E176" s="5">
        <f>IFERROR(__xludf.DUMMYFUNCTION("IFERROR(
 VLOOKUP(
   C176,
   FILTER(Vendors_Pricing!A:E, Vendors_Pricing!H:H=""Yes""),
   5,
   FALSE
 ),
 """"
)
"),"")</f>
        <v/>
      </c>
      <c r="F176" s="5">
        <f>D176 * E176</f>
        <v/>
      </c>
    </row>
    <row r="177" ht="15.75" customHeight="1" s="14">
      <c r="B177" s="5" t="n"/>
      <c r="C177" s="5" t="n"/>
      <c r="E177" s="5">
        <f>IFERROR(__xludf.DUMMYFUNCTION("IFERROR(
 VLOOKUP(
   C177,
   FILTER(Vendors_Pricing!A:E, Vendors_Pricing!H:H=""Yes""),
   5,
   FALSE
 ),
 """"
)
"),"")</f>
        <v/>
      </c>
      <c r="F177" s="5">
        <f>D177 * E177</f>
        <v/>
      </c>
    </row>
    <row r="178" ht="15.75" customHeight="1" s="14">
      <c r="B178" s="5" t="n"/>
      <c r="C178" s="5" t="n"/>
      <c r="E178" s="5">
        <f>IFERROR(__xludf.DUMMYFUNCTION("IFERROR(
 VLOOKUP(
   C178,
   FILTER(Vendors_Pricing!A:E, Vendors_Pricing!H:H=""Yes""),
   5,
   FALSE
 ),
 """"
)
"),"")</f>
        <v/>
      </c>
      <c r="F178" s="5">
        <f>D178 * E178</f>
        <v/>
      </c>
    </row>
    <row r="179" ht="15.75" customHeight="1" s="14">
      <c r="B179" s="5" t="n"/>
      <c r="C179" s="5" t="n"/>
      <c r="E179" s="5">
        <f>IFERROR(__xludf.DUMMYFUNCTION("IFERROR(
 VLOOKUP(
   C179,
   FILTER(Vendors_Pricing!A:E, Vendors_Pricing!H:H=""Yes""),
   5,
   FALSE
 ),
 """"
)
"),"")</f>
        <v/>
      </c>
      <c r="F179" s="5">
        <f>D179 * E179</f>
        <v/>
      </c>
    </row>
    <row r="180" ht="15.75" customHeight="1" s="14">
      <c r="B180" s="5" t="n"/>
      <c r="C180" s="5" t="n"/>
      <c r="E180" s="5">
        <f>IFERROR(__xludf.DUMMYFUNCTION("IFERROR(
 VLOOKUP(
   C180,
   FILTER(Vendors_Pricing!A:E, Vendors_Pricing!H:H=""Yes""),
   5,
   FALSE
 ),
 """"
)
"),"")</f>
        <v/>
      </c>
      <c r="F180" s="5">
        <f>D180 * E180</f>
        <v/>
      </c>
    </row>
    <row r="181" ht="15.75" customHeight="1" s="14">
      <c r="B181" s="5" t="n"/>
      <c r="C181" s="5" t="n"/>
      <c r="E181" s="5">
        <f>IFERROR(__xludf.DUMMYFUNCTION("IFERROR(
 VLOOKUP(
   C181,
   FILTER(Vendors_Pricing!A:E, Vendors_Pricing!H:H=""Yes""),
   5,
   FALSE
 ),
 """"
)
"),"")</f>
        <v/>
      </c>
      <c r="F181" s="5">
        <f>D181 * E181</f>
        <v/>
      </c>
    </row>
    <row r="182" ht="15.75" customHeight="1" s="14">
      <c r="B182" s="5" t="n"/>
      <c r="C182" s="5" t="n"/>
      <c r="E182" s="5">
        <f>IFERROR(__xludf.DUMMYFUNCTION("IFERROR(
 VLOOKUP(
   C182,
   FILTER(Vendors_Pricing!A:E, Vendors_Pricing!H:H=""Yes""),
   5,
   FALSE
 ),
 """"
)
"),"")</f>
        <v/>
      </c>
      <c r="F182" s="5">
        <f>D182 * E182</f>
        <v/>
      </c>
    </row>
    <row r="183" ht="15.75" customHeight="1" s="14">
      <c r="B183" s="5" t="n"/>
      <c r="C183" s="5" t="n"/>
      <c r="E183" s="5">
        <f>IFERROR(__xludf.DUMMYFUNCTION("IFERROR(
 VLOOKUP(
   C183,
   FILTER(Vendors_Pricing!A:E, Vendors_Pricing!H:H=""Yes""),
   5,
   FALSE
 ),
 """"
)
"),"")</f>
        <v/>
      </c>
      <c r="F183" s="5">
        <f>D183 * E183</f>
        <v/>
      </c>
    </row>
    <row r="184" ht="15.75" customHeight="1" s="14">
      <c r="B184" s="5" t="n"/>
      <c r="C184" s="5" t="n"/>
      <c r="E184" s="5">
        <f>IFERROR(__xludf.DUMMYFUNCTION("IFERROR(
 VLOOKUP(
   C184,
   FILTER(Vendors_Pricing!A:E, Vendors_Pricing!H:H=""Yes""),
   5,
   FALSE
 ),
 """"
)
"),"")</f>
        <v/>
      </c>
      <c r="F184" s="5">
        <f>D184 * E184</f>
        <v/>
      </c>
    </row>
    <row r="185" ht="15.75" customHeight="1" s="14">
      <c r="B185" s="5" t="n"/>
      <c r="C185" s="5" t="n"/>
      <c r="E185" s="5">
        <f>IFERROR(__xludf.DUMMYFUNCTION("IFERROR(
 VLOOKUP(
   C185,
   FILTER(Vendors_Pricing!A:E, Vendors_Pricing!H:H=""Yes""),
   5,
   FALSE
 ),
 """"
)
"),"")</f>
        <v/>
      </c>
      <c r="F185" s="5">
        <f>D185 * E185</f>
        <v/>
      </c>
    </row>
    <row r="186" ht="15.75" customHeight="1" s="14">
      <c r="B186" s="5" t="n"/>
      <c r="C186" s="5" t="n"/>
      <c r="E186" s="5">
        <f>IFERROR(__xludf.DUMMYFUNCTION("IFERROR(
 VLOOKUP(
   C186,
   FILTER(Vendors_Pricing!A:E, Vendors_Pricing!H:H=""Yes""),
   5,
   FALSE
 ),
 """"
)
"),"")</f>
        <v/>
      </c>
      <c r="F186" s="5">
        <f>D186 * E186</f>
        <v/>
      </c>
    </row>
    <row r="187" ht="15.75" customHeight="1" s="14">
      <c r="B187" s="5" t="n"/>
      <c r="C187" s="5" t="n"/>
      <c r="E187" s="5">
        <f>IFERROR(__xludf.DUMMYFUNCTION("IFERROR(
 VLOOKUP(
   C187,
   FILTER(Vendors_Pricing!A:E, Vendors_Pricing!H:H=""Yes""),
   5,
   FALSE
 ),
 """"
)
"),"")</f>
        <v/>
      </c>
      <c r="F187" s="5">
        <f>D187 * E187</f>
        <v/>
      </c>
    </row>
    <row r="188" ht="15.75" customHeight="1" s="14">
      <c r="B188" s="5" t="n"/>
      <c r="C188" s="5" t="n"/>
      <c r="E188" s="5">
        <f>IFERROR(__xludf.DUMMYFUNCTION("IFERROR(
 VLOOKUP(
   C188,
   FILTER(Vendors_Pricing!A:E, Vendors_Pricing!H:H=""Yes""),
   5,
   FALSE
 ),
 """"
)
"),"")</f>
        <v/>
      </c>
      <c r="F188" s="5">
        <f>D188 * E188</f>
        <v/>
      </c>
    </row>
    <row r="189" ht="15.75" customHeight="1" s="14">
      <c r="B189" s="5" t="n"/>
      <c r="C189" s="5" t="n"/>
      <c r="E189" s="5">
        <f>IFERROR(__xludf.DUMMYFUNCTION("IFERROR(
 VLOOKUP(
   C189,
   FILTER(Vendors_Pricing!A:E, Vendors_Pricing!H:H=""Yes""),
   5,
   FALSE
 ),
 """"
)
"),"")</f>
        <v/>
      </c>
      <c r="F189" s="5">
        <f>D189 * E189</f>
        <v/>
      </c>
    </row>
    <row r="190" ht="15.75" customHeight="1" s="14">
      <c r="B190" s="5" t="n"/>
      <c r="C190" s="5" t="n"/>
      <c r="E190" s="5">
        <f>IFERROR(__xludf.DUMMYFUNCTION("IFERROR(
 VLOOKUP(
   C190,
   FILTER(Vendors_Pricing!A:E, Vendors_Pricing!H:H=""Yes""),
   5,
   FALSE
 ),
 """"
)
"),"")</f>
        <v/>
      </c>
      <c r="F190" s="5">
        <f>D190 * E190</f>
        <v/>
      </c>
    </row>
    <row r="191" ht="15.75" customHeight="1" s="14">
      <c r="B191" s="5" t="n"/>
      <c r="C191" s="5" t="n"/>
      <c r="E191" s="5">
        <f>IFERROR(__xludf.DUMMYFUNCTION("IFERROR(
 VLOOKUP(
   C191,
   FILTER(Vendors_Pricing!A:E, Vendors_Pricing!H:H=""Yes""),
   5,
   FALSE
 ),
 """"
)
"),"")</f>
        <v/>
      </c>
      <c r="F191" s="5">
        <f>D191 * E191</f>
        <v/>
      </c>
    </row>
    <row r="192" ht="15.75" customHeight="1" s="14">
      <c r="B192" s="5" t="n"/>
      <c r="C192" s="5" t="n"/>
      <c r="E192" s="5">
        <f>IFERROR(__xludf.DUMMYFUNCTION("IFERROR(
 VLOOKUP(
   C192,
   FILTER(Vendors_Pricing!A:E, Vendors_Pricing!H:H=""Yes""),
   5,
   FALSE
 ),
 """"
)
"),"")</f>
        <v/>
      </c>
      <c r="F192" s="5">
        <f>D192 * E192</f>
        <v/>
      </c>
    </row>
    <row r="193" ht="15.75" customHeight="1" s="14">
      <c r="B193" s="5" t="n"/>
      <c r="C193" s="5" t="n"/>
      <c r="E193" s="5">
        <f>IFERROR(__xludf.DUMMYFUNCTION("IFERROR(
 VLOOKUP(
   C193,
   FILTER(Vendors_Pricing!A:E, Vendors_Pricing!H:H=""Yes""),
   5,
   FALSE
 ),
 """"
)
"),"")</f>
        <v/>
      </c>
      <c r="F193" s="5">
        <f>D193 * E193</f>
        <v/>
      </c>
    </row>
    <row r="194" ht="15.75" customHeight="1" s="14">
      <c r="B194" s="5" t="n"/>
      <c r="C194" s="5" t="n"/>
      <c r="E194" s="5">
        <f>IFERROR(__xludf.DUMMYFUNCTION("IFERROR(
 VLOOKUP(
   C194,
   FILTER(Vendors_Pricing!A:E, Vendors_Pricing!H:H=""Yes""),
   5,
   FALSE
 ),
 """"
)
"),"")</f>
        <v/>
      </c>
      <c r="F194" s="5">
        <f>D194 * E194</f>
        <v/>
      </c>
    </row>
    <row r="195" ht="15.75" customHeight="1" s="14">
      <c r="B195" s="5" t="n"/>
      <c r="C195" s="5" t="n"/>
      <c r="E195" s="5">
        <f>IFERROR(__xludf.DUMMYFUNCTION("IFERROR(
 VLOOKUP(
   C195,
   FILTER(Vendors_Pricing!A:E, Vendors_Pricing!H:H=""Yes""),
   5,
   FALSE
 ),
 """"
)
"),"")</f>
        <v/>
      </c>
      <c r="F195" s="5">
        <f>D195 * E195</f>
        <v/>
      </c>
    </row>
    <row r="196" ht="15.75" customHeight="1" s="14">
      <c r="B196" s="5" t="n"/>
      <c r="C196" s="5" t="n"/>
      <c r="E196" s="5">
        <f>IFERROR(__xludf.DUMMYFUNCTION("IFERROR(
 VLOOKUP(
   C196,
   FILTER(Vendors_Pricing!A:E, Vendors_Pricing!H:H=""Yes""),
   5,
   FALSE
 ),
 """"
)
"),"")</f>
        <v/>
      </c>
      <c r="F196" s="5">
        <f>D196 * E196</f>
        <v/>
      </c>
    </row>
    <row r="197" ht="15.75" customHeight="1" s="14">
      <c r="B197" s="5" t="n"/>
      <c r="C197" s="5" t="n"/>
      <c r="E197" s="5">
        <f>IFERROR(__xludf.DUMMYFUNCTION("IFERROR(
 VLOOKUP(
   C197,
   FILTER(Vendors_Pricing!A:E, Vendors_Pricing!H:H=""Yes""),
   5,
   FALSE
 ),
 """"
)
"),"")</f>
        <v/>
      </c>
      <c r="F197" s="5">
        <f>D197 * E197</f>
        <v/>
      </c>
    </row>
    <row r="198" ht="15.75" customHeight="1" s="14">
      <c r="B198" s="5" t="n"/>
      <c r="C198" s="5" t="n"/>
      <c r="E198" s="5">
        <f>IFERROR(__xludf.DUMMYFUNCTION("IFERROR(
 VLOOKUP(
   C198,
   FILTER(Vendors_Pricing!A:E, Vendors_Pricing!H:H=""Yes""),
   5,
   FALSE
 ),
 """"
)
"),"")</f>
        <v/>
      </c>
      <c r="F198" s="5">
        <f>D198 * E198</f>
        <v/>
      </c>
    </row>
    <row r="199" ht="15.75" customHeight="1" s="14">
      <c r="B199" s="5" t="n"/>
      <c r="C199" s="5" t="n"/>
      <c r="E199" s="5">
        <f>IFERROR(__xludf.DUMMYFUNCTION("IFERROR(
 VLOOKUP(
   C199,
   FILTER(Vendors_Pricing!A:E, Vendors_Pricing!H:H=""Yes""),
   5,
   FALSE
 ),
 """"
)
"),"")</f>
        <v/>
      </c>
      <c r="F199" s="5">
        <f>D199 * E199</f>
        <v/>
      </c>
    </row>
    <row r="200" ht="15.75" customHeight="1" s="14">
      <c r="B200" s="5" t="n"/>
      <c r="C200" s="5" t="n"/>
      <c r="E200" s="5">
        <f>IFERROR(__xludf.DUMMYFUNCTION("IFERROR(
 VLOOKUP(
   C200,
   FILTER(Vendors_Pricing!A:E, Vendors_Pricing!H:H=""Yes""),
   5,
   FALSE
 ),
 """"
)
"),"")</f>
        <v/>
      </c>
      <c r="F200" s="5">
        <f>D200 * E200</f>
        <v/>
      </c>
    </row>
    <row r="201" ht="15.75" customHeight="1" s="14">
      <c r="B201" s="5" t="n"/>
      <c r="C201" s="5" t="n"/>
      <c r="E201" s="5">
        <f>IFERROR(__xludf.DUMMYFUNCTION("IFERROR(
 VLOOKUP(
   C201,
   FILTER(Vendors_Pricing!A:E, Vendors_Pricing!H:H=""Yes""),
   5,
   FALSE
 ),
 """"
)
"),"")</f>
        <v/>
      </c>
      <c r="F201" s="5">
        <f>D201 * E201</f>
        <v/>
      </c>
    </row>
    <row r="202" ht="15.75" customHeight="1" s="14">
      <c r="B202" s="5" t="n"/>
      <c r="C202" s="5" t="n"/>
      <c r="E202" s="5">
        <f>IFERROR(__xludf.DUMMYFUNCTION("IFERROR(
 VLOOKUP(
   C202,
   FILTER(Vendors_Pricing!A:E, Vendors_Pricing!H:H=""Yes""),
   5,
   FALSE
 ),
 """"
)
"),"")</f>
        <v/>
      </c>
      <c r="F202" s="5">
        <f>D202 * E202</f>
        <v/>
      </c>
    </row>
    <row r="203" ht="15.75" customHeight="1" s="14">
      <c r="B203" s="5" t="n"/>
      <c r="C203" s="5" t="n"/>
      <c r="E203" s="5">
        <f>IFERROR(__xludf.DUMMYFUNCTION("IFERROR(
 VLOOKUP(
   C203,
   FILTER(Vendors_Pricing!A:E, Vendors_Pricing!H:H=""Yes""),
   5,
   FALSE
 ),
 """"
)
"),"")</f>
        <v/>
      </c>
      <c r="F203" s="5">
        <f>D203 * E203</f>
        <v/>
      </c>
    </row>
    <row r="204" ht="15.75" customHeight="1" s="14">
      <c r="B204" s="5" t="n"/>
      <c r="C204" s="5" t="n"/>
      <c r="E204" s="5">
        <f>IFERROR(__xludf.DUMMYFUNCTION("IFERROR(
 VLOOKUP(
   C204,
   FILTER(Vendors_Pricing!A:E, Vendors_Pricing!H:H=""Yes""),
   5,
   FALSE
 ),
 """"
)
"),"")</f>
        <v/>
      </c>
      <c r="F204" s="5">
        <f>D204 * E204</f>
        <v/>
      </c>
    </row>
    <row r="205" ht="15.75" customHeight="1" s="14">
      <c r="B205" s="5" t="n"/>
      <c r="C205" s="5" t="n"/>
      <c r="E205" s="5">
        <f>IFERROR(__xludf.DUMMYFUNCTION("IFERROR(
 VLOOKUP(
   C205,
   FILTER(Vendors_Pricing!A:E, Vendors_Pricing!H:H=""Yes""),
   5,
   FALSE
 ),
 """"
)
"),"")</f>
        <v/>
      </c>
      <c r="F205" s="5">
        <f>D205 * E205</f>
        <v/>
      </c>
    </row>
    <row r="206" ht="15.75" customHeight="1" s="14">
      <c r="B206" s="5" t="n"/>
      <c r="C206" s="5" t="n"/>
      <c r="E206" s="5">
        <f>IFERROR(__xludf.DUMMYFUNCTION("IFERROR(
 VLOOKUP(
   C206,
   FILTER(Vendors_Pricing!A:E, Vendors_Pricing!H:H=""Yes""),
   5,
   FALSE
 ),
 """"
)
"),"")</f>
        <v/>
      </c>
      <c r="F206" s="5">
        <f>D206 * E206</f>
        <v/>
      </c>
    </row>
    <row r="207" ht="15.75" customHeight="1" s="14">
      <c r="B207" s="5" t="n"/>
      <c r="C207" s="5" t="n"/>
      <c r="E207" s="5">
        <f>IFERROR(__xludf.DUMMYFUNCTION("IFERROR(
 VLOOKUP(
   C207,
   FILTER(Vendors_Pricing!A:E, Vendors_Pricing!H:H=""Yes""),
   5,
   FALSE
 ),
 """"
)
"),"")</f>
        <v/>
      </c>
      <c r="F207" s="5">
        <f>D207 * E207</f>
        <v/>
      </c>
    </row>
    <row r="208" ht="15.75" customHeight="1" s="14">
      <c r="B208" s="5" t="n"/>
      <c r="C208" s="5" t="n"/>
      <c r="E208" s="5">
        <f>IFERROR(__xludf.DUMMYFUNCTION("IFERROR(
 VLOOKUP(
   C208,
   FILTER(Vendors_Pricing!A:E, Vendors_Pricing!H:H=""Yes""),
   5,
   FALSE
 ),
 """"
)
"),"")</f>
        <v/>
      </c>
      <c r="F208" s="5">
        <f>D208 * E208</f>
        <v/>
      </c>
    </row>
    <row r="209" ht="15.75" customHeight="1" s="14">
      <c r="B209" s="5" t="n"/>
      <c r="C209" s="5" t="n"/>
      <c r="E209" s="5">
        <f>IFERROR(__xludf.DUMMYFUNCTION("IFERROR(
 VLOOKUP(
   C209,
   FILTER(Vendors_Pricing!A:E, Vendors_Pricing!H:H=""Yes""),
   5,
   FALSE
 ),
 """"
)
"),"")</f>
        <v/>
      </c>
      <c r="F209" s="5">
        <f>D209 * E209</f>
        <v/>
      </c>
    </row>
    <row r="210" ht="15.75" customHeight="1" s="14">
      <c r="B210" s="5" t="n"/>
      <c r="C210" s="5" t="n"/>
      <c r="E210" s="5">
        <f>IFERROR(__xludf.DUMMYFUNCTION("IFERROR(
 VLOOKUP(
   C210,
   FILTER(Vendors_Pricing!A:E, Vendors_Pricing!H:H=""Yes""),
   5,
   FALSE
 ),
 """"
)
"),"")</f>
        <v/>
      </c>
      <c r="F210" s="5">
        <f>D210 * E210</f>
        <v/>
      </c>
    </row>
    <row r="211" ht="15.75" customHeight="1" s="14">
      <c r="B211" s="5" t="n"/>
      <c r="C211" s="5" t="n"/>
      <c r="E211" s="5">
        <f>IFERROR(__xludf.DUMMYFUNCTION("IFERROR(
 VLOOKUP(
   C211,
   FILTER(Vendors_Pricing!A:E, Vendors_Pricing!H:H=""Yes""),
   5,
   FALSE
 ),
 """"
)
"),"")</f>
        <v/>
      </c>
      <c r="F211" s="5">
        <f>D211 * E211</f>
        <v/>
      </c>
    </row>
    <row r="212" ht="15.75" customHeight="1" s="14">
      <c r="B212" s="5" t="n"/>
      <c r="C212" s="5" t="n"/>
      <c r="E212" s="5">
        <f>IFERROR(__xludf.DUMMYFUNCTION("IFERROR(
 VLOOKUP(
   C212,
   FILTER(Vendors_Pricing!A:E, Vendors_Pricing!H:H=""Yes""),
   5,
   FALSE
 ),
 """"
)
"),"")</f>
        <v/>
      </c>
      <c r="F212" s="5">
        <f>D212 * E212</f>
        <v/>
      </c>
    </row>
    <row r="213" ht="15.75" customHeight="1" s="14">
      <c r="B213" s="5" t="n"/>
      <c r="C213" s="5" t="n"/>
      <c r="E213" s="5">
        <f>IFERROR(__xludf.DUMMYFUNCTION("IFERROR(
 VLOOKUP(
   C213,
   FILTER(Vendors_Pricing!A:E, Vendors_Pricing!H:H=""Yes""),
   5,
   FALSE
 ),
 """"
)
"),"")</f>
        <v/>
      </c>
      <c r="F213" s="5">
        <f>D213 * E213</f>
        <v/>
      </c>
    </row>
    <row r="214" ht="15.75" customHeight="1" s="14">
      <c r="B214" s="5" t="n"/>
      <c r="C214" s="5" t="n"/>
      <c r="E214" s="5">
        <f>IFERROR(__xludf.DUMMYFUNCTION("IFERROR(
 VLOOKUP(
   C214,
   FILTER(Vendors_Pricing!A:E, Vendors_Pricing!H:H=""Yes""),
   5,
   FALSE
 ),
 """"
)
"),"")</f>
        <v/>
      </c>
      <c r="F214" s="5">
        <f>D214 * E214</f>
        <v/>
      </c>
    </row>
    <row r="215" ht="15.75" customHeight="1" s="14">
      <c r="B215" s="5" t="n"/>
      <c r="C215" s="5" t="n"/>
      <c r="E215" s="5">
        <f>IFERROR(__xludf.DUMMYFUNCTION("IFERROR(
 VLOOKUP(
   C215,
   FILTER(Vendors_Pricing!A:E, Vendors_Pricing!H:H=""Yes""),
   5,
   FALSE
 ),
 """"
)
"),"")</f>
        <v/>
      </c>
      <c r="F215" s="5">
        <f>D215 * E215</f>
        <v/>
      </c>
    </row>
    <row r="216" ht="15.75" customHeight="1" s="14">
      <c r="B216" s="5" t="n"/>
      <c r="C216" s="5" t="n"/>
      <c r="E216" s="5">
        <f>IFERROR(__xludf.DUMMYFUNCTION("IFERROR(
 VLOOKUP(
   C216,
   FILTER(Vendors_Pricing!A:E, Vendors_Pricing!H:H=""Yes""),
   5,
   FALSE
 ),
 """"
)
"),"")</f>
        <v/>
      </c>
      <c r="F216" s="5">
        <f>D216 * E216</f>
        <v/>
      </c>
    </row>
    <row r="217" ht="15.75" customHeight="1" s="14">
      <c r="B217" s="5" t="n"/>
      <c r="C217" s="5" t="n"/>
      <c r="E217" s="5">
        <f>IFERROR(__xludf.DUMMYFUNCTION("IFERROR(
 VLOOKUP(
   C217,
   FILTER(Vendors_Pricing!A:E, Vendors_Pricing!H:H=""Yes""),
   5,
   FALSE
 ),
 """"
)
"),"")</f>
        <v/>
      </c>
      <c r="F217" s="5">
        <f>D217 * E217</f>
        <v/>
      </c>
    </row>
    <row r="218" ht="15.75" customHeight="1" s="14">
      <c r="B218" s="5" t="n"/>
      <c r="C218" s="5" t="n"/>
      <c r="E218" s="5">
        <f>IFERROR(__xludf.DUMMYFUNCTION("IFERROR(
 VLOOKUP(
   C218,
   FILTER(Vendors_Pricing!A:E, Vendors_Pricing!H:H=""Yes""),
   5,
   FALSE
 ),
 """"
)
"),"")</f>
        <v/>
      </c>
      <c r="F218" s="5">
        <f>D218 * E218</f>
        <v/>
      </c>
    </row>
    <row r="219" ht="15.75" customHeight="1" s="14">
      <c r="B219" s="5" t="n"/>
      <c r="C219" s="5" t="n"/>
      <c r="E219" s="5">
        <f>IFERROR(__xludf.DUMMYFUNCTION("IFERROR(
 VLOOKUP(
   C219,
   FILTER(Vendors_Pricing!A:E, Vendors_Pricing!H:H=""Yes""),
   5,
   FALSE
 ),
 """"
)
"),"")</f>
        <v/>
      </c>
      <c r="F219" s="5">
        <f>D219 * E219</f>
        <v/>
      </c>
    </row>
    <row r="220" ht="15.75" customHeight="1" s="14">
      <c r="B220" s="5" t="n"/>
      <c r="C220" s="5" t="n"/>
      <c r="E220" s="5">
        <f>IFERROR(__xludf.DUMMYFUNCTION("IFERROR(
 VLOOKUP(
   C220,
   FILTER(Vendors_Pricing!A:E, Vendors_Pricing!H:H=""Yes""),
   5,
   FALSE
 ),
 """"
)
"),"")</f>
        <v/>
      </c>
      <c r="F220" s="5">
        <f>D220 * E220</f>
        <v/>
      </c>
    </row>
    <row r="221" ht="15.75" customHeight="1" s="14">
      <c r="B221" s="5" t="n"/>
      <c r="C221" s="5" t="n"/>
      <c r="E221" s="5">
        <f>IFERROR(__xludf.DUMMYFUNCTION("IFERROR(
 VLOOKUP(
   C221,
   FILTER(Vendors_Pricing!A:E, Vendors_Pricing!H:H=""Yes""),
   5,
   FALSE
 ),
 """"
)
"),"")</f>
        <v/>
      </c>
      <c r="F221" s="5">
        <f>D221 * E221</f>
        <v/>
      </c>
    </row>
    <row r="222" ht="15.75" customHeight="1" s="14">
      <c r="B222" s="5" t="n"/>
      <c r="C222" s="5" t="n"/>
      <c r="E222" s="5">
        <f>IFERROR(__xludf.DUMMYFUNCTION("IFERROR(
 VLOOKUP(
   C222,
   FILTER(Vendors_Pricing!A:E, Vendors_Pricing!H:H=""Yes""),
   5,
   FALSE
 ),
 """"
)
"),"")</f>
        <v/>
      </c>
      <c r="F222" s="5">
        <f>D222 * E222</f>
        <v/>
      </c>
    </row>
    <row r="223" ht="15.75" customHeight="1" s="14">
      <c r="B223" s="5" t="n"/>
      <c r="C223" s="5" t="n"/>
      <c r="E223" s="5">
        <f>IFERROR(__xludf.DUMMYFUNCTION("IFERROR(
 VLOOKUP(
   C223,
   FILTER(Vendors_Pricing!A:E, Vendors_Pricing!H:H=""Yes""),
   5,
   FALSE
 ),
 """"
)
"),"")</f>
        <v/>
      </c>
      <c r="F223" s="5">
        <f>D223 * E223</f>
        <v/>
      </c>
    </row>
    <row r="224" ht="15.75" customHeight="1" s="14">
      <c r="B224" s="5" t="n"/>
      <c r="C224" s="5" t="n"/>
      <c r="E224" s="5">
        <f>IFERROR(__xludf.DUMMYFUNCTION("IFERROR(
 VLOOKUP(
   C224,
   FILTER(Vendors_Pricing!A:E, Vendors_Pricing!H:H=""Yes""),
   5,
   FALSE
 ),
 """"
)
"),"")</f>
        <v/>
      </c>
      <c r="F224" s="5">
        <f>D224 * E224</f>
        <v/>
      </c>
    </row>
    <row r="225" ht="15.75" customHeight="1" s="14">
      <c r="B225" s="5" t="n"/>
      <c r="C225" s="5" t="n"/>
      <c r="E225" s="5">
        <f>IFERROR(__xludf.DUMMYFUNCTION("IFERROR(
 VLOOKUP(
   C225,
   FILTER(Vendors_Pricing!A:E, Vendors_Pricing!H:H=""Yes""),
   5,
   FALSE
 ),
 """"
)
"),"")</f>
        <v/>
      </c>
      <c r="F225" s="5">
        <f>D225 * E225</f>
        <v/>
      </c>
    </row>
    <row r="226" ht="15.75" customHeight="1" s="14">
      <c r="B226" s="5" t="n"/>
      <c r="C226" s="5" t="n"/>
      <c r="E226" s="5">
        <f>IFERROR(__xludf.DUMMYFUNCTION("IFERROR(
 VLOOKUP(
   C226,
   FILTER(Vendors_Pricing!A:E, Vendors_Pricing!H:H=""Yes""),
   5,
   FALSE
 ),
 """"
)
"),"")</f>
        <v/>
      </c>
      <c r="F226" s="5">
        <f>D226 * E226</f>
        <v/>
      </c>
    </row>
    <row r="227" ht="15.75" customHeight="1" s="14">
      <c r="B227" s="5" t="n"/>
      <c r="C227" s="5" t="n"/>
      <c r="E227" s="5">
        <f>IFERROR(__xludf.DUMMYFUNCTION("IFERROR(
 VLOOKUP(
   C227,
   FILTER(Vendors_Pricing!A:E, Vendors_Pricing!H:H=""Yes""),
   5,
   FALSE
 ),
 """"
)
"),"")</f>
        <v/>
      </c>
      <c r="F227" s="5">
        <f>D227 * E227</f>
        <v/>
      </c>
    </row>
    <row r="228" ht="15.75" customHeight="1" s="14">
      <c r="B228" s="5" t="n"/>
      <c r="C228" s="5" t="n"/>
      <c r="E228" s="5">
        <f>IFERROR(__xludf.DUMMYFUNCTION("IFERROR(
 VLOOKUP(
   C228,
   FILTER(Vendors_Pricing!A:E, Vendors_Pricing!H:H=""Yes""),
   5,
   FALSE
 ),
 """"
)
"),"")</f>
        <v/>
      </c>
      <c r="F228" s="5">
        <f>D228 * E228</f>
        <v/>
      </c>
    </row>
    <row r="229" ht="15.75" customHeight="1" s="14">
      <c r="B229" s="5" t="n"/>
      <c r="C229" s="5" t="n"/>
      <c r="E229" s="5">
        <f>IFERROR(__xludf.DUMMYFUNCTION("IFERROR(
 VLOOKUP(
   C229,
   FILTER(Vendors_Pricing!A:E, Vendors_Pricing!H:H=""Yes""),
   5,
   FALSE
 ),
 """"
)
"),"")</f>
        <v/>
      </c>
      <c r="F229" s="5">
        <f>D229 * E229</f>
        <v/>
      </c>
    </row>
    <row r="230" ht="15.75" customHeight="1" s="14">
      <c r="B230" s="5" t="n"/>
      <c r="C230" s="5" t="n"/>
      <c r="E230" s="5">
        <f>IFERROR(__xludf.DUMMYFUNCTION("IFERROR(
 VLOOKUP(
   C230,
   FILTER(Vendors_Pricing!A:E, Vendors_Pricing!H:H=""Yes""),
   5,
   FALSE
 ),
 """"
)
"),"")</f>
        <v/>
      </c>
      <c r="F230" s="5">
        <f>D230 * E230</f>
        <v/>
      </c>
    </row>
    <row r="231" ht="15.75" customHeight="1" s="14">
      <c r="B231" s="5" t="n"/>
      <c r="C231" s="5" t="n"/>
      <c r="E231" s="5">
        <f>IFERROR(__xludf.DUMMYFUNCTION("IFERROR(
 VLOOKUP(
   C231,
   FILTER(Vendors_Pricing!A:E, Vendors_Pricing!H:H=""Yes""),
   5,
   FALSE
 ),
 """"
)
"),"")</f>
        <v/>
      </c>
      <c r="F231" s="5">
        <f>D231 * E231</f>
        <v/>
      </c>
    </row>
    <row r="232" ht="15.75" customHeight="1" s="14">
      <c r="B232" s="5" t="n"/>
      <c r="C232" s="5" t="n"/>
      <c r="E232" s="5">
        <f>IFERROR(__xludf.DUMMYFUNCTION("IFERROR(
 VLOOKUP(
   C232,
   FILTER(Vendors_Pricing!A:E, Vendors_Pricing!H:H=""Yes""),
   5,
   FALSE
 ),
 """"
)
"),"")</f>
        <v/>
      </c>
      <c r="F232" s="5">
        <f>D232 * E232</f>
        <v/>
      </c>
    </row>
    <row r="233" ht="15.75" customHeight="1" s="14">
      <c r="B233" s="5" t="n"/>
      <c r="C233" s="5" t="n"/>
      <c r="E233" s="5">
        <f>IFERROR(__xludf.DUMMYFUNCTION("IFERROR(
 VLOOKUP(
   C233,
   FILTER(Vendors_Pricing!A:E, Vendors_Pricing!H:H=""Yes""),
   5,
   FALSE
 ),
 """"
)
"),"")</f>
        <v/>
      </c>
      <c r="F233" s="5">
        <f>D233 * E233</f>
        <v/>
      </c>
    </row>
    <row r="234" ht="15.75" customHeight="1" s="14">
      <c r="B234" s="5" t="n"/>
      <c r="C234" s="5" t="n"/>
      <c r="E234" s="5">
        <f>IFERROR(__xludf.DUMMYFUNCTION("IFERROR(
 VLOOKUP(
   C234,
   FILTER(Vendors_Pricing!A:E, Vendors_Pricing!H:H=""Yes""),
   5,
   FALSE
 ),
 """"
)
"),"")</f>
        <v/>
      </c>
      <c r="F234" s="5">
        <f>D234 * E234</f>
        <v/>
      </c>
    </row>
    <row r="235" ht="15.75" customHeight="1" s="14">
      <c r="B235" s="5" t="n"/>
      <c r="C235" s="5" t="n"/>
      <c r="E235" s="5">
        <f>IFERROR(__xludf.DUMMYFUNCTION("IFERROR(
 VLOOKUP(
   C235,
   FILTER(Vendors_Pricing!A:E, Vendors_Pricing!H:H=""Yes""),
   5,
   FALSE
 ),
 """"
)
"),"")</f>
        <v/>
      </c>
      <c r="F235" s="5">
        <f>D235 * E235</f>
        <v/>
      </c>
    </row>
    <row r="236" ht="15.75" customHeight="1" s="14">
      <c r="B236" s="5" t="n"/>
      <c r="C236" s="5" t="n"/>
      <c r="E236" s="5">
        <f>IFERROR(__xludf.DUMMYFUNCTION("IFERROR(
 VLOOKUP(
   C236,
   FILTER(Vendors_Pricing!A:E, Vendors_Pricing!H:H=""Yes""),
   5,
   FALSE
 ),
 """"
)
"),"")</f>
        <v/>
      </c>
      <c r="F236" s="5">
        <f>D236 * E236</f>
        <v/>
      </c>
    </row>
    <row r="237" ht="15.75" customHeight="1" s="14">
      <c r="B237" s="5" t="n"/>
      <c r="C237" s="5" t="n"/>
      <c r="E237" s="5">
        <f>IFERROR(__xludf.DUMMYFUNCTION("IFERROR(
 VLOOKUP(
   C237,
   FILTER(Vendors_Pricing!A:E, Vendors_Pricing!H:H=""Yes""),
   5,
   FALSE
 ),
 """"
)
"),"")</f>
        <v/>
      </c>
      <c r="F237" s="5">
        <f>D237 * E237</f>
        <v/>
      </c>
    </row>
    <row r="238" ht="15.75" customHeight="1" s="14">
      <c r="B238" s="5" t="n"/>
      <c r="C238" s="5" t="n"/>
      <c r="E238" s="5">
        <f>IFERROR(__xludf.DUMMYFUNCTION("IFERROR(
 VLOOKUP(
   C238,
   FILTER(Vendors_Pricing!A:E, Vendors_Pricing!H:H=""Yes""),
   5,
   FALSE
 ),
 """"
)
"),"")</f>
        <v/>
      </c>
      <c r="F238" s="5">
        <f>D238 * E238</f>
        <v/>
      </c>
    </row>
    <row r="239" ht="15.75" customHeight="1" s="14">
      <c r="B239" s="5" t="n"/>
      <c r="C239" s="5" t="n"/>
      <c r="E239" s="5">
        <f>IFERROR(__xludf.DUMMYFUNCTION("IFERROR(
 VLOOKUP(
   C239,
   FILTER(Vendors_Pricing!A:E, Vendors_Pricing!H:H=""Yes""),
   5,
   FALSE
 ),
 """"
)
"),"")</f>
        <v/>
      </c>
      <c r="F239" s="5">
        <f>D239 * E239</f>
        <v/>
      </c>
    </row>
    <row r="240" ht="15.75" customHeight="1" s="14">
      <c r="B240" s="5" t="n"/>
      <c r="C240" s="5" t="n"/>
      <c r="E240" s="5">
        <f>IFERROR(__xludf.DUMMYFUNCTION("IFERROR(
 VLOOKUP(
   C240,
   FILTER(Vendors_Pricing!A:E, Vendors_Pricing!H:H=""Yes""),
   5,
   FALSE
 ),
 """"
)
"),"")</f>
        <v/>
      </c>
      <c r="F240" s="5">
        <f>D240 * E240</f>
        <v/>
      </c>
    </row>
    <row r="241" ht="15.75" customHeight="1" s="14">
      <c r="B241" s="5" t="n"/>
      <c r="C241" s="5" t="n"/>
      <c r="E241" s="5">
        <f>IFERROR(__xludf.DUMMYFUNCTION("IFERROR(
 VLOOKUP(
   C241,
   FILTER(Vendors_Pricing!A:E, Vendors_Pricing!H:H=""Yes""),
   5,
   FALSE
 ),
 """"
)
"),"")</f>
        <v/>
      </c>
      <c r="F241" s="5">
        <f>D241 * E241</f>
        <v/>
      </c>
    </row>
    <row r="242" ht="15.75" customHeight="1" s="14">
      <c r="B242" s="5" t="n"/>
      <c r="C242" s="5" t="n"/>
      <c r="E242" s="5">
        <f>IFERROR(__xludf.DUMMYFUNCTION("IFERROR(
 VLOOKUP(
   C242,
   FILTER(Vendors_Pricing!A:E, Vendors_Pricing!H:H=""Yes""),
   5,
   FALSE
 ),
 """"
)
"),"")</f>
        <v/>
      </c>
      <c r="F242" s="5">
        <f>D242 * E242</f>
        <v/>
      </c>
    </row>
    <row r="243" ht="15.75" customHeight="1" s="14">
      <c r="B243" s="5" t="n"/>
      <c r="C243" s="5" t="n"/>
      <c r="E243" s="5">
        <f>IFERROR(__xludf.DUMMYFUNCTION("IFERROR(
 VLOOKUP(
   C243,
   FILTER(Vendors_Pricing!A:E, Vendors_Pricing!H:H=""Yes""),
   5,
   FALSE
 ),
 """"
)
"),"")</f>
        <v/>
      </c>
      <c r="F243" s="5">
        <f>D243 * E243</f>
        <v/>
      </c>
    </row>
    <row r="244" ht="15.75" customHeight="1" s="14">
      <c r="B244" s="5" t="n"/>
      <c r="C244" s="5" t="n"/>
      <c r="E244" s="5">
        <f>IFERROR(__xludf.DUMMYFUNCTION("IFERROR(
 VLOOKUP(
   C244,
   FILTER(Vendors_Pricing!A:E, Vendors_Pricing!H:H=""Yes""),
   5,
   FALSE
 ),
 """"
)
"),"")</f>
        <v/>
      </c>
      <c r="F244" s="5">
        <f>D244 * E244</f>
        <v/>
      </c>
    </row>
    <row r="245" ht="15.75" customHeight="1" s="14">
      <c r="B245" s="5" t="n"/>
      <c r="C245" s="5" t="n"/>
      <c r="E245" s="5">
        <f>IFERROR(__xludf.DUMMYFUNCTION("IFERROR(
 VLOOKUP(
   C245,
   FILTER(Vendors_Pricing!A:E, Vendors_Pricing!H:H=""Yes""),
   5,
   FALSE
 ),
 """"
)
"),"")</f>
        <v/>
      </c>
      <c r="F245" s="5">
        <f>D245 * E245</f>
        <v/>
      </c>
    </row>
    <row r="246" ht="15.75" customHeight="1" s="14">
      <c r="B246" s="5" t="n"/>
      <c r="C246" s="5" t="n"/>
      <c r="E246" s="5">
        <f>IFERROR(__xludf.DUMMYFUNCTION("IFERROR(
 VLOOKUP(
   C246,
   FILTER(Vendors_Pricing!A:E, Vendors_Pricing!H:H=""Yes""),
   5,
   FALSE
 ),
 """"
)
"),"")</f>
        <v/>
      </c>
      <c r="F246" s="5">
        <f>D246 * E246</f>
        <v/>
      </c>
    </row>
    <row r="247" ht="15.75" customHeight="1" s="14">
      <c r="B247" s="5" t="n"/>
      <c r="C247" s="5" t="n"/>
      <c r="E247" s="5">
        <f>IFERROR(__xludf.DUMMYFUNCTION("IFERROR(
 VLOOKUP(
   C247,
   FILTER(Vendors_Pricing!A:E, Vendors_Pricing!H:H=""Yes""),
   5,
   FALSE
 ),
 """"
)
"),"")</f>
        <v/>
      </c>
      <c r="F247" s="5">
        <f>D247 * E247</f>
        <v/>
      </c>
    </row>
    <row r="248" ht="15.75" customHeight="1" s="14">
      <c r="B248" s="5" t="n"/>
      <c r="C248" s="5" t="n"/>
      <c r="E248" s="5">
        <f>IFERROR(__xludf.DUMMYFUNCTION("IFERROR(
 VLOOKUP(
   C248,
   FILTER(Vendors_Pricing!A:E, Vendors_Pricing!H:H=""Yes""),
   5,
   FALSE
 ),
 """"
)
"),"")</f>
        <v/>
      </c>
      <c r="F248" s="5">
        <f>D248 * E248</f>
        <v/>
      </c>
    </row>
    <row r="249" ht="15.75" customHeight="1" s="14">
      <c r="B249" s="5" t="n"/>
      <c r="C249" s="5" t="n"/>
      <c r="E249" s="5">
        <f>IFERROR(__xludf.DUMMYFUNCTION("IFERROR(
 VLOOKUP(
   C249,
   FILTER(Vendors_Pricing!A:E, Vendors_Pricing!H:H=""Yes""),
   5,
   FALSE
 ),
 """"
)
"),"")</f>
        <v/>
      </c>
      <c r="F249" s="5">
        <f>D249 * E249</f>
        <v/>
      </c>
    </row>
    <row r="250" ht="15.75" customHeight="1" s="14">
      <c r="B250" s="5" t="n"/>
      <c r="C250" s="5" t="n"/>
      <c r="E250" s="5">
        <f>IFERROR(__xludf.DUMMYFUNCTION("IFERROR(
 VLOOKUP(
   C250,
   FILTER(Vendors_Pricing!A:E, Vendors_Pricing!H:H=""Yes""),
   5,
   FALSE
 ),
 """"
)
"),"")</f>
        <v/>
      </c>
      <c r="F250" s="5">
        <f>D250 * E250</f>
        <v/>
      </c>
    </row>
    <row r="251" ht="15.75" customHeight="1" s="14">
      <c r="B251" s="5" t="n"/>
      <c r="C251" s="5" t="n"/>
      <c r="E251" s="5">
        <f>IFERROR(__xludf.DUMMYFUNCTION("IFERROR(
 VLOOKUP(
   C251,
   FILTER(Vendors_Pricing!A:E, Vendors_Pricing!H:H=""Yes""),
   5,
   FALSE
 ),
 """"
)
"),"")</f>
        <v/>
      </c>
      <c r="F251" s="5">
        <f>D251 * E251</f>
        <v/>
      </c>
    </row>
    <row r="252" ht="15.75" customHeight="1" s="14">
      <c r="B252" s="5" t="n"/>
      <c r="C252" s="5" t="n"/>
      <c r="E252" s="5">
        <f>IFERROR(__xludf.DUMMYFUNCTION("IFERROR(
 VLOOKUP(
   C252,
   FILTER(Vendors_Pricing!A:E, Vendors_Pricing!H:H=""Yes""),
   5,
   FALSE
 ),
 """"
)
"),"")</f>
        <v/>
      </c>
      <c r="F252" s="5">
        <f>D252 * E252</f>
        <v/>
      </c>
    </row>
    <row r="253" ht="15.75" customHeight="1" s="14">
      <c r="B253" s="5" t="n"/>
      <c r="C253" s="5" t="n"/>
      <c r="E253" s="5">
        <f>IFERROR(__xludf.DUMMYFUNCTION("IFERROR(
 VLOOKUP(
   C253,
   FILTER(Vendors_Pricing!A:E, Vendors_Pricing!H:H=""Yes""),
   5,
   FALSE
 ),
 """"
)
"),"")</f>
        <v/>
      </c>
      <c r="F253" s="5">
        <f>D253 * E253</f>
        <v/>
      </c>
    </row>
    <row r="254" ht="15.75" customHeight="1" s="14">
      <c r="B254" s="5" t="n"/>
      <c r="C254" s="5" t="n"/>
      <c r="E254" s="5">
        <f>IFERROR(__xludf.DUMMYFUNCTION("IFERROR(
 VLOOKUP(
   C254,
   FILTER(Vendors_Pricing!A:E, Vendors_Pricing!H:H=""Yes""),
   5,
   FALSE
 ),
 """"
)
"),"")</f>
        <v/>
      </c>
      <c r="F254" s="5">
        <f>D254 * E254</f>
        <v/>
      </c>
    </row>
    <row r="255" ht="15.75" customHeight="1" s="14">
      <c r="B255" s="5" t="n"/>
      <c r="C255" s="5" t="n"/>
      <c r="E255" s="5">
        <f>IFERROR(__xludf.DUMMYFUNCTION("IFERROR(
 VLOOKUP(
   C255,
   FILTER(Vendors_Pricing!A:E, Vendors_Pricing!H:H=""Yes""),
   5,
   FALSE
 ),
 """"
)
"),"")</f>
        <v/>
      </c>
      <c r="F255" s="5">
        <f>D255 * E255</f>
        <v/>
      </c>
    </row>
    <row r="256" ht="15.75" customHeight="1" s="14">
      <c r="B256" s="5" t="n"/>
      <c r="C256" s="5" t="n"/>
      <c r="E256" s="5">
        <f>IFERROR(__xludf.DUMMYFUNCTION("IFERROR(
 VLOOKUP(
   C256,
   FILTER(Vendors_Pricing!A:E, Vendors_Pricing!H:H=""Yes""),
   5,
   FALSE
 ),
 """"
)
"),"")</f>
        <v/>
      </c>
      <c r="F256" s="5">
        <f>D256 * E256</f>
        <v/>
      </c>
    </row>
    <row r="257" ht="15.75" customHeight="1" s="14">
      <c r="B257" s="5" t="n"/>
      <c r="C257" s="5" t="n"/>
      <c r="E257" s="5">
        <f>IFERROR(__xludf.DUMMYFUNCTION("IFERROR(
 VLOOKUP(
   C257,
   FILTER(Vendors_Pricing!A:E, Vendors_Pricing!H:H=""Yes""),
   5,
   FALSE
 ),
 """"
)
"),"")</f>
        <v/>
      </c>
      <c r="F257" s="5">
        <f>D257 * E257</f>
        <v/>
      </c>
    </row>
    <row r="258" ht="15.75" customHeight="1" s="14">
      <c r="B258" s="5" t="n"/>
      <c r="C258" s="5" t="n"/>
      <c r="E258" s="5">
        <f>IFERROR(__xludf.DUMMYFUNCTION("IFERROR(
 VLOOKUP(
   C258,
   FILTER(Vendors_Pricing!A:E, Vendors_Pricing!H:H=""Yes""),
   5,
   FALSE
 ),
 """"
)
"),"")</f>
        <v/>
      </c>
      <c r="F258" s="5">
        <f>D258 * E258</f>
        <v/>
      </c>
    </row>
    <row r="259" ht="15.75" customHeight="1" s="14">
      <c r="B259" s="5" t="n"/>
      <c r="C259" s="5" t="n"/>
      <c r="E259" s="5">
        <f>IFERROR(__xludf.DUMMYFUNCTION("IFERROR(
 VLOOKUP(
   C259,
   FILTER(Vendors_Pricing!A:E, Vendors_Pricing!H:H=""Yes""),
   5,
   FALSE
 ),
 """"
)
"),"")</f>
        <v/>
      </c>
      <c r="F259" s="5">
        <f>D259 * E259</f>
        <v/>
      </c>
    </row>
    <row r="260" ht="15.75" customHeight="1" s="14">
      <c r="B260" s="5" t="n"/>
      <c r="C260" s="5" t="n"/>
      <c r="E260" s="5">
        <f>IFERROR(__xludf.DUMMYFUNCTION("IFERROR(
 VLOOKUP(
   C260,
   FILTER(Vendors_Pricing!A:E, Vendors_Pricing!H:H=""Yes""),
   5,
   FALSE
 ),
 """"
)
"),"")</f>
        <v/>
      </c>
      <c r="F260" s="5">
        <f>D260 * E260</f>
        <v/>
      </c>
    </row>
    <row r="261" ht="15.75" customHeight="1" s="14">
      <c r="B261" s="5" t="n"/>
      <c r="C261" s="5" t="n"/>
      <c r="E261" s="5">
        <f>IFERROR(__xludf.DUMMYFUNCTION("IFERROR(
 VLOOKUP(
   C261,
   FILTER(Vendors_Pricing!A:E, Vendors_Pricing!H:H=""Yes""),
   5,
   FALSE
 ),
 """"
)
"),"")</f>
        <v/>
      </c>
      <c r="F261" s="5">
        <f>D261 * E261</f>
        <v/>
      </c>
    </row>
    <row r="262" ht="15.75" customHeight="1" s="14">
      <c r="B262" s="5" t="n"/>
      <c r="C262" s="5" t="n"/>
      <c r="E262" s="5">
        <f>IFERROR(__xludf.DUMMYFUNCTION("IFERROR(
 VLOOKUP(
   C262,
   FILTER(Vendors_Pricing!A:E, Vendors_Pricing!H:H=""Yes""),
   5,
   FALSE
 ),
 """"
)
"),"")</f>
        <v/>
      </c>
      <c r="F262" s="5">
        <f>D262 * E262</f>
        <v/>
      </c>
    </row>
    <row r="263" ht="15.75" customHeight="1" s="14">
      <c r="B263" s="5" t="n"/>
      <c r="C263" s="5" t="n"/>
      <c r="E263" s="5">
        <f>IFERROR(__xludf.DUMMYFUNCTION("IFERROR(
 VLOOKUP(
   C263,
   FILTER(Vendors_Pricing!A:E, Vendors_Pricing!H:H=""Yes""),
   5,
   FALSE
 ),
 """"
)
"),"")</f>
        <v/>
      </c>
      <c r="F263" s="5">
        <f>D263 * E263</f>
        <v/>
      </c>
    </row>
    <row r="264" ht="15.75" customHeight="1" s="14">
      <c r="B264" s="5" t="n"/>
      <c r="C264" s="5" t="n"/>
      <c r="E264" s="5">
        <f>IFERROR(__xludf.DUMMYFUNCTION("IFERROR(
 VLOOKUP(
   C264,
   FILTER(Vendors_Pricing!A:E, Vendors_Pricing!H:H=""Yes""),
   5,
   FALSE
 ),
 """"
)
"),"")</f>
        <v/>
      </c>
      <c r="F264" s="5">
        <f>D264 * E264</f>
        <v/>
      </c>
    </row>
    <row r="265" ht="15.75" customHeight="1" s="14">
      <c r="B265" s="5" t="n"/>
      <c r="C265" s="5" t="n"/>
      <c r="E265" s="5">
        <f>IFERROR(__xludf.DUMMYFUNCTION("IFERROR(
 VLOOKUP(
   C265,
   FILTER(Vendors_Pricing!A:E, Vendors_Pricing!H:H=""Yes""),
   5,
   FALSE
 ),
 """"
)
"),"")</f>
        <v/>
      </c>
      <c r="F265" s="5">
        <f>D265 * E265</f>
        <v/>
      </c>
    </row>
    <row r="266" ht="15.75" customHeight="1" s="14">
      <c r="B266" s="5" t="n"/>
      <c r="C266" s="5" t="n"/>
      <c r="E266" s="5">
        <f>IFERROR(__xludf.DUMMYFUNCTION("IFERROR(
 VLOOKUP(
   C266,
   FILTER(Vendors_Pricing!A:E, Vendors_Pricing!H:H=""Yes""),
   5,
   FALSE
 ),
 """"
)
"),"")</f>
        <v/>
      </c>
      <c r="F266" s="5">
        <f>D266 * E266</f>
        <v/>
      </c>
    </row>
    <row r="267" ht="15.75" customHeight="1" s="14">
      <c r="B267" s="5" t="n"/>
      <c r="C267" s="5" t="n"/>
      <c r="E267" s="5">
        <f>IFERROR(__xludf.DUMMYFUNCTION("IFERROR(
 VLOOKUP(
   C267,
   FILTER(Vendors_Pricing!A:E, Vendors_Pricing!H:H=""Yes""),
   5,
   FALSE
 ),
 """"
)
"),"")</f>
        <v/>
      </c>
      <c r="F267" s="5">
        <f>D267 * E267</f>
        <v/>
      </c>
    </row>
    <row r="268" ht="15.75" customHeight="1" s="14">
      <c r="B268" s="5" t="n"/>
      <c r="C268" s="5" t="n"/>
      <c r="E268" s="5">
        <f>IFERROR(__xludf.DUMMYFUNCTION("IFERROR(
 VLOOKUP(
   C268,
   FILTER(Vendors_Pricing!A:E, Vendors_Pricing!H:H=""Yes""),
   5,
   FALSE
 ),
 """"
)
"),"")</f>
        <v/>
      </c>
      <c r="F268" s="5">
        <f>D268 * E268</f>
        <v/>
      </c>
    </row>
    <row r="269" ht="15.75" customHeight="1" s="14">
      <c r="B269" s="5" t="n"/>
      <c r="C269" s="5" t="n"/>
      <c r="E269" s="5">
        <f>IFERROR(__xludf.DUMMYFUNCTION("IFERROR(
 VLOOKUP(
   C269,
   FILTER(Vendors_Pricing!A:E, Vendors_Pricing!H:H=""Yes""),
   5,
   FALSE
 ),
 """"
)
"),"")</f>
        <v/>
      </c>
      <c r="F269" s="5">
        <f>D269 * E269</f>
        <v/>
      </c>
    </row>
    <row r="270" ht="15.75" customHeight="1" s="14">
      <c r="B270" s="5" t="n"/>
      <c r="C270" s="5" t="n"/>
      <c r="E270" s="5">
        <f>IFERROR(__xludf.DUMMYFUNCTION("IFERROR(
 VLOOKUP(
   C270,
   FILTER(Vendors_Pricing!A:E, Vendors_Pricing!H:H=""Yes""),
   5,
   FALSE
 ),
 """"
)
"),"")</f>
        <v/>
      </c>
      <c r="F270" s="5">
        <f>D270 * E270</f>
        <v/>
      </c>
    </row>
    <row r="271" ht="15.75" customHeight="1" s="14">
      <c r="B271" s="5" t="n"/>
      <c r="C271" s="5" t="n"/>
      <c r="E271" s="5">
        <f>IFERROR(__xludf.DUMMYFUNCTION("IFERROR(
 VLOOKUP(
   C271,
   FILTER(Vendors_Pricing!A:E, Vendors_Pricing!H:H=""Yes""),
   5,
   FALSE
 ),
 """"
)
"),"")</f>
        <v/>
      </c>
      <c r="F271" s="5">
        <f>D271 * E271</f>
        <v/>
      </c>
    </row>
    <row r="272" ht="15.75" customHeight="1" s="14">
      <c r="B272" s="5" t="n"/>
      <c r="C272" s="5" t="n"/>
      <c r="E272" s="5">
        <f>IFERROR(__xludf.DUMMYFUNCTION("IFERROR(
 VLOOKUP(
   C272,
   FILTER(Vendors_Pricing!A:E, Vendors_Pricing!H:H=""Yes""),
   5,
   FALSE
 ),
 """"
)
"),"")</f>
        <v/>
      </c>
      <c r="F272" s="5">
        <f>D272 * E272</f>
        <v/>
      </c>
    </row>
    <row r="273" ht="15.75" customHeight="1" s="14">
      <c r="B273" s="5" t="n"/>
      <c r="C273" s="5" t="n"/>
      <c r="E273" s="5">
        <f>IFERROR(__xludf.DUMMYFUNCTION("IFERROR(
 VLOOKUP(
   C273,
   FILTER(Vendors_Pricing!A:E, Vendors_Pricing!H:H=""Yes""),
   5,
   FALSE
 ),
 """"
)
"),"")</f>
        <v/>
      </c>
      <c r="F273" s="5">
        <f>D273 * E273</f>
        <v/>
      </c>
    </row>
    <row r="274" ht="15.75" customHeight="1" s="14">
      <c r="B274" s="5" t="n"/>
      <c r="C274" s="5" t="n"/>
      <c r="E274" s="5">
        <f>IFERROR(__xludf.DUMMYFUNCTION("IFERROR(
 VLOOKUP(
   C274,
   FILTER(Vendors_Pricing!A:E, Vendors_Pricing!H:H=""Yes""),
   5,
   FALSE
 ),
 """"
)
"),"")</f>
        <v/>
      </c>
      <c r="F274" s="5">
        <f>D274 * E274</f>
        <v/>
      </c>
    </row>
    <row r="275" ht="15.75" customHeight="1" s="14">
      <c r="B275" s="5" t="n"/>
      <c r="C275" s="5" t="n"/>
      <c r="E275" s="5">
        <f>IFERROR(__xludf.DUMMYFUNCTION("IFERROR(
 VLOOKUP(
   C275,
   FILTER(Vendors_Pricing!A:E, Vendors_Pricing!H:H=""Yes""),
   5,
   FALSE
 ),
 """"
)
"),"")</f>
        <v/>
      </c>
      <c r="F275" s="5">
        <f>D275 * E275</f>
        <v/>
      </c>
    </row>
    <row r="276" ht="15.75" customHeight="1" s="14">
      <c r="B276" s="5" t="n"/>
      <c r="C276" s="5" t="n"/>
      <c r="E276" s="5">
        <f>IFERROR(__xludf.DUMMYFUNCTION("IFERROR(
 VLOOKUP(
   C276,
   FILTER(Vendors_Pricing!A:E, Vendors_Pricing!H:H=""Yes""),
   5,
   FALSE
 ),
 """"
)
"),"")</f>
        <v/>
      </c>
      <c r="F276" s="5">
        <f>D276 * E276</f>
        <v/>
      </c>
    </row>
    <row r="277" ht="15.75" customHeight="1" s="14">
      <c r="B277" s="5" t="n"/>
      <c r="C277" s="5" t="n"/>
      <c r="E277" s="5">
        <f>IFERROR(__xludf.DUMMYFUNCTION("IFERROR(
 VLOOKUP(
   C277,
   FILTER(Vendors_Pricing!A:E, Vendors_Pricing!H:H=""Yes""),
   5,
   FALSE
 ),
 """"
)
"),"")</f>
        <v/>
      </c>
      <c r="F277" s="5">
        <f>D277 * E277</f>
        <v/>
      </c>
    </row>
    <row r="278" ht="15.75" customHeight="1" s="14">
      <c r="B278" s="5" t="n"/>
      <c r="C278" s="5" t="n"/>
      <c r="E278" s="5">
        <f>IFERROR(__xludf.DUMMYFUNCTION("IFERROR(
 VLOOKUP(
   C278,
   FILTER(Vendors_Pricing!A:E, Vendors_Pricing!H:H=""Yes""),
   5,
   FALSE
 ),
 """"
)
"),"")</f>
        <v/>
      </c>
      <c r="F278" s="5">
        <f>D278 * E278</f>
        <v/>
      </c>
    </row>
    <row r="279" ht="15.75" customHeight="1" s="14">
      <c r="B279" s="5" t="n"/>
      <c r="C279" s="5" t="n"/>
      <c r="E279" s="5">
        <f>IFERROR(__xludf.DUMMYFUNCTION("IFERROR(
 VLOOKUP(
   C279,
   FILTER(Vendors_Pricing!A:E, Vendors_Pricing!H:H=""Yes""),
   5,
   FALSE
 ),
 """"
)
"),"")</f>
        <v/>
      </c>
      <c r="F279" s="5">
        <f>D279 * E279</f>
        <v/>
      </c>
    </row>
    <row r="280" ht="15.75" customHeight="1" s="14">
      <c r="B280" s="5" t="n"/>
      <c r="C280" s="5" t="n"/>
      <c r="E280" s="5">
        <f>IFERROR(__xludf.DUMMYFUNCTION("IFERROR(
 VLOOKUP(
   C280,
   FILTER(Vendors_Pricing!A:E, Vendors_Pricing!H:H=""Yes""),
   5,
   FALSE
 ),
 """"
)
"),"")</f>
        <v/>
      </c>
      <c r="F280" s="5">
        <f>D280 * E280</f>
        <v/>
      </c>
    </row>
    <row r="281" ht="15.75" customHeight="1" s="14">
      <c r="B281" s="5" t="n"/>
      <c r="C281" s="5" t="n"/>
      <c r="E281" s="5">
        <f>IFERROR(__xludf.DUMMYFUNCTION("IFERROR(
 VLOOKUP(
   C281,
   FILTER(Vendors_Pricing!A:E, Vendors_Pricing!H:H=""Yes""),
   5,
   FALSE
 ),
 """"
)
"),"")</f>
        <v/>
      </c>
      <c r="F281" s="5">
        <f>D281 * E281</f>
        <v/>
      </c>
    </row>
    <row r="282" ht="15.75" customHeight="1" s="14">
      <c r="B282" s="5" t="n"/>
      <c r="C282" s="5" t="n"/>
      <c r="E282" s="5">
        <f>IFERROR(__xludf.DUMMYFUNCTION("IFERROR(
 VLOOKUP(
   C282,
   FILTER(Vendors_Pricing!A:E, Vendors_Pricing!H:H=""Yes""),
   5,
   FALSE
 ),
 """"
)
"),"")</f>
        <v/>
      </c>
      <c r="F282" s="5">
        <f>D282 * E282</f>
        <v/>
      </c>
    </row>
    <row r="283" ht="15.75" customHeight="1" s="14">
      <c r="B283" s="5" t="n"/>
      <c r="C283" s="5" t="n"/>
      <c r="E283" s="5">
        <f>IFERROR(__xludf.DUMMYFUNCTION("IFERROR(
 VLOOKUP(
   C283,
   FILTER(Vendors_Pricing!A:E, Vendors_Pricing!H:H=""Yes""),
   5,
   FALSE
 ),
 """"
)
"),"")</f>
        <v/>
      </c>
      <c r="F283" s="5">
        <f>D283 * E283</f>
        <v/>
      </c>
    </row>
    <row r="284" ht="15.75" customHeight="1" s="14">
      <c r="B284" s="5" t="n"/>
      <c r="C284" s="5" t="n"/>
      <c r="E284" s="5">
        <f>IFERROR(__xludf.DUMMYFUNCTION("IFERROR(
 VLOOKUP(
   C284,
   FILTER(Vendors_Pricing!A:E, Vendors_Pricing!H:H=""Yes""),
   5,
   FALSE
 ),
 """"
)
"),"")</f>
        <v/>
      </c>
      <c r="F284" s="5">
        <f>D284 * E284</f>
        <v/>
      </c>
    </row>
    <row r="285" ht="15.75" customHeight="1" s="14">
      <c r="B285" s="5" t="n"/>
      <c r="C285" s="5" t="n"/>
      <c r="E285" s="5">
        <f>IFERROR(__xludf.DUMMYFUNCTION("IFERROR(
 VLOOKUP(
   C285,
   FILTER(Vendors_Pricing!A:E, Vendors_Pricing!H:H=""Yes""),
   5,
   FALSE
 ),
 """"
)
"),"")</f>
        <v/>
      </c>
      <c r="F285" s="5">
        <f>D285 * E285</f>
        <v/>
      </c>
    </row>
    <row r="286" ht="15.75" customHeight="1" s="14">
      <c r="B286" s="5" t="n"/>
      <c r="C286" s="5" t="n"/>
      <c r="E286" s="5">
        <f>IFERROR(__xludf.DUMMYFUNCTION("IFERROR(
 VLOOKUP(
   C286,
   FILTER(Vendors_Pricing!A:E, Vendors_Pricing!H:H=""Yes""),
   5,
   FALSE
 ),
 """"
)
"),"")</f>
        <v/>
      </c>
      <c r="F286" s="5">
        <f>D286 * E286</f>
        <v/>
      </c>
    </row>
    <row r="287" ht="15.75" customHeight="1" s="14">
      <c r="B287" s="5" t="n"/>
      <c r="C287" s="5" t="n"/>
      <c r="E287" s="5">
        <f>IFERROR(__xludf.DUMMYFUNCTION("IFERROR(
 VLOOKUP(
   C287,
   FILTER(Vendors_Pricing!A:E, Vendors_Pricing!H:H=""Yes""),
   5,
   FALSE
 ),
 """"
)
"),"")</f>
        <v/>
      </c>
      <c r="F287" s="5">
        <f>D287 * E287</f>
        <v/>
      </c>
    </row>
    <row r="288" ht="15.75" customHeight="1" s="14">
      <c r="B288" s="5" t="n"/>
      <c r="C288" s="5" t="n"/>
      <c r="E288" s="5">
        <f>IFERROR(__xludf.DUMMYFUNCTION("IFERROR(
 VLOOKUP(
   C288,
   FILTER(Vendors_Pricing!A:E, Vendors_Pricing!H:H=""Yes""),
   5,
   FALSE
 ),
 """"
)
"),"")</f>
        <v/>
      </c>
      <c r="F288" s="5">
        <f>D288 * E288</f>
        <v/>
      </c>
    </row>
    <row r="289" ht="15.75" customHeight="1" s="14">
      <c r="B289" s="5" t="n"/>
      <c r="C289" s="5" t="n"/>
      <c r="E289" s="5">
        <f>IFERROR(__xludf.DUMMYFUNCTION("IFERROR(
 VLOOKUP(
   C289,
   FILTER(Vendors_Pricing!A:E, Vendors_Pricing!H:H=""Yes""),
   5,
   FALSE
 ),
 """"
)
"),"")</f>
        <v/>
      </c>
      <c r="F289" s="5">
        <f>D289 * E289</f>
        <v/>
      </c>
    </row>
    <row r="290" ht="15.75" customHeight="1" s="14">
      <c r="B290" s="5" t="n"/>
      <c r="C290" s="5" t="n"/>
      <c r="E290" s="5">
        <f>IFERROR(__xludf.DUMMYFUNCTION("IFERROR(
 VLOOKUP(
   C290,
   FILTER(Vendors_Pricing!A:E, Vendors_Pricing!H:H=""Yes""),
   5,
   FALSE
 ),
 """"
)
"),"")</f>
        <v/>
      </c>
      <c r="F290" s="5">
        <f>D290 * E290</f>
        <v/>
      </c>
    </row>
    <row r="291" ht="15.75" customHeight="1" s="14">
      <c r="B291" s="5" t="n"/>
      <c r="C291" s="5" t="n"/>
      <c r="E291" s="5">
        <f>IFERROR(__xludf.DUMMYFUNCTION("IFERROR(
 VLOOKUP(
   C291,
   FILTER(Vendors_Pricing!A:E, Vendors_Pricing!H:H=""Yes""),
   5,
   FALSE
 ),
 """"
)
"),"")</f>
        <v/>
      </c>
      <c r="F291" s="5">
        <f>D291 * E291</f>
        <v/>
      </c>
    </row>
    <row r="292" ht="15.75" customHeight="1" s="14">
      <c r="B292" s="5" t="n"/>
      <c r="C292" s="5" t="n"/>
      <c r="E292" s="5">
        <f>IFERROR(__xludf.DUMMYFUNCTION("IFERROR(
 VLOOKUP(
   C292,
   FILTER(Vendors_Pricing!A:E, Vendors_Pricing!H:H=""Yes""),
   5,
   FALSE
 ),
 """"
)
"),"")</f>
        <v/>
      </c>
      <c r="F292" s="5">
        <f>D292 * E292</f>
        <v/>
      </c>
    </row>
    <row r="293" ht="15.75" customHeight="1" s="14">
      <c r="B293" s="5" t="n"/>
      <c r="C293" s="5" t="n"/>
      <c r="E293" s="5">
        <f>IFERROR(__xludf.DUMMYFUNCTION("IFERROR(
 VLOOKUP(
   C293,
   FILTER(Vendors_Pricing!A:E, Vendors_Pricing!H:H=""Yes""),
   5,
   FALSE
 ),
 """"
)
"),"")</f>
        <v/>
      </c>
      <c r="F293" s="5">
        <f>D293 * E293</f>
        <v/>
      </c>
    </row>
    <row r="294" ht="15.75" customHeight="1" s="14">
      <c r="B294" s="5" t="n"/>
      <c r="C294" s="5" t="n"/>
      <c r="E294" s="5">
        <f>IFERROR(__xludf.DUMMYFUNCTION("IFERROR(
 VLOOKUP(
   C294,
   FILTER(Vendors_Pricing!A:E, Vendors_Pricing!H:H=""Yes""),
   5,
   FALSE
 ),
 """"
)
"),"")</f>
        <v/>
      </c>
      <c r="F294" s="5">
        <f>D294 * E294</f>
        <v/>
      </c>
    </row>
    <row r="295" ht="15.75" customHeight="1" s="14">
      <c r="B295" s="5" t="n"/>
      <c r="C295" s="5" t="n"/>
      <c r="E295" s="5">
        <f>IFERROR(__xludf.DUMMYFUNCTION("IFERROR(
 VLOOKUP(
   C295,
   FILTER(Vendors_Pricing!A:E, Vendors_Pricing!H:H=""Yes""),
   5,
   FALSE
 ),
 """"
)
"),"")</f>
        <v/>
      </c>
      <c r="F295" s="5">
        <f>D295 * E295</f>
        <v/>
      </c>
    </row>
    <row r="296" ht="15.75" customHeight="1" s="14">
      <c r="B296" s="5" t="n"/>
      <c r="C296" s="5" t="n"/>
      <c r="E296" s="5">
        <f>IFERROR(__xludf.DUMMYFUNCTION("IFERROR(
 VLOOKUP(
   C296,
   FILTER(Vendors_Pricing!A:E, Vendors_Pricing!H:H=""Yes""),
   5,
   FALSE
 ),
 """"
)
"),"")</f>
        <v/>
      </c>
      <c r="F296" s="5">
        <f>D296 * E296</f>
        <v/>
      </c>
    </row>
    <row r="297" ht="15.75" customHeight="1" s="14">
      <c r="B297" s="5" t="n"/>
      <c r="C297" s="5" t="n"/>
      <c r="E297" s="5">
        <f>IFERROR(__xludf.DUMMYFUNCTION("IFERROR(
 VLOOKUP(
   C297,
   FILTER(Vendors_Pricing!A:E, Vendors_Pricing!H:H=""Yes""),
   5,
   FALSE
 ),
 """"
)
"),"")</f>
        <v/>
      </c>
      <c r="F297" s="5">
        <f>D297 * E297</f>
        <v/>
      </c>
    </row>
    <row r="298" ht="15.75" customHeight="1" s="14">
      <c r="B298" s="5" t="n"/>
      <c r="C298" s="5" t="n"/>
      <c r="E298" s="5">
        <f>IFERROR(__xludf.DUMMYFUNCTION("IFERROR(
 VLOOKUP(
   C298,
   FILTER(Vendors_Pricing!A:E, Vendors_Pricing!H:H=""Yes""),
   5,
   FALSE
 ),
 """"
)
"),"")</f>
        <v/>
      </c>
      <c r="F298" s="5">
        <f>D298 * E298</f>
        <v/>
      </c>
    </row>
    <row r="299" ht="15.75" customHeight="1" s="14">
      <c r="B299" s="5" t="n"/>
      <c r="C299" s="5" t="n"/>
      <c r="E299" s="5">
        <f>IFERROR(__xludf.DUMMYFUNCTION("IFERROR(
 VLOOKUP(
   C299,
   FILTER(Vendors_Pricing!A:E, Vendors_Pricing!H:H=""Yes""),
   5,
   FALSE
 ),
 """"
)
"),"")</f>
        <v/>
      </c>
      <c r="F299" s="5">
        <f>D299 * E299</f>
        <v/>
      </c>
    </row>
    <row r="300" ht="15.75" customHeight="1" s="14">
      <c r="B300" s="5" t="n"/>
      <c r="C300" s="5" t="n"/>
      <c r="E300" s="5">
        <f>IFERROR(__xludf.DUMMYFUNCTION("IFERROR(
 VLOOKUP(
   C300,
   FILTER(Vendors_Pricing!A:E, Vendors_Pricing!H:H=""Yes""),
   5,
   FALSE
 ),
 """"
)
"),"")</f>
        <v/>
      </c>
      <c r="F300" s="5">
        <f>D300 * E300</f>
        <v/>
      </c>
    </row>
    <row r="301" ht="15.75" customHeight="1" s="14">
      <c r="B301" s="5" t="n"/>
      <c r="C301" s="5" t="n"/>
      <c r="E301" s="5">
        <f>IFERROR(__xludf.DUMMYFUNCTION("IFERROR(
 VLOOKUP(
   C301,
   FILTER(Vendors_Pricing!A:E, Vendors_Pricing!H:H=""Yes""),
   5,
   FALSE
 ),
 """"
)
"),"")</f>
        <v/>
      </c>
      <c r="F301" s="5">
        <f>D301 * E301</f>
        <v/>
      </c>
    </row>
    <row r="302" ht="15.75" customHeight="1" s="14">
      <c r="B302" s="5" t="n"/>
      <c r="C302" s="5" t="n"/>
      <c r="E302" s="5">
        <f>IFERROR(__xludf.DUMMYFUNCTION("IFERROR(
 VLOOKUP(
   C302,
   FILTER(Vendors_Pricing!A:E, Vendors_Pricing!H:H=""Yes""),
   5,
   FALSE
 ),
 """"
)
"),"")</f>
        <v/>
      </c>
      <c r="F302" s="5">
        <f>D302 * E302</f>
        <v/>
      </c>
    </row>
    <row r="303" ht="15.75" customHeight="1" s="14">
      <c r="B303" s="5" t="n"/>
      <c r="C303" s="5" t="n"/>
      <c r="E303" s="5">
        <f>IFERROR(__xludf.DUMMYFUNCTION("IFERROR(
 VLOOKUP(
   C303,
   FILTER(Vendors_Pricing!A:E, Vendors_Pricing!H:H=""Yes""),
   5,
   FALSE
 ),
 """"
)
"),"")</f>
        <v/>
      </c>
      <c r="F303" s="5">
        <f>D303 * E303</f>
        <v/>
      </c>
    </row>
    <row r="304" ht="15.75" customHeight="1" s="14">
      <c r="B304" s="5" t="n"/>
      <c r="C304" s="5" t="n"/>
      <c r="E304" s="5">
        <f>IFERROR(__xludf.DUMMYFUNCTION("IFERROR(
 VLOOKUP(
   C304,
   FILTER(Vendors_Pricing!A:E, Vendors_Pricing!H:H=""Yes""),
   5,
   FALSE
 ),
 """"
)
"),"")</f>
        <v/>
      </c>
      <c r="F304" s="5">
        <f>D304 * E304</f>
        <v/>
      </c>
    </row>
    <row r="305" ht="15.75" customHeight="1" s="14">
      <c r="B305" s="5" t="n"/>
      <c r="C305" s="5" t="n"/>
      <c r="E305" s="5">
        <f>IFERROR(__xludf.DUMMYFUNCTION("IFERROR(
 VLOOKUP(
   C305,
   FILTER(Vendors_Pricing!A:E, Vendors_Pricing!H:H=""Yes""),
   5,
   FALSE
 ),
 """"
)
"),"")</f>
        <v/>
      </c>
      <c r="F305" s="5">
        <f>D305 * E305</f>
        <v/>
      </c>
    </row>
    <row r="306" ht="15.75" customHeight="1" s="14">
      <c r="B306" s="5" t="n"/>
      <c r="C306" s="5" t="n"/>
      <c r="E306" s="5">
        <f>IFERROR(__xludf.DUMMYFUNCTION("IFERROR(
 VLOOKUP(
   C306,
   FILTER(Vendors_Pricing!A:E, Vendors_Pricing!H:H=""Yes""),
   5,
   FALSE
 ),
 """"
)
"),"")</f>
        <v/>
      </c>
      <c r="F306" s="5">
        <f>D306 * E306</f>
        <v/>
      </c>
    </row>
    <row r="307" ht="15.75" customHeight="1" s="14">
      <c r="B307" s="5" t="n"/>
      <c r="C307" s="5" t="n"/>
      <c r="E307" s="5">
        <f>IFERROR(__xludf.DUMMYFUNCTION("IFERROR(
 VLOOKUP(
   C307,
   FILTER(Vendors_Pricing!A:E, Vendors_Pricing!H:H=""Yes""),
   5,
   FALSE
 ),
 """"
)
"),"")</f>
        <v/>
      </c>
      <c r="F307" s="5">
        <f>D307 * E307</f>
        <v/>
      </c>
    </row>
    <row r="308" ht="15.75" customHeight="1" s="14">
      <c r="B308" s="5" t="n"/>
      <c r="C308" s="5" t="n"/>
      <c r="E308" s="5">
        <f>IFERROR(__xludf.DUMMYFUNCTION("IFERROR(
 VLOOKUP(
   C308,
   FILTER(Vendors_Pricing!A:E, Vendors_Pricing!H:H=""Yes""),
   5,
   FALSE
 ),
 """"
)
"),"")</f>
        <v/>
      </c>
      <c r="F308" s="5">
        <f>D308 * E308</f>
        <v/>
      </c>
    </row>
    <row r="309" ht="15.75" customHeight="1" s="14">
      <c r="B309" s="5" t="n"/>
      <c r="C309" s="5" t="n"/>
      <c r="E309" s="5">
        <f>IFERROR(__xludf.DUMMYFUNCTION("IFERROR(
 VLOOKUP(
   C309,
   FILTER(Vendors_Pricing!A:E, Vendors_Pricing!H:H=""Yes""),
   5,
   FALSE
 ),
 """"
)
"),"")</f>
        <v/>
      </c>
      <c r="F309" s="5">
        <f>D309 * E309</f>
        <v/>
      </c>
    </row>
    <row r="310" ht="15.75" customHeight="1" s="14">
      <c r="B310" s="5" t="n"/>
      <c r="C310" s="5" t="n"/>
      <c r="E310" s="5">
        <f>IFERROR(__xludf.DUMMYFUNCTION("IFERROR(
 VLOOKUP(
   C310,
   FILTER(Vendors_Pricing!A:E, Vendors_Pricing!H:H=""Yes""),
   5,
   FALSE
 ),
 """"
)
"),"")</f>
        <v/>
      </c>
      <c r="F310" s="5">
        <f>D310 * E310</f>
        <v/>
      </c>
    </row>
    <row r="311" ht="15.75" customHeight="1" s="14">
      <c r="B311" s="5" t="n"/>
      <c r="C311" s="5" t="n"/>
      <c r="E311" s="5">
        <f>IFERROR(__xludf.DUMMYFUNCTION("IFERROR(
 VLOOKUP(
   C311,
   FILTER(Vendors_Pricing!A:E, Vendors_Pricing!H:H=""Yes""),
   5,
   FALSE
 ),
 """"
)
"),"")</f>
        <v/>
      </c>
      <c r="F311" s="5">
        <f>D311 * E311</f>
        <v/>
      </c>
    </row>
    <row r="312" ht="15.75" customHeight="1" s="14">
      <c r="B312" s="5" t="n"/>
      <c r="C312" s="5" t="n"/>
      <c r="E312" s="5">
        <f>IFERROR(__xludf.DUMMYFUNCTION("IFERROR(
 VLOOKUP(
   C312,
   FILTER(Vendors_Pricing!A:E, Vendors_Pricing!H:H=""Yes""),
   5,
   FALSE
 ),
 """"
)
"),"")</f>
        <v/>
      </c>
      <c r="F312" s="5">
        <f>D312 * E312</f>
        <v/>
      </c>
    </row>
    <row r="313" ht="15.75" customHeight="1" s="14">
      <c r="B313" s="5" t="n"/>
      <c r="C313" s="5" t="n"/>
      <c r="E313" s="5">
        <f>IFERROR(__xludf.DUMMYFUNCTION("IFERROR(
 VLOOKUP(
   C313,
   FILTER(Vendors_Pricing!A:E, Vendors_Pricing!H:H=""Yes""),
   5,
   FALSE
 ),
 """"
)
"),"")</f>
        <v/>
      </c>
      <c r="F313" s="5">
        <f>D313 * E313</f>
        <v/>
      </c>
    </row>
    <row r="314" ht="15.75" customHeight="1" s="14">
      <c r="B314" s="5" t="n"/>
      <c r="C314" s="5" t="n"/>
      <c r="E314" s="5">
        <f>IFERROR(__xludf.DUMMYFUNCTION("IFERROR(
 VLOOKUP(
   C314,
   FILTER(Vendors_Pricing!A:E, Vendors_Pricing!H:H=""Yes""),
   5,
   FALSE
 ),
 """"
)
"),"")</f>
        <v/>
      </c>
      <c r="F314" s="5">
        <f>D314 * E314</f>
        <v/>
      </c>
    </row>
    <row r="315" ht="15.75" customHeight="1" s="14">
      <c r="B315" s="5" t="n"/>
      <c r="C315" s="5" t="n"/>
      <c r="E315" s="5">
        <f>IFERROR(__xludf.DUMMYFUNCTION("IFERROR(
 VLOOKUP(
   C315,
   FILTER(Vendors_Pricing!A:E, Vendors_Pricing!H:H=""Yes""),
   5,
   FALSE
 ),
 """"
)
"),"")</f>
        <v/>
      </c>
      <c r="F315" s="5">
        <f>D315 * E315</f>
        <v/>
      </c>
    </row>
    <row r="316" ht="15.75" customHeight="1" s="14">
      <c r="B316" s="5" t="n"/>
      <c r="C316" s="5" t="n"/>
      <c r="E316" s="5">
        <f>IFERROR(__xludf.DUMMYFUNCTION("IFERROR(
 VLOOKUP(
   C316,
   FILTER(Vendors_Pricing!A:E, Vendors_Pricing!H:H=""Yes""),
   5,
   FALSE
 ),
 """"
)
"),"")</f>
        <v/>
      </c>
      <c r="F316" s="5">
        <f>D316 * E316</f>
        <v/>
      </c>
    </row>
    <row r="317" ht="15.75" customHeight="1" s="14">
      <c r="B317" s="5" t="n"/>
      <c r="C317" s="5" t="n"/>
      <c r="E317" s="5">
        <f>IFERROR(__xludf.DUMMYFUNCTION("IFERROR(
 VLOOKUP(
   C317,
   FILTER(Vendors_Pricing!A:E, Vendors_Pricing!H:H=""Yes""),
   5,
   FALSE
 ),
 """"
)
"),"")</f>
        <v/>
      </c>
      <c r="F317" s="5">
        <f>D317 * E317</f>
        <v/>
      </c>
    </row>
    <row r="318" ht="15.75" customHeight="1" s="14">
      <c r="B318" s="5" t="n"/>
      <c r="C318" s="5" t="n"/>
      <c r="E318" s="5">
        <f>IFERROR(__xludf.DUMMYFUNCTION("IFERROR(
 VLOOKUP(
   C318,
   FILTER(Vendors_Pricing!A:E, Vendors_Pricing!H:H=""Yes""),
   5,
   FALSE
 ),
 """"
)
"),"")</f>
        <v/>
      </c>
      <c r="F318" s="5">
        <f>D318 * E318</f>
        <v/>
      </c>
    </row>
    <row r="319" ht="15.75" customHeight="1" s="14">
      <c r="B319" s="5" t="n"/>
      <c r="C319" s="5" t="n"/>
      <c r="E319" s="5">
        <f>IFERROR(__xludf.DUMMYFUNCTION("IFERROR(
 VLOOKUP(
   C319,
   FILTER(Vendors_Pricing!A:E, Vendors_Pricing!H:H=""Yes""),
   5,
   FALSE
 ),
 """"
)
"),"")</f>
        <v/>
      </c>
      <c r="F319" s="5">
        <f>D319 * E319</f>
        <v/>
      </c>
    </row>
    <row r="320" ht="15.75" customHeight="1" s="14">
      <c r="B320" s="5" t="n"/>
      <c r="C320" s="5" t="n"/>
      <c r="E320" s="5">
        <f>IFERROR(__xludf.DUMMYFUNCTION("IFERROR(
 VLOOKUP(
   C320,
   FILTER(Vendors_Pricing!A:E, Vendors_Pricing!H:H=""Yes""),
   5,
   FALSE
 ),
 """"
)
"),"")</f>
        <v/>
      </c>
      <c r="F320" s="5">
        <f>D320 * E320</f>
        <v/>
      </c>
    </row>
    <row r="321" ht="15.75" customHeight="1" s="14">
      <c r="B321" s="5" t="n"/>
      <c r="C321" s="5" t="n"/>
      <c r="E321" s="5">
        <f>IFERROR(__xludf.DUMMYFUNCTION("IFERROR(
 VLOOKUP(
   C321,
   FILTER(Vendors_Pricing!A:E, Vendors_Pricing!H:H=""Yes""),
   5,
   FALSE
 ),
 """"
)
"),"")</f>
        <v/>
      </c>
      <c r="F321" s="5">
        <f>D321 * E321</f>
        <v/>
      </c>
    </row>
    <row r="322" ht="15.75" customHeight="1" s="14">
      <c r="B322" s="5" t="n"/>
      <c r="C322" s="5" t="n"/>
      <c r="E322" s="5">
        <f>IFERROR(__xludf.DUMMYFUNCTION("IFERROR(
 VLOOKUP(
   C322,
   FILTER(Vendors_Pricing!A:E, Vendors_Pricing!H:H=""Yes""),
   5,
   FALSE
 ),
 """"
)
"),"")</f>
        <v/>
      </c>
      <c r="F322" s="5">
        <f>D322 * E322</f>
        <v/>
      </c>
    </row>
    <row r="323" ht="15.75" customHeight="1" s="14">
      <c r="B323" s="5" t="n"/>
      <c r="C323" s="5" t="n"/>
      <c r="E323" s="5">
        <f>IFERROR(__xludf.DUMMYFUNCTION("IFERROR(
 VLOOKUP(
   C323,
   FILTER(Vendors_Pricing!A:E, Vendors_Pricing!H:H=""Yes""),
   5,
   FALSE
 ),
 """"
)
"),"")</f>
        <v/>
      </c>
      <c r="F323" s="5">
        <f>D323 * E323</f>
        <v/>
      </c>
    </row>
    <row r="324" ht="15.75" customHeight="1" s="14">
      <c r="B324" s="5" t="n"/>
      <c r="C324" s="5" t="n"/>
      <c r="E324" s="5">
        <f>IFERROR(__xludf.DUMMYFUNCTION("IFERROR(
 VLOOKUP(
   C324,
   FILTER(Vendors_Pricing!A:E, Vendors_Pricing!H:H=""Yes""),
   5,
   FALSE
 ),
 """"
)
"),"")</f>
        <v/>
      </c>
      <c r="F324" s="5">
        <f>D324 * E324</f>
        <v/>
      </c>
    </row>
    <row r="325" ht="15.75" customHeight="1" s="14">
      <c r="B325" s="5" t="n"/>
      <c r="C325" s="5" t="n"/>
      <c r="E325" s="5">
        <f>IFERROR(__xludf.DUMMYFUNCTION("IFERROR(
 VLOOKUP(
   C325,
   FILTER(Vendors_Pricing!A:E, Vendors_Pricing!H:H=""Yes""),
   5,
   FALSE
 ),
 """"
)
"),"")</f>
        <v/>
      </c>
      <c r="F325" s="5">
        <f>D325 * E325</f>
        <v/>
      </c>
    </row>
    <row r="326" ht="15.75" customHeight="1" s="14">
      <c r="B326" s="5" t="n"/>
      <c r="C326" s="5" t="n"/>
      <c r="E326" s="5">
        <f>IFERROR(__xludf.DUMMYFUNCTION("IFERROR(
 VLOOKUP(
   C326,
   FILTER(Vendors_Pricing!A:E, Vendors_Pricing!H:H=""Yes""),
   5,
   FALSE
 ),
 """"
)
"),"")</f>
        <v/>
      </c>
      <c r="F326" s="5">
        <f>D326 * E326</f>
        <v/>
      </c>
    </row>
    <row r="327" ht="15.75" customHeight="1" s="14">
      <c r="B327" s="5" t="n"/>
      <c r="C327" s="5" t="n"/>
      <c r="E327" s="5">
        <f>IFERROR(__xludf.DUMMYFUNCTION("IFERROR(
 VLOOKUP(
   C327,
   FILTER(Vendors_Pricing!A:E, Vendors_Pricing!H:H=""Yes""),
   5,
   FALSE
 ),
 """"
)
"),"")</f>
        <v/>
      </c>
      <c r="F327" s="5">
        <f>D327 * E327</f>
        <v/>
      </c>
    </row>
    <row r="328" ht="15.75" customHeight="1" s="14">
      <c r="B328" s="5" t="n"/>
      <c r="C328" s="5" t="n"/>
      <c r="E328" s="5">
        <f>IFERROR(__xludf.DUMMYFUNCTION("IFERROR(
 VLOOKUP(
   C328,
   FILTER(Vendors_Pricing!A:E, Vendors_Pricing!H:H=""Yes""),
   5,
   FALSE
 ),
 """"
)
"),"")</f>
        <v/>
      </c>
      <c r="F328" s="5">
        <f>D328 * E328</f>
        <v/>
      </c>
    </row>
    <row r="329" ht="15.75" customHeight="1" s="14">
      <c r="B329" s="5" t="n"/>
      <c r="C329" s="5" t="n"/>
      <c r="E329" s="5">
        <f>IFERROR(__xludf.DUMMYFUNCTION("IFERROR(
 VLOOKUP(
   C329,
   FILTER(Vendors_Pricing!A:E, Vendors_Pricing!H:H=""Yes""),
   5,
   FALSE
 ),
 """"
)
"),"")</f>
        <v/>
      </c>
      <c r="F329" s="5">
        <f>D329 * E329</f>
        <v/>
      </c>
    </row>
    <row r="330" ht="15.75" customHeight="1" s="14">
      <c r="B330" s="5" t="n"/>
      <c r="C330" s="5" t="n"/>
      <c r="E330" s="5">
        <f>IFERROR(__xludf.DUMMYFUNCTION("IFERROR(
 VLOOKUP(
   C330,
   FILTER(Vendors_Pricing!A:E, Vendors_Pricing!H:H=""Yes""),
   5,
   FALSE
 ),
 """"
)
"),"")</f>
        <v/>
      </c>
      <c r="F330" s="5">
        <f>D330 * E330</f>
        <v/>
      </c>
    </row>
    <row r="331" ht="15.75" customHeight="1" s="14">
      <c r="B331" s="5" t="n"/>
      <c r="C331" s="5" t="n"/>
      <c r="E331" s="5">
        <f>IFERROR(__xludf.DUMMYFUNCTION("IFERROR(
 VLOOKUP(
   C331,
   FILTER(Vendors_Pricing!A:E, Vendors_Pricing!H:H=""Yes""),
   5,
   FALSE
 ),
 """"
)
"),"")</f>
        <v/>
      </c>
      <c r="F331" s="5">
        <f>D331 * E331</f>
        <v/>
      </c>
    </row>
    <row r="332" ht="15.75" customHeight="1" s="14">
      <c r="B332" s="5" t="n"/>
      <c r="C332" s="5" t="n"/>
      <c r="E332" s="5">
        <f>IFERROR(__xludf.DUMMYFUNCTION("IFERROR(
 VLOOKUP(
   C332,
   FILTER(Vendors_Pricing!A:E, Vendors_Pricing!H:H=""Yes""),
   5,
   FALSE
 ),
 """"
)
"),"")</f>
        <v/>
      </c>
      <c r="F332" s="5">
        <f>D332 * E332</f>
        <v/>
      </c>
    </row>
    <row r="333" ht="15.75" customHeight="1" s="14">
      <c r="B333" s="5" t="n"/>
      <c r="C333" s="5" t="n"/>
      <c r="E333" s="5">
        <f>IFERROR(__xludf.DUMMYFUNCTION("IFERROR(
 VLOOKUP(
   C333,
   FILTER(Vendors_Pricing!A:E, Vendors_Pricing!H:H=""Yes""),
   5,
   FALSE
 ),
 """"
)
"),"")</f>
        <v/>
      </c>
      <c r="F333" s="5">
        <f>D333 * E333</f>
        <v/>
      </c>
    </row>
    <row r="334" ht="15.75" customHeight="1" s="14">
      <c r="B334" s="5" t="n"/>
      <c r="C334" s="5" t="n"/>
      <c r="E334" s="5">
        <f>IFERROR(__xludf.DUMMYFUNCTION("IFERROR(
 VLOOKUP(
   C334,
   FILTER(Vendors_Pricing!A:E, Vendors_Pricing!H:H=""Yes""),
   5,
   FALSE
 ),
 """"
)
"),"")</f>
        <v/>
      </c>
      <c r="F334" s="5">
        <f>D334 * E334</f>
        <v/>
      </c>
    </row>
    <row r="335" ht="15.75" customHeight="1" s="14">
      <c r="B335" s="5" t="n"/>
      <c r="C335" s="5" t="n"/>
      <c r="E335" s="5">
        <f>IFERROR(__xludf.DUMMYFUNCTION("IFERROR(
 VLOOKUP(
   C335,
   FILTER(Vendors_Pricing!A:E, Vendors_Pricing!H:H=""Yes""),
   5,
   FALSE
 ),
 """"
)
"),"")</f>
        <v/>
      </c>
      <c r="F335" s="5">
        <f>D335 * E335</f>
        <v/>
      </c>
    </row>
    <row r="336" ht="15.75" customHeight="1" s="14">
      <c r="B336" s="5" t="n"/>
      <c r="C336" s="5" t="n"/>
      <c r="E336" s="5">
        <f>IFERROR(__xludf.DUMMYFUNCTION("IFERROR(
 VLOOKUP(
   C336,
   FILTER(Vendors_Pricing!A:E, Vendors_Pricing!H:H=""Yes""),
   5,
   FALSE
 ),
 """"
)
"),"")</f>
        <v/>
      </c>
      <c r="F336" s="5">
        <f>D336 * E336</f>
        <v/>
      </c>
    </row>
    <row r="337" ht="15.75" customHeight="1" s="14">
      <c r="B337" s="5" t="n"/>
      <c r="C337" s="5" t="n"/>
      <c r="E337" s="5">
        <f>IFERROR(__xludf.DUMMYFUNCTION("IFERROR(
 VLOOKUP(
   C337,
   FILTER(Vendors_Pricing!A:E, Vendors_Pricing!H:H=""Yes""),
   5,
   FALSE
 ),
 """"
)
"),"")</f>
        <v/>
      </c>
      <c r="F337" s="5">
        <f>D337 * E337</f>
        <v/>
      </c>
    </row>
    <row r="338" ht="15.75" customHeight="1" s="14">
      <c r="B338" s="5" t="n"/>
      <c r="C338" s="5" t="n"/>
      <c r="E338" s="5">
        <f>IFERROR(__xludf.DUMMYFUNCTION("IFERROR(
 VLOOKUP(
   C338,
   FILTER(Vendors_Pricing!A:E, Vendors_Pricing!H:H=""Yes""),
   5,
   FALSE
 ),
 """"
)
"),"")</f>
        <v/>
      </c>
      <c r="F338" s="5">
        <f>D338 * E338</f>
        <v/>
      </c>
    </row>
    <row r="339" ht="15.75" customHeight="1" s="14">
      <c r="B339" s="5" t="n"/>
      <c r="C339" s="5" t="n"/>
      <c r="E339" s="5">
        <f>IFERROR(__xludf.DUMMYFUNCTION("IFERROR(
 VLOOKUP(
   C339,
   FILTER(Vendors_Pricing!A:E, Vendors_Pricing!H:H=""Yes""),
   5,
   FALSE
 ),
 """"
)
"),"")</f>
        <v/>
      </c>
      <c r="F339" s="5">
        <f>D339 * E339</f>
        <v/>
      </c>
    </row>
    <row r="340" ht="15.75" customHeight="1" s="14">
      <c r="B340" s="5" t="n"/>
      <c r="C340" s="5" t="n"/>
      <c r="E340" s="5">
        <f>IFERROR(__xludf.DUMMYFUNCTION("IFERROR(
 VLOOKUP(
   C340,
   FILTER(Vendors_Pricing!A:E, Vendors_Pricing!H:H=""Yes""),
   5,
   FALSE
 ),
 """"
)
"),"")</f>
        <v/>
      </c>
      <c r="F340" s="5">
        <f>D340 * E340</f>
        <v/>
      </c>
    </row>
    <row r="341" ht="15.75" customHeight="1" s="14">
      <c r="B341" s="5" t="n"/>
      <c r="C341" s="5" t="n"/>
      <c r="E341" s="5">
        <f>IFERROR(__xludf.DUMMYFUNCTION("IFERROR(
 VLOOKUP(
   C341,
   FILTER(Vendors_Pricing!A:E, Vendors_Pricing!H:H=""Yes""),
   5,
   FALSE
 ),
 """"
)
"),"")</f>
        <v/>
      </c>
      <c r="F341" s="5">
        <f>D341 * E341</f>
        <v/>
      </c>
    </row>
    <row r="342" ht="15.75" customHeight="1" s="14">
      <c r="B342" s="5" t="n"/>
      <c r="C342" s="5" t="n"/>
      <c r="E342" s="5">
        <f>IFERROR(__xludf.DUMMYFUNCTION("IFERROR(
 VLOOKUP(
   C342,
   FILTER(Vendors_Pricing!A:E, Vendors_Pricing!H:H=""Yes""),
   5,
   FALSE
 ),
 """"
)
"),"")</f>
        <v/>
      </c>
      <c r="F342" s="5">
        <f>D342 * E342</f>
        <v/>
      </c>
    </row>
    <row r="343" ht="15.75" customHeight="1" s="14">
      <c r="B343" s="5" t="n"/>
      <c r="C343" s="5" t="n"/>
      <c r="E343" s="5">
        <f>IFERROR(__xludf.DUMMYFUNCTION("IFERROR(
 VLOOKUP(
   C343,
   FILTER(Vendors_Pricing!A:E, Vendors_Pricing!H:H=""Yes""),
   5,
   FALSE
 ),
 """"
)
"),"")</f>
        <v/>
      </c>
      <c r="F343" s="5">
        <f>D343 * E343</f>
        <v/>
      </c>
    </row>
    <row r="344" ht="15.75" customHeight="1" s="14">
      <c r="B344" s="5" t="n"/>
      <c r="C344" s="5" t="n"/>
      <c r="E344" s="5">
        <f>IFERROR(__xludf.DUMMYFUNCTION("IFERROR(
 VLOOKUP(
   C344,
   FILTER(Vendors_Pricing!A:E, Vendors_Pricing!H:H=""Yes""),
   5,
   FALSE
 ),
 """"
)
"),"")</f>
        <v/>
      </c>
      <c r="F344" s="5">
        <f>D344 * E344</f>
        <v/>
      </c>
    </row>
    <row r="345" ht="15.75" customHeight="1" s="14">
      <c r="B345" s="5" t="n"/>
      <c r="C345" s="5" t="n"/>
      <c r="E345" s="5">
        <f>IFERROR(__xludf.DUMMYFUNCTION("IFERROR(
 VLOOKUP(
   C345,
   FILTER(Vendors_Pricing!A:E, Vendors_Pricing!H:H=""Yes""),
   5,
   FALSE
 ),
 """"
)
"),"")</f>
        <v/>
      </c>
      <c r="F345" s="5">
        <f>D345 * E345</f>
        <v/>
      </c>
    </row>
    <row r="346" ht="15.75" customHeight="1" s="14">
      <c r="B346" s="5" t="n"/>
      <c r="C346" s="5" t="n"/>
      <c r="E346" s="5">
        <f>IFERROR(__xludf.DUMMYFUNCTION("IFERROR(
 VLOOKUP(
   C346,
   FILTER(Vendors_Pricing!A:E, Vendors_Pricing!H:H=""Yes""),
   5,
   FALSE
 ),
 """"
)
"),"")</f>
        <v/>
      </c>
      <c r="F346" s="5">
        <f>D346 * E346</f>
        <v/>
      </c>
    </row>
    <row r="347" ht="15.75" customHeight="1" s="14">
      <c r="B347" s="5" t="n"/>
      <c r="C347" s="5" t="n"/>
      <c r="E347" s="5">
        <f>IFERROR(__xludf.DUMMYFUNCTION("IFERROR(
 VLOOKUP(
   C347,
   FILTER(Vendors_Pricing!A:E, Vendors_Pricing!H:H=""Yes""),
   5,
   FALSE
 ),
 """"
)
"),"")</f>
        <v/>
      </c>
      <c r="F347" s="5">
        <f>D347 * E347</f>
        <v/>
      </c>
    </row>
    <row r="348" ht="15.75" customHeight="1" s="14">
      <c r="B348" s="5" t="n"/>
      <c r="C348" s="5" t="n"/>
      <c r="E348" s="5">
        <f>IFERROR(__xludf.DUMMYFUNCTION("IFERROR(
 VLOOKUP(
   C348,
   FILTER(Vendors_Pricing!A:E, Vendors_Pricing!H:H=""Yes""),
   5,
   FALSE
 ),
 """"
)
"),"")</f>
        <v/>
      </c>
      <c r="F348" s="5">
        <f>D348 * E348</f>
        <v/>
      </c>
    </row>
    <row r="349" ht="15.75" customHeight="1" s="14">
      <c r="B349" s="5" t="n"/>
      <c r="C349" s="5" t="n"/>
      <c r="E349" s="5">
        <f>IFERROR(__xludf.DUMMYFUNCTION("IFERROR(
 VLOOKUP(
   C349,
   FILTER(Vendors_Pricing!A:E, Vendors_Pricing!H:H=""Yes""),
   5,
   FALSE
 ),
 """"
)
"),"")</f>
        <v/>
      </c>
      <c r="F349" s="5">
        <f>D349 * E349</f>
        <v/>
      </c>
    </row>
    <row r="350" ht="15.75" customHeight="1" s="14">
      <c r="B350" s="5" t="n"/>
      <c r="C350" s="5" t="n"/>
      <c r="E350" s="5">
        <f>IFERROR(__xludf.DUMMYFUNCTION("IFERROR(
 VLOOKUP(
   C350,
   FILTER(Vendors_Pricing!A:E, Vendors_Pricing!H:H=""Yes""),
   5,
   FALSE
 ),
 """"
)
"),"")</f>
        <v/>
      </c>
      <c r="F350" s="5">
        <f>D350 * E350</f>
        <v/>
      </c>
    </row>
    <row r="351" ht="15.75" customHeight="1" s="14">
      <c r="B351" s="5" t="n"/>
      <c r="C351" s="5" t="n"/>
      <c r="E351" s="5">
        <f>IFERROR(__xludf.DUMMYFUNCTION("IFERROR(
 VLOOKUP(
   C351,
   FILTER(Vendors_Pricing!A:E, Vendors_Pricing!H:H=""Yes""),
   5,
   FALSE
 ),
 """"
)
"),"")</f>
        <v/>
      </c>
      <c r="F351" s="5">
        <f>D351 * E351</f>
        <v/>
      </c>
    </row>
    <row r="352" ht="15.75" customHeight="1" s="14">
      <c r="B352" s="5" t="n"/>
      <c r="C352" s="5" t="n"/>
      <c r="E352" s="5">
        <f>IFERROR(__xludf.DUMMYFUNCTION("IFERROR(
 VLOOKUP(
   C352,
   FILTER(Vendors_Pricing!A:E, Vendors_Pricing!H:H=""Yes""),
   5,
   FALSE
 ),
 """"
)
"),"")</f>
        <v/>
      </c>
      <c r="F352" s="5">
        <f>D352 * E352</f>
        <v/>
      </c>
    </row>
    <row r="353" ht="15.75" customHeight="1" s="14">
      <c r="B353" s="5" t="n"/>
      <c r="C353" s="5" t="n"/>
      <c r="E353" s="5">
        <f>IFERROR(__xludf.DUMMYFUNCTION("IFERROR(
 VLOOKUP(
   C353,
   FILTER(Vendors_Pricing!A:E, Vendors_Pricing!H:H=""Yes""),
   5,
   FALSE
 ),
 """"
)
"),"")</f>
        <v/>
      </c>
      <c r="F353" s="5">
        <f>D353 * E353</f>
        <v/>
      </c>
    </row>
    <row r="354" ht="15.75" customHeight="1" s="14">
      <c r="B354" s="5" t="n"/>
      <c r="C354" s="5" t="n"/>
      <c r="E354" s="5">
        <f>IFERROR(__xludf.DUMMYFUNCTION("IFERROR(
 VLOOKUP(
   C354,
   FILTER(Vendors_Pricing!A:E, Vendors_Pricing!H:H=""Yes""),
   5,
   FALSE
 ),
 """"
)
"),"")</f>
        <v/>
      </c>
      <c r="F354" s="5">
        <f>D354 * E354</f>
        <v/>
      </c>
    </row>
    <row r="355" ht="15.75" customHeight="1" s="14">
      <c r="B355" s="5" t="n"/>
      <c r="C355" s="5" t="n"/>
      <c r="E355" s="5">
        <f>IFERROR(__xludf.DUMMYFUNCTION("IFERROR(
 VLOOKUP(
   C355,
   FILTER(Vendors_Pricing!A:E, Vendors_Pricing!H:H=""Yes""),
   5,
   FALSE
 ),
 """"
)
"),"")</f>
        <v/>
      </c>
      <c r="F355" s="5">
        <f>D355 * E355</f>
        <v/>
      </c>
    </row>
    <row r="356" ht="15.75" customHeight="1" s="14">
      <c r="B356" s="5" t="n"/>
      <c r="C356" s="5" t="n"/>
      <c r="E356" s="5">
        <f>IFERROR(__xludf.DUMMYFUNCTION("IFERROR(
 VLOOKUP(
   C356,
   FILTER(Vendors_Pricing!A:E, Vendors_Pricing!H:H=""Yes""),
   5,
   FALSE
 ),
 """"
)
"),"")</f>
        <v/>
      </c>
      <c r="F356" s="5">
        <f>D356 * E356</f>
        <v/>
      </c>
    </row>
    <row r="357" ht="15.75" customHeight="1" s="14">
      <c r="B357" s="5" t="n"/>
      <c r="C357" s="5" t="n"/>
      <c r="E357" s="5">
        <f>IFERROR(__xludf.DUMMYFUNCTION("IFERROR(
 VLOOKUP(
   C357,
   FILTER(Vendors_Pricing!A:E, Vendors_Pricing!H:H=""Yes""),
   5,
   FALSE
 ),
 """"
)
"),"")</f>
        <v/>
      </c>
      <c r="F357" s="5">
        <f>D357 * E357</f>
        <v/>
      </c>
    </row>
    <row r="358" ht="15.75" customHeight="1" s="14">
      <c r="B358" s="5" t="n"/>
      <c r="C358" s="5" t="n"/>
      <c r="E358" s="5">
        <f>IFERROR(__xludf.DUMMYFUNCTION("IFERROR(
 VLOOKUP(
   C358,
   FILTER(Vendors_Pricing!A:E, Vendors_Pricing!H:H=""Yes""),
   5,
   FALSE
 ),
 """"
)
"),"")</f>
        <v/>
      </c>
      <c r="F358" s="5">
        <f>D358 * E358</f>
        <v/>
      </c>
    </row>
    <row r="359" ht="15.75" customHeight="1" s="14">
      <c r="B359" s="5" t="n"/>
      <c r="C359" s="5" t="n"/>
      <c r="E359" s="5">
        <f>IFERROR(__xludf.DUMMYFUNCTION("IFERROR(
 VLOOKUP(
   C359,
   FILTER(Vendors_Pricing!A:E, Vendors_Pricing!H:H=""Yes""),
   5,
   FALSE
 ),
 """"
)
"),"")</f>
        <v/>
      </c>
      <c r="F359" s="5">
        <f>D359 * E359</f>
        <v/>
      </c>
    </row>
    <row r="360" ht="15.75" customHeight="1" s="14">
      <c r="B360" s="5" t="n"/>
      <c r="C360" s="5" t="n"/>
      <c r="E360" s="5">
        <f>IFERROR(__xludf.DUMMYFUNCTION("IFERROR(
 VLOOKUP(
   C360,
   FILTER(Vendors_Pricing!A:E, Vendors_Pricing!H:H=""Yes""),
   5,
   FALSE
 ),
 """"
)
"),"")</f>
        <v/>
      </c>
      <c r="F360" s="5">
        <f>D360 * E360</f>
        <v/>
      </c>
    </row>
    <row r="361" ht="15.75" customHeight="1" s="14">
      <c r="B361" s="5" t="n"/>
      <c r="C361" s="5" t="n"/>
      <c r="E361" s="5">
        <f>IFERROR(__xludf.DUMMYFUNCTION("IFERROR(
 VLOOKUP(
   C361,
   FILTER(Vendors_Pricing!A:E, Vendors_Pricing!H:H=""Yes""),
   5,
   FALSE
 ),
 """"
)
"),"")</f>
        <v/>
      </c>
      <c r="F361" s="5">
        <f>D361 * E361</f>
        <v/>
      </c>
    </row>
    <row r="362" ht="15.75" customHeight="1" s="14">
      <c r="B362" s="5" t="n"/>
      <c r="C362" s="5" t="n"/>
      <c r="E362" s="5">
        <f>IFERROR(__xludf.DUMMYFUNCTION("IFERROR(
 VLOOKUP(
   C362,
   FILTER(Vendors_Pricing!A:E, Vendors_Pricing!H:H=""Yes""),
   5,
   FALSE
 ),
 """"
)
"),"")</f>
        <v/>
      </c>
      <c r="F362" s="5">
        <f>D362 * E362</f>
        <v/>
      </c>
    </row>
    <row r="363" ht="15.75" customHeight="1" s="14">
      <c r="B363" s="5" t="n"/>
      <c r="C363" s="5" t="n"/>
      <c r="E363" s="5">
        <f>IFERROR(__xludf.DUMMYFUNCTION("IFERROR(
 VLOOKUP(
   C363,
   FILTER(Vendors_Pricing!A:E, Vendors_Pricing!H:H=""Yes""),
   5,
   FALSE
 ),
 """"
)
"),"")</f>
        <v/>
      </c>
      <c r="F363" s="5">
        <f>D363 * E363</f>
        <v/>
      </c>
    </row>
    <row r="364" ht="15.75" customHeight="1" s="14">
      <c r="B364" s="5" t="n"/>
      <c r="C364" s="5" t="n"/>
      <c r="E364" s="5">
        <f>IFERROR(__xludf.DUMMYFUNCTION("IFERROR(
 VLOOKUP(
   C364,
   FILTER(Vendors_Pricing!A:E, Vendors_Pricing!H:H=""Yes""),
   5,
   FALSE
 ),
 """"
)
"),"")</f>
        <v/>
      </c>
      <c r="F364" s="5">
        <f>D364 * E364</f>
        <v/>
      </c>
    </row>
    <row r="365" ht="15.75" customHeight="1" s="14">
      <c r="B365" s="5" t="n"/>
      <c r="C365" s="5" t="n"/>
      <c r="E365" s="5">
        <f>IFERROR(__xludf.DUMMYFUNCTION("IFERROR(
 VLOOKUP(
   C365,
   FILTER(Vendors_Pricing!A:E, Vendors_Pricing!H:H=""Yes""),
   5,
   FALSE
 ),
 """"
)
"),"")</f>
        <v/>
      </c>
      <c r="F365" s="5">
        <f>D365 * E365</f>
        <v/>
      </c>
    </row>
    <row r="366" ht="15.75" customHeight="1" s="14">
      <c r="B366" s="5" t="n"/>
      <c r="C366" s="5" t="n"/>
      <c r="E366" s="5">
        <f>IFERROR(__xludf.DUMMYFUNCTION("IFERROR(
 VLOOKUP(
   C366,
   FILTER(Vendors_Pricing!A:E, Vendors_Pricing!H:H=""Yes""),
   5,
   FALSE
 ),
 """"
)
"),"")</f>
        <v/>
      </c>
      <c r="F366" s="5">
        <f>D366 * E366</f>
        <v/>
      </c>
    </row>
    <row r="367" ht="15.75" customHeight="1" s="14">
      <c r="B367" s="5" t="n"/>
      <c r="C367" s="5" t="n"/>
      <c r="E367" s="5">
        <f>IFERROR(__xludf.DUMMYFUNCTION("IFERROR(
 VLOOKUP(
   C367,
   FILTER(Vendors_Pricing!A:E, Vendors_Pricing!H:H=""Yes""),
   5,
   FALSE
 ),
 """"
)
"),"")</f>
        <v/>
      </c>
      <c r="F367" s="5">
        <f>D367 * E367</f>
        <v/>
      </c>
    </row>
    <row r="368" ht="15.75" customHeight="1" s="14">
      <c r="B368" s="5" t="n"/>
      <c r="C368" s="5" t="n"/>
      <c r="E368" s="5">
        <f>IFERROR(__xludf.DUMMYFUNCTION("IFERROR(
 VLOOKUP(
   C368,
   FILTER(Vendors_Pricing!A:E, Vendors_Pricing!H:H=""Yes""),
   5,
   FALSE
 ),
 """"
)
"),"")</f>
        <v/>
      </c>
      <c r="F368" s="5">
        <f>D368 * E368</f>
        <v/>
      </c>
    </row>
    <row r="369" ht="15.75" customHeight="1" s="14">
      <c r="B369" s="5" t="n"/>
      <c r="C369" s="5" t="n"/>
      <c r="E369" s="5">
        <f>IFERROR(__xludf.DUMMYFUNCTION("IFERROR(
 VLOOKUP(
   C369,
   FILTER(Vendors_Pricing!A:E, Vendors_Pricing!H:H=""Yes""),
   5,
   FALSE
 ),
 """"
)
"),"")</f>
        <v/>
      </c>
      <c r="F369" s="5">
        <f>D369 * E369</f>
        <v/>
      </c>
    </row>
    <row r="370" ht="15.75" customHeight="1" s="14">
      <c r="B370" s="5" t="n"/>
      <c r="C370" s="5" t="n"/>
      <c r="E370" s="5">
        <f>IFERROR(__xludf.DUMMYFUNCTION("IFERROR(
 VLOOKUP(
   C370,
   FILTER(Vendors_Pricing!A:E, Vendors_Pricing!H:H=""Yes""),
   5,
   FALSE
 ),
 """"
)
"),"")</f>
        <v/>
      </c>
      <c r="F370" s="5">
        <f>D370 * E370</f>
        <v/>
      </c>
    </row>
    <row r="371" ht="15.75" customHeight="1" s="14">
      <c r="B371" s="5" t="n"/>
      <c r="C371" s="5" t="n"/>
      <c r="E371" s="5">
        <f>IFERROR(__xludf.DUMMYFUNCTION("IFERROR(
 VLOOKUP(
   C371,
   FILTER(Vendors_Pricing!A:E, Vendors_Pricing!H:H=""Yes""),
   5,
   FALSE
 ),
 """"
)
"),"")</f>
        <v/>
      </c>
      <c r="F371" s="5">
        <f>D371 * E371</f>
        <v/>
      </c>
    </row>
    <row r="372" ht="15.75" customHeight="1" s="14">
      <c r="B372" s="5" t="n"/>
      <c r="C372" s="5" t="n"/>
      <c r="E372" s="5">
        <f>IFERROR(__xludf.DUMMYFUNCTION("IFERROR(
 VLOOKUP(
   C372,
   FILTER(Vendors_Pricing!A:E, Vendors_Pricing!H:H=""Yes""),
   5,
   FALSE
 ),
 """"
)
"),"")</f>
        <v/>
      </c>
      <c r="F372" s="5">
        <f>D372 * E372</f>
        <v/>
      </c>
    </row>
    <row r="373" ht="15.75" customHeight="1" s="14">
      <c r="B373" s="5" t="n"/>
      <c r="C373" s="5" t="n"/>
      <c r="E373" s="5">
        <f>IFERROR(__xludf.DUMMYFUNCTION("IFERROR(
 VLOOKUP(
   C373,
   FILTER(Vendors_Pricing!A:E, Vendors_Pricing!H:H=""Yes""),
   5,
   FALSE
 ),
 """"
)
"),"")</f>
        <v/>
      </c>
      <c r="F373" s="5">
        <f>D373 * E373</f>
        <v/>
      </c>
    </row>
    <row r="374" ht="15.75" customHeight="1" s="14">
      <c r="B374" s="5" t="n"/>
      <c r="C374" s="5" t="n"/>
      <c r="E374" s="5">
        <f>IFERROR(__xludf.DUMMYFUNCTION("IFERROR(
 VLOOKUP(
   C374,
   FILTER(Vendors_Pricing!A:E, Vendors_Pricing!H:H=""Yes""),
   5,
   FALSE
 ),
 """"
)
"),"")</f>
        <v/>
      </c>
      <c r="F374" s="5">
        <f>D374 * E374</f>
        <v/>
      </c>
    </row>
    <row r="375" ht="15.75" customHeight="1" s="14">
      <c r="B375" s="5" t="n"/>
      <c r="C375" s="5" t="n"/>
      <c r="E375" s="5">
        <f>IFERROR(__xludf.DUMMYFUNCTION("IFERROR(
 VLOOKUP(
   C375,
   FILTER(Vendors_Pricing!A:E, Vendors_Pricing!H:H=""Yes""),
   5,
   FALSE
 ),
 """"
)
"),"")</f>
        <v/>
      </c>
      <c r="F375" s="5">
        <f>D375 * E375</f>
        <v/>
      </c>
    </row>
    <row r="376" ht="15.75" customHeight="1" s="14">
      <c r="B376" s="5" t="n"/>
      <c r="C376" s="5" t="n"/>
      <c r="E376" s="5">
        <f>IFERROR(__xludf.DUMMYFUNCTION("IFERROR(
 VLOOKUP(
   C376,
   FILTER(Vendors_Pricing!A:E, Vendors_Pricing!H:H=""Yes""),
   5,
   FALSE
 ),
 """"
)
"),"")</f>
        <v/>
      </c>
      <c r="F376" s="5">
        <f>D376 * E376</f>
        <v/>
      </c>
    </row>
    <row r="377" ht="15.75" customHeight="1" s="14">
      <c r="B377" s="5" t="n"/>
      <c r="C377" s="5" t="n"/>
      <c r="E377" s="5">
        <f>IFERROR(__xludf.DUMMYFUNCTION("IFERROR(
 VLOOKUP(
   C377,
   FILTER(Vendors_Pricing!A:E, Vendors_Pricing!H:H=""Yes""),
   5,
   FALSE
 ),
 """"
)
"),"")</f>
        <v/>
      </c>
      <c r="F377" s="5">
        <f>D377 * E377</f>
        <v/>
      </c>
    </row>
    <row r="378" ht="15.75" customHeight="1" s="14">
      <c r="B378" s="5" t="n"/>
      <c r="C378" s="5" t="n"/>
      <c r="E378" s="5">
        <f>IFERROR(__xludf.DUMMYFUNCTION("IFERROR(
 VLOOKUP(
   C378,
   FILTER(Vendors_Pricing!A:E, Vendors_Pricing!H:H=""Yes""),
   5,
   FALSE
 ),
 """"
)
"),"")</f>
        <v/>
      </c>
      <c r="F378" s="5">
        <f>D378 * E378</f>
        <v/>
      </c>
    </row>
    <row r="379" ht="15.75" customHeight="1" s="14">
      <c r="B379" s="5" t="n"/>
      <c r="C379" s="5" t="n"/>
      <c r="E379" s="5">
        <f>IFERROR(__xludf.DUMMYFUNCTION("IFERROR(
 VLOOKUP(
   C379,
   FILTER(Vendors_Pricing!A:E, Vendors_Pricing!H:H=""Yes""),
   5,
   FALSE
 ),
 """"
)
"),"")</f>
        <v/>
      </c>
      <c r="F379" s="5">
        <f>D379 * E379</f>
        <v/>
      </c>
    </row>
    <row r="380" ht="15.75" customHeight="1" s="14">
      <c r="B380" s="5" t="n"/>
      <c r="C380" s="5" t="n"/>
      <c r="E380" s="5">
        <f>IFERROR(__xludf.DUMMYFUNCTION("IFERROR(
 VLOOKUP(
   C380,
   FILTER(Vendors_Pricing!A:E, Vendors_Pricing!H:H=""Yes""),
   5,
   FALSE
 ),
 """"
)
"),"")</f>
        <v/>
      </c>
      <c r="F380" s="5">
        <f>D380 * E380</f>
        <v/>
      </c>
    </row>
    <row r="381" ht="15.75" customHeight="1" s="14">
      <c r="B381" s="5" t="n"/>
      <c r="C381" s="5" t="n"/>
      <c r="E381" s="5">
        <f>IFERROR(__xludf.DUMMYFUNCTION("IFERROR(
 VLOOKUP(
   C381,
   FILTER(Vendors_Pricing!A:E, Vendors_Pricing!H:H=""Yes""),
   5,
   FALSE
 ),
 """"
)
"),"")</f>
        <v/>
      </c>
      <c r="F381" s="5">
        <f>D381 * E381</f>
        <v/>
      </c>
    </row>
    <row r="382" ht="15.75" customHeight="1" s="14">
      <c r="B382" s="5" t="n"/>
      <c r="C382" s="5" t="n"/>
      <c r="E382" s="5">
        <f>IFERROR(__xludf.DUMMYFUNCTION("IFERROR(
 VLOOKUP(
   C382,
   FILTER(Vendors_Pricing!A:E, Vendors_Pricing!H:H=""Yes""),
   5,
   FALSE
 ),
 """"
)
"),"")</f>
        <v/>
      </c>
      <c r="F382" s="5">
        <f>D382 * E382</f>
        <v/>
      </c>
    </row>
    <row r="383" ht="15.75" customHeight="1" s="14">
      <c r="B383" s="5" t="n"/>
      <c r="C383" s="5" t="n"/>
      <c r="E383" s="5">
        <f>IFERROR(__xludf.DUMMYFUNCTION("IFERROR(
 VLOOKUP(
   C383,
   FILTER(Vendors_Pricing!A:E, Vendors_Pricing!H:H=""Yes""),
   5,
   FALSE
 ),
 """"
)
"),"")</f>
        <v/>
      </c>
      <c r="F383" s="5">
        <f>D383 * E383</f>
        <v/>
      </c>
    </row>
    <row r="384" ht="15.75" customHeight="1" s="14">
      <c r="B384" s="5" t="n"/>
      <c r="C384" s="5" t="n"/>
      <c r="E384" s="5">
        <f>IFERROR(__xludf.DUMMYFUNCTION("IFERROR(
 VLOOKUP(
   C384,
   FILTER(Vendors_Pricing!A:E, Vendors_Pricing!H:H=""Yes""),
   5,
   FALSE
 ),
 """"
)
"),"")</f>
        <v/>
      </c>
      <c r="F384" s="5">
        <f>D384 * E384</f>
        <v/>
      </c>
    </row>
    <row r="385" ht="15.75" customHeight="1" s="14">
      <c r="B385" s="5" t="n"/>
      <c r="C385" s="5" t="n"/>
      <c r="E385" s="5">
        <f>IFERROR(__xludf.DUMMYFUNCTION("IFERROR(
 VLOOKUP(
   C385,
   FILTER(Vendors_Pricing!A:E, Vendors_Pricing!H:H=""Yes""),
   5,
   FALSE
 ),
 """"
)
"),"")</f>
        <v/>
      </c>
      <c r="F385" s="5">
        <f>D385 * E385</f>
        <v/>
      </c>
    </row>
    <row r="386" ht="15.75" customHeight="1" s="14">
      <c r="B386" s="5" t="n"/>
      <c r="C386" s="5" t="n"/>
      <c r="E386" s="5">
        <f>IFERROR(__xludf.DUMMYFUNCTION("IFERROR(
 VLOOKUP(
   C386,
   FILTER(Vendors_Pricing!A:E, Vendors_Pricing!H:H=""Yes""),
   5,
   FALSE
 ),
 """"
)
"),"")</f>
        <v/>
      </c>
      <c r="F386" s="5">
        <f>D386 * E386</f>
        <v/>
      </c>
    </row>
    <row r="387" ht="15.75" customHeight="1" s="14">
      <c r="B387" s="5" t="n"/>
      <c r="C387" s="5" t="n"/>
      <c r="E387" s="5">
        <f>IFERROR(__xludf.DUMMYFUNCTION("IFERROR(
 VLOOKUP(
   C387,
   FILTER(Vendors_Pricing!A:E, Vendors_Pricing!H:H=""Yes""),
   5,
   FALSE
 ),
 """"
)
"),"")</f>
        <v/>
      </c>
      <c r="F387" s="5">
        <f>D387 * E387</f>
        <v/>
      </c>
    </row>
    <row r="388" ht="15.75" customHeight="1" s="14">
      <c r="B388" s="5" t="n"/>
      <c r="C388" s="5" t="n"/>
      <c r="E388" s="5">
        <f>IFERROR(__xludf.DUMMYFUNCTION("IFERROR(
 VLOOKUP(
   C388,
   FILTER(Vendors_Pricing!A:E, Vendors_Pricing!H:H=""Yes""),
   5,
   FALSE
 ),
 """"
)
"),"")</f>
        <v/>
      </c>
      <c r="F388" s="5">
        <f>D388 * E388</f>
        <v/>
      </c>
    </row>
    <row r="389" ht="15.75" customHeight="1" s="14">
      <c r="B389" s="5" t="n"/>
      <c r="C389" s="5" t="n"/>
      <c r="E389" s="5">
        <f>IFERROR(__xludf.DUMMYFUNCTION("IFERROR(
 VLOOKUP(
   C389,
   FILTER(Vendors_Pricing!A:E, Vendors_Pricing!H:H=""Yes""),
   5,
   FALSE
 ),
 """"
)
"),"")</f>
        <v/>
      </c>
      <c r="F389" s="5">
        <f>D389 * E389</f>
        <v/>
      </c>
    </row>
    <row r="390" ht="15.75" customHeight="1" s="14">
      <c r="B390" s="5" t="n"/>
      <c r="C390" s="5" t="n"/>
      <c r="E390" s="5">
        <f>IFERROR(__xludf.DUMMYFUNCTION("IFERROR(
 VLOOKUP(
   C390,
   FILTER(Vendors_Pricing!A:E, Vendors_Pricing!H:H=""Yes""),
   5,
   FALSE
 ),
 """"
)
"),"")</f>
        <v/>
      </c>
      <c r="F390" s="5">
        <f>D390 * E390</f>
        <v/>
      </c>
    </row>
    <row r="391" ht="15.75" customHeight="1" s="14">
      <c r="B391" s="5" t="n"/>
      <c r="C391" s="5" t="n"/>
      <c r="E391" s="5">
        <f>IFERROR(__xludf.DUMMYFUNCTION("IFERROR(
 VLOOKUP(
   C391,
   FILTER(Vendors_Pricing!A:E, Vendors_Pricing!H:H=""Yes""),
   5,
   FALSE
 ),
 """"
)
"),"")</f>
        <v/>
      </c>
      <c r="F391" s="5">
        <f>D391 * E391</f>
        <v/>
      </c>
    </row>
    <row r="392" ht="15.75" customHeight="1" s="14">
      <c r="B392" s="5" t="n"/>
      <c r="C392" s="5" t="n"/>
      <c r="E392" s="5">
        <f>IFERROR(__xludf.DUMMYFUNCTION("IFERROR(
 VLOOKUP(
   C392,
   FILTER(Vendors_Pricing!A:E, Vendors_Pricing!H:H=""Yes""),
   5,
   FALSE
 ),
 """"
)
"),"")</f>
        <v/>
      </c>
      <c r="F392" s="5">
        <f>D392 * E392</f>
        <v/>
      </c>
    </row>
    <row r="393" ht="15.75" customHeight="1" s="14">
      <c r="B393" s="5" t="n"/>
      <c r="C393" s="5" t="n"/>
      <c r="E393" s="5">
        <f>IFERROR(__xludf.DUMMYFUNCTION("IFERROR(
 VLOOKUP(
   C393,
   FILTER(Vendors_Pricing!A:E, Vendors_Pricing!H:H=""Yes""),
   5,
   FALSE
 ),
 """"
)
"),"")</f>
        <v/>
      </c>
      <c r="F393" s="5">
        <f>D393 * E393</f>
        <v/>
      </c>
    </row>
    <row r="394" ht="15.75" customHeight="1" s="14">
      <c r="B394" s="5" t="n"/>
      <c r="C394" s="5" t="n"/>
      <c r="E394" s="5">
        <f>IFERROR(__xludf.DUMMYFUNCTION("IFERROR(
 VLOOKUP(
   C394,
   FILTER(Vendors_Pricing!A:E, Vendors_Pricing!H:H=""Yes""),
   5,
   FALSE
 ),
 """"
)
"),"")</f>
        <v/>
      </c>
      <c r="F394" s="5">
        <f>D394 * E394</f>
        <v/>
      </c>
    </row>
    <row r="395" ht="15.75" customHeight="1" s="14">
      <c r="B395" s="5" t="n"/>
      <c r="C395" s="5" t="n"/>
      <c r="E395" s="5">
        <f>IFERROR(__xludf.DUMMYFUNCTION("IFERROR(
 VLOOKUP(
   C395,
   FILTER(Vendors_Pricing!A:E, Vendors_Pricing!H:H=""Yes""),
   5,
   FALSE
 ),
 """"
)
"),"")</f>
        <v/>
      </c>
      <c r="F395" s="5">
        <f>D395 * E395</f>
        <v/>
      </c>
    </row>
    <row r="396" ht="15.75" customHeight="1" s="14">
      <c r="B396" s="5" t="n"/>
      <c r="C396" s="5" t="n"/>
      <c r="E396" s="5">
        <f>IFERROR(__xludf.DUMMYFUNCTION("IFERROR(
 VLOOKUP(
   C396,
   FILTER(Vendors_Pricing!A:E, Vendors_Pricing!H:H=""Yes""),
   5,
   FALSE
 ),
 """"
)
"),"")</f>
        <v/>
      </c>
      <c r="F396" s="5">
        <f>D396 * E396</f>
        <v/>
      </c>
    </row>
    <row r="397" ht="15.75" customHeight="1" s="14">
      <c r="B397" s="5" t="n"/>
      <c r="C397" s="5" t="n"/>
      <c r="E397" s="5">
        <f>IFERROR(__xludf.DUMMYFUNCTION("IFERROR(
 VLOOKUP(
   C397,
   FILTER(Vendors_Pricing!A:E, Vendors_Pricing!H:H=""Yes""),
   5,
   FALSE
 ),
 """"
)
"),"")</f>
        <v/>
      </c>
      <c r="F397" s="5">
        <f>D397 * E397</f>
        <v/>
      </c>
    </row>
    <row r="398" ht="15.75" customHeight="1" s="14">
      <c r="B398" s="5" t="n"/>
      <c r="C398" s="5" t="n"/>
      <c r="E398" s="5">
        <f>IFERROR(__xludf.DUMMYFUNCTION("IFERROR(
 VLOOKUP(
   C398,
   FILTER(Vendors_Pricing!A:E, Vendors_Pricing!H:H=""Yes""),
   5,
   FALSE
 ),
 """"
)
"),"")</f>
        <v/>
      </c>
      <c r="F398" s="5">
        <f>D398 * E398</f>
        <v/>
      </c>
    </row>
    <row r="399" ht="15.75" customHeight="1" s="14">
      <c r="B399" s="5" t="n"/>
      <c r="C399" s="5" t="n"/>
      <c r="E399" s="5">
        <f>IFERROR(__xludf.DUMMYFUNCTION("IFERROR(
 VLOOKUP(
   C399,
   FILTER(Vendors_Pricing!A:E, Vendors_Pricing!H:H=""Yes""),
   5,
   FALSE
 ),
 """"
)
"),"")</f>
        <v/>
      </c>
      <c r="F399" s="5">
        <f>D399 * E399</f>
        <v/>
      </c>
    </row>
    <row r="400" ht="15.75" customHeight="1" s="14">
      <c r="B400" s="5" t="n"/>
      <c r="C400" s="5" t="n"/>
      <c r="E400" s="5">
        <f>IFERROR(__xludf.DUMMYFUNCTION("IFERROR(
 VLOOKUP(
   C400,
   FILTER(Vendors_Pricing!A:E, Vendors_Pricing!H:H=""Yes""),
   5,
   FALSE
 ),
 """"
)
"),"")</f>
        <v/>
      </c>
      <c r="F400" s="5">
        <f>D400 * E400</f>
        <v/>
      </c>
    </row>
    <row r="401" ht="15.75" customHeight="1" s="14">
      <c r="B401" s="5" t="n"/>
      <c r="C401" s="5" t="n"/>
      <c r="E401" s="5">
        <f>IFERROR(__xludf.DUMMYFUNCTION("IFERROR(
 VLOOKUP(
   C401,
   FILTER(Vendors_Pricing!A:E, Vendors_Pricing!H:H=""Yes""),
   5,
   FALSE
 ),
 """"
)
"),"")</f>
        <v/>
      </c>
      <c r="F401" s="5">
        <f>D401 * E401</f>
        <v/>
      </c>
    </row>
    <row r="402" ht="15.75" customHeight="1" s="14">
      <c r="B402" s="5" t="n"/>
      <c r="C402" s="5" t="n"/>
      <c r="E402" s="5">
        <f>IFERROR(__xludf.DUMMYFUNCTION("IFERROR(
 VLOOKUP(
   C402,
   FILTER(Vendors_Pricing!A:E, Vendors_Pricing!H:H=""Yes""),
   5,
   FALSE
 ),
 """"
)
"),"")</f>
        <v/>
      </c>
      <c r="F402" s="5">
        <f>D402 * E402</f>
        <v/>
      </c>
    </row>
    <row r="403" ht="15.75" customHeight="1" s="14">
      <c r="B403" s="5" t="n"/>
      <c r="C403" s="5" t="n"/>
      <c r="E403" s="5">
        <f>IFERROR(__xludf.DUMMYFUNCTION("IFERROR(
 VLOOKUP(
   C403,
   FILTER(Vendors_Pricing!A:E, Vendors_Pricing!H:H=""Yes""),
   5,
   FALSE
 ),
 """"
)
"),"")</f>
        <v/>
      </c>
      <c r="F403" s="5">
        <f>D403 * E403</f>
        <v/>
      </c>
    </row>
    <row r="404" ht="15.75" customHeight="1" s="14">
      <c r="B404" s="5" t="n"/>
      <c r="C404" s="5" t="n"/>
      <c r="E404" s="5">
        <f>IFERROR(__xludf.DUMMYFUNCTION("IFERROR(
 VLOOKUP(
   C404,
   FILTER(Vendors_Pricing!A:E, Vendors_Pricing!H:H=""Yes""),
   5,
   FALSE
 ),
 """"
)
"),"")</f>
        <v/>
      </c>
      <c r="F404" s="5">
        <f>D404 * E404</f>
        <v/>
      </c>
    </row>
    <row r="405" ht="15.75" customHeight="1" s="14">
      <c r="B405" s="5" t="n"/>
      <c r="C405" s="5" t="n"/>
      <c r="E405" s="5">
        <f>IFERROR(__xludf.DUMMYFUNCTION("IFERROR(
 VLOOKUP(
   C405,
   FILTER(Vendors_Pricing!A:E, Vendors_Pricing!H:H=""Yes""),
   5,
   FALSE
 ),
 """"
)
"),"")</f>
        <v/>
      </c>
      <c r="F405" s="5">
        <f>D405 * E405</f>
        <v/>
      </c>
    </row>
    <row r="406" ht="15.75" customHeight="1" s="14">
      <c r="B406" s="5" t="n"/>
      <c r="C406" s="5" t="n"/>
      <c r="E406" s="5">
        <f>IFERROR(__xludf.DUMMYFUNCTION("IFERROR(
 VLOOKUP(
   C406,
   FILTER(Vendors_Pricing!A:E, Vendors_Pricing!H:H=""Yes""),
   5,
   FALSE
 ),
 """"
)
"),"")</f>
        <v/>
      </c>
      <c r="F406" s="5">
        <f>D406 * E406</f>
        <v/>
      </c>
    </row>
    <row r="407" ht="15.75" customHeight="1" s="14">
      <c r="B407" s="5" t="n"/>
      <c r="C407" s="5" t="n"/>
      <c r="E407" s="5">
        <f>IFERROR(__xludf.DUMMYFUNCTION("IFERROR(
 VLOOKUP(
   C407,
   FILTER(Vendors_Pricing!A:E, Vendors_Pricing!H:H=""Yes""),
   5,
   FALSE
 ),
 """"
)
"),"")</f>
        <v/>
      </c>
      <c r="F407" s="5">
        <f>D407 * E407</f>
        <v/>
      </c>
    </row>
    <row r="408" ht="15.75" customHeight="1" s="14">
      <c r="B408" s="5" t="n"/>
      <c r="C408" s="5" t="n"/>
      <c r="E408" s="5">
        <f>IFERROR(__xludf.DUMMYFUNCTION("IFERROR(
 VLOOKUP(
   C408,
   FILTER(Vendors_Pricing!A:E, Vendors_Pricing!H:H=""Yes""),
   5,
   FALSE
 ),
 """"
)
"),"")</f>
        <v/>
      </c>
      <c r="F408" s="5">
        <f>D408 * E408</f>
        <v/>
      </c>
    </row>
    <row r="409" ht="15.75" customHeight="1" s="14">
      <c r="B409" s="5" t="n"/>
      <c r="C409" s="5" t="n"/>
      <c r="E409" s="5">
        <f>IFERROR(__xludf.DUMMYFUNCTION("IFERROR(
 VLOOKUP(
   C409,
   FILTER(Vendors_Pricing!A:E, Vendors_Pricing!H:H=""Yes""),
   5,
   FALSE
 ),
 """"
)
"),"")</f>
        <v/>
      </c>
      <c r="F409" s="5">
        <f>D409 * E409</f>
        <v/>
      </c>
    </row>
    <row r="410" ht="15.75" customHeight="1" s="14">
      <c r="B410" s="5" t="n"/>
      <c r="C410" s="5" t="n"/>
      <c r="E410" s="5">
        <f>IFERROR(__xludf.DUMMYFUNCTION("IFERROR(
 VLOOKUP(
   C410,
   FILTER(Vendors_Pricing!A:E, Vendors_Pricing!H:H=""Yes""),
   5,
   FALSE
 ),
 """"
)
"),"")</f>
        <v/>
      </c>
      <c r="F410" s="5">
        <f>D410 * E410</f>
        <v/>
      </c>
    </row>
    <row r="411" ht="15.75" customHeight="1" s="14">
      <c r="B411" s="5" t="n"/>
      <c r="C411" s="5" t="n"/>
      <c r="E411" s="5">
        <f>IFERROR(__xludf.DUMMYFUNCTION("IFERROR(
 VLOOKUP(
   C411,
   FILTER(Vendors_Pricing!A:E, Vendors_Pricing!H:H=""Yes""),
   5,
   FALSE
 ),
 """"
)
"),"")</f>
        <v/>
      </c>
      <c r="F411" s="5">
        <f>D411 * E411</f>
        <v/>
      </c>
    </row>
    <row r="412" ht="15.75" customHeight="1" s="14">
      <c r="B412" s="5" t="n"/>
      <c r="C412" s="5" t="n"/>
      <c r="E412" s="5">
        <f>IFERROR(__xludf.DUMMYFUNCTION("IFERROR(
 VLOOKUP(
   C412,
   FILTER(Vendors_Pricing!A:E, Vendors_Pricing!H:H=""Yes""),
   5,
   FALSE
 ),
 """"
)
"),"")</f>
        <v/>
      </c>
      <c r="F412" s="5">
        <f>D412 * E412</f>
        <v/>
      </c>
    </row>
    <row r="413" ht="15.75" customHeight="1" s="14">
      <c r="B413" s="5" t="n"/>
      <c r="C413" s="5" t="n"/>
      <c r="E413" s="5">
        <f>IFERROR(__xludf.DUMMYFUNCTION("IFERROR(
 VLOOKUP(
   C413,
   FILTER(Vendors_Pricing!A:E, Vendors_Pricing!H:H=""Yes""),
   5,
   FALSE
 ),
 """"
)
"),"")</f>
        <v/>
      </c>
      <c r="F413" s="5">
        <f>D413 * E413</f>
        <v/>
      </c>
    </row>
    <row r="414" ht="15.75" customHeight="1" s="14">
      <c r="B414" s="5" t="n"/>
      <c r="C414" s="5" t="n"/>
      <c r="E414" s="5">
        <f>IFERROR(__xludf.DUMMYFUNCTION("IFERROR(
 VLOOKUP(
   C414,
   FILTER(Vendors_Pricing!A:E, Vendors_Pricing!H:H=""Yes""),
   5,
   FALSE
 ),
 """"
)
"),"")</f>
        <v/>
      </c>
      <c r="F414" s="5">
        <f>D414 * E414</f>
        <v/>
      </c>
    </row>
    <row r="415" ht="15.75" customHeight="1" s="14">
      <c r="B415" s="5" t="n"/>
      <c r="C415" s="5" t="n"/>
      <c r="E415" s="5">
        <f>IFERROR(__xludf.DUMMYFUNCTION("IFERROR(
 VLOOKUP(
   C415,
   FILTER(Vendors_Pricing!A:E, Vendors_Pricing!H:H=""Yes""),
   5,
   FALSE
 ),
 """"
)
"),"")</f>
        <v/>
      </c>
      <c r="F415" s="5">
        <f>D415 * E415</f>
        <v/>
      </c>
    </row>
    <row r="416" ht="15.75" customHeight="1" s="14">
      <c r="B416" s="5" t="n"/>
      <c r="C416" s="5" t="n"/>
      <c r="E416" s="5">
        <f>IFERROR(__xludf.DUMMYFUNCTION("IFERROR(
 VLOOKUP(
   C416,
   FILTER(Vendors_Pricing!A:E, Vendors_Pricing!H:H=""Yes""),
   5,
   FALSE
 ),
 """"
)
"),"")</f>
        <v/>
      </c>
      <c r="F416" s="5">
        <f>D416 * E416</f>
        <v/>
      </c>
    </row>
    <row r="417" ht="15.75" customHeight="1" s="14">
      <c r="B417" s="5" t="n"/>
      <c r="C417" s="5" t="n"/>
      <c r="E417" s="5">
        <f>IFERROR(__xludf.DUMMYFUNCTION("IFERROR(
 VLOOKUP(
   C417,
   FILTER(Vendors_Pricing!A:E, Vendors_Pricing!H:H=""Yes""),
   5,
   FALSE
 ),
 """"
)
"),"")</f>
        <v/>
      </c>
      <c r="F417" s="5">
        <f>D417 * E417</f>
        <v/>
      </c>
    </row>
    <row r="418" ht="15.75" customHeight="1" s="14">
      <c r="B418" s="5" t="n"/>
      <c r="C418" s="5" t="n"/>
      <c r="E418" s="5">
        <f>IFERROR(__xludf.DUMMYFUNCTION("IFERROR(
 VLOOKUP(
   C418,
   FILTER(Vendors_Pricing!A:E, Vendors_Pricing!H:H=""Yes""),
   5,
   FALSE
 ),
 """"
)
"),"")</f>
        <v/>
      </c>
      <c r="F418" s="5">
        <f>D418 * E418</f>
        <v/>
      </c>
    </row>
    <row r="419" ht="15.75" customHeight="1" s="14">
      <c r="B419" s="5" t="n"/>
      <c r="C419" s="5" t="n"/>
      <c r="E419" s="5">
        <f>IFERROR(__xludf.DUMMYFUNCTION("IFERROR(
 VLOOKUP(
   C419,
   FILTER(Vendors_Pricing!A:E, Vendors_Pricing!H:H=""Yes""),
   5,
   FALSE
 ),
 """"
)
"),"")</f>
        <v/>
      </c>
      <c r="F419" s="5">
        <f>D419 * E419</f>
        <v/>
      </c>
    </row>
    <row r="420" ht="15.75" customHeight="1" s="14">
      <c r="B420" s="5" t="n"/>
      <c r="C420" s="5" t="n"/>
      <c r="E420" s="5">
        <f>IFERROR(__xludf.DUMMYFUNCTION("IFERROR(
 VLOOKUP(
   C420,
   FILTER(Vendors_Pricing!A:E, Vendors_Pricing!H:H=""Yes""),
   5,
   FALSE
 ),
 """"
)
"),"")</f>
        <v/>
      </c>
      <c r="F420" s="5">
        <f>D420 * E420</f>
        <v/>
      </c>
    </row>
    <row r="421" ht="15.75" customHeight="1" s="14">
      <c r="B421" s="5" t="n"/>
      <c r="C421" s="5" t="n"/>
      <c r="E421" s="5">
        <f>IFERROR(__xludf.DUMMYFUNCTION("IFERROR(
 VLOOKUP(
   C421,
   FILTER(Vendors_Pricing!A:E, Vendors_Pricing!H:H=""Yes""),
   5,
   FALSE
 ),
 """"
)
"),"")</f>
        <v/>
      </c>
      <c r="F421" s="5">
        <f>D421 * E421</f>
        <v/>
      </c>
    </row>
    <row r="422" ht="15.75" customHeight="1" s="14">
      <c r="B422" s="5" t="n"/>
      <c r="C422" s="5" t="n"/>
      <c r="E422" s="5">
        <f>IFERROR(__xludf.DUMMYFUNCTION("IFERROR(
 VLOOKUP(
   C422,
   FILTER(Vendors_Pricing!A:E, Vendors_Pricing!H:H=""Yes""),
   5,
   FALSE
 ),
 """"
)
"),"")</f>
        <v/>
      </c>
      <c r="F422" s="5">
        <f>D422 * E422</f>
        <v/>
      </c>
    </row>
    <row r="423" ht="15.75" customHeight="1" s="14">
      <c r="B423" s="5" t="n"/>
      <c r="C423" s="5" t="n"/>
      <c r="E423" s="5">
        <f>IFERROR(__xludf.DUMMYFUNCTION("IFERROR(
 VLOOKUP(
   C423,
   FILTER(Vendors_Pricing!A:E, Vendors_Pricing!H:H=""Yes""),
   5,
   FALSE
 ),
 """"
)
"),"")</f>
        <v/>
      </c>
      <c r="F423" s="5">
        <f>D423 * E423</f>
        <v/>
      </c>
    </row>
    <row r="424" ht="15.75" customHeight="1" s="14">
      <c r="B424" s="5" t="n"/>
      <c r="C424" s="5" t="n"/>
      <c r="E424" s="5">
        <f>IFERROR(__xludf.DUMMYFUNCTION("IFERROR(
 VLOOKUP(
   C424,
   FILTER(Vendors_Pricing!A:E, Vendors_Pricing!H:H=""Yes""),
   5,
   FALSE
 ),
 """"
)
"),"")</f>
        <v/>
      </c>
      <c r="F424" s="5">
        <f>D424 * E424</f>
        <v/>
      </c>
    </row>
    <row r="425" ht="15.75" customHeight="1" s="14">
      <c r="B425" s="5" t="n"/>
      <c r="C425" s="5" t="n"/>
      <c r="E425" s="5">
        <f>IFERROR(__xludf.DUMMYFUNCTION("IFERROR(
 VLOOKUP(
   C425,
   FILTER(Vendors_Pricing!A:E, Vendors_Pricing!H:H=""Yes""),
   5,
   FALSE
 ),
 """"
)
"),"")</f>
        <v/>
      </c>
      <c r="F425" s="5">
        <f>D425 * E425</f>
        <v/>
      </c>
    </row>
    <row r="426" ht="15.75" customHeight="1" s="14">
      <c r="B426" s="5" t="n"/>
      <c r="C426" s="5" t="n"/>
      <c r="E426" s="5">
        <f>IFERROR(__xludf.DUMMYFUNCTION("IFERROR(
 VLOOKUP(
   C426,
   FILTER(Vendors_Pricing!A:E, Vendors_Pricing!H:H=""Yes""),
   5,
   FALSE
 ),
 """"
)
"),"")</f>
        <v/>
      </c>
      <c r="F426" s="5">
        <f>D426 * E426</f>
        <v/>
      </c>
    </row>
    <row r="427" ht="15.75" customHeight="1" s="14">
      <c r="B427" s="5" t="n"/>
      <c r="C427" s="5" t="n"/>
      <c r="E427" s="5">
        <f>IFERROR(__xludf.DUMMYFUNCTION("IFERROR(
 VLOOKUP(
   C427,
   FILTER(Vendors_Pricing!A:E, Vendors_Pricing!H:H=""Yes""),
   5,
   FALSE
 ),
 """"
)
"),"")</f>
        <v/>
      </c>
      <c r="F427" s="5">
        <f>D427 * E427</f>
        <v/>
      </c>
    </row>
    <row r="428" ht="15.75" customHeight="1" s="14">
      <c r="B428" s="5" t="n"/>
      <c r="C428" s="5" t="n"/>
      <c r="E428" s="5">
        <f>IFERROR(__xludf.DUMMYFUNCTION("IFERROR(
 VLOOKUP(
   C428,
   FILTER(Vendors_Pricing!A:E, Vendors_Pricing!H:H=""Yes""),
   5,
   FALSE
 ),
 """"
)
"),"")</f>
        <v/>
      </c>
      <c r="F428" s="5">
        <f>D428 * E428</f>
        <v/>
      </c>
    </row>
    <row r="429" ht="15.75" customHeight="1" s="14">
      <c r="B429" s="5" t="n"/>
      <c r="C429" s="5" t="n"/>
      <c r="E429" s="5">
        <f>IFERROR(__xludf.DUMMYFUNCTION("IFERROR(
 VLOOKUP(
   C429,
   FILTER(Vendors_Pricing!A:E, Vendors_Pricing!H:H=""Yes""),
   5,
   FALSE
 ),
 """"
)
"),"")</f>
        <v/>
      </c>
      <c r="F429" s="5">
        <f>D429 * E429</f>
        <v/>
      </c>
    </row>
    <row r="430" ht="15.75" customHeight="1" s="14">
      <c r="B430" s="5" t="n"/>
      <c r="C430" s="5" t="n"/>
      <c r="E430" s="5">
        <f>IFERROR(__xludf.DUMMYFUNCTION("IFERROR(
 VLOOKUP(
   C430,
   FILTER(Vendors_Pricing!A:E, Vendors_Pricing!H:H=""Yes""),
   5,
   FALSE
 ),
 """"
)
"),"")</f>
        <v/>
      </c>
      <c r="F430" s="5">
        <f>D430 * E430</f>
        <v/>
      </c>
    </row>
    <row r="431" ht="15.75" customHeight="1" s="14">
      <c r="B431" s="5" t="n"/>
      <c r="C431" s="5" t="n"/>
      <c r="E431" s="5">
        <f>IFERROR(__xludf.DUMMYFUNCTION("IFERROR(
 VLOOKUP(
   C431,
   FILTER(Vendors_Pricing!A:E, Vendors_Pricing!H:H=""Yes""),
   5,
   FALSE
 ),
 """"
)
"),"")</f>
        <v/>
      </c>
      <c r="F431" s="5">
        <f>D431 * E431</f>
        <v/>
      </c>
    </row>
    <row r="432" ht="15.75" customHeight="1" s="14">
      <c r="B432" s="5" t="n"/>
      <c r="C432" s="5" t="n"/>
      <c r="E432" s="5">
        <f>IFERROR(__xludf.DUMMYFUNCTION("IFERROR(
 VLOOKUP(
   C432,
   FILTER(Vendors_Pricing!A:E, Vendors_Pricing!H:H=""Yes""),
   5,
   FALSE
 ),
 """"
)
"),"")</f>
        <v/>
      </c>
      <c r="F432" s="5">
        <f>D432 * E432</f>
        <v/>
      </c>
    </row>
    <row r="433" ht="15.75" customHeight="1" s="14">
      <c r="B433" s="5" t="n"/>
      <c r="C433" s="5" t="n"/>
      <c r="E433" s="5">
        <f>IFERROR(__xludf.DUMMYFUNCTION("IFERROR(
 VLOOKUP(
   C433,
   FILTER(Vendors_Pricing!A:E, Vendors_Pricing!H:H=""Yes""),
   5,
   FALSE
 ),
 """"
)
"),"")</f>
        <v/>
      </c>
      <c r="F433" s="5">
        <f>D433 * E433</f>
        <v/>
      </c>
    </row>
    <row r="434" ht="15.75" customHeight="1" s="14">
      <c r="B434" s="5" t="n"/>
      <c r="C434" s="5" t="n"/>
      <c r="E434" s="5">
        <f>IFERROR(__xludf.DUMMYFUNCTION("IFERROR(
 VLOOKUP(
   C434,
   FILTER(Vendors_Pricing!A:E, Vendors_Pricing!H:H=""Yes""),
   5,
   FALSE
 ),
 """"
)
"),"")</f>
        <v/>
      </c>
      <c r="F434" s="5">
        <f>D434 * E434</f>
        <v/>
      </c>
    </row>
    <row r="435" ht="15.75" customHeight="1" s="14">
      <c r="B435" s="5" t="n"/>
      <c r="C435" s="5" t="n"/>
      <c r="E435" s="5">
        <f>IFERROR(__xludf.DUMMYFUNCTION("IFERROR(
 VLOOKUP(
   C435,
   FILTER(Vendors_Pricing!A:E, Vendors_Pricing!H:H=""Yes""),
   5,
   FALSE
 ),
 """"
)
"),"")</f>
        <v/>
      </c>
      <c r="F435" s="5">
        <f>D435 * E435</f>
        <v/>
      </c>
    </row>
    <row r="436" ht="15.75" customHeight="1" s="14">
      <c r="B436" s="5" t="n"/>
      <c r="C436" s="5" t="n"/>
      <c r="E436" s="5">
        <f>IFERROR(__xludf.DUMMYFUNCTION("IFERROR(
 VLOOKUP(
   C436,
   FILTER(Vendors_Pricing!A:E, Vendors_Pricing!H:H=""Yes""),
   5,
   FALSE
 ),
 """"
)
"),"")</f>
        <v/>
      </c>
      <c r="F436" s="5">
        <f>D436 * E436</f>
        <v/>
      </c>
    </row>
    <row r="437" ht="15.75" customHeight="1" s="14">
      <c r="B437" s="5" t="n"/>
      <c r="C437" s="5" t="n"/>
      <c r="E437" s="5">
        <f>IFERROR(__xludf.DUMMYFUNCTION("IFERROR(
 VLOOKUP(
   C437,
   FILTER(Vendors_Pricing!A:E, Vendors_Pricing!H:H=""Yes""),
   5,
   FALSE
 ),
 """"
)
"),"")</f>
        <v/>
      </c>
      <c r="F437" s="5">
        <f>D437 * E437</f>
        <v/>
      </c>
    </row>
    <row r="438" ht="15.75" customHeight="1" s="14">
      <c r="B438" s="5" t="n"/>
      <c r="C438" s="5" t="n"/>
      <c r="E438" s="5">
        <f>IFERROR(__xludf.DUMMYFUNCTION("IFERROR(
 VLOOKUP(
   C438,
   FILTER(Vendors_Pricing!A:E, Vendors_Pricing!H:H=""Yes""),
   5,
   FALSE
 ),
 """"
)
"),"")</f>
        <v/>
      </c>
      <c r="F438" s="5">
        <f>D438 * E438</f>
        <v/>
      </c>
    </row>
    <row r="439" ht="15.75" customHeight="1" s="14">
      <c r="B439" s="5" t="n"/>
      <c r="C439" s="5" t="n"/>
      <c r="E439" s="5">
        <f>IFERROR(__xludf.DUMMYFUNCTION("IFERROR(
 VLOOKUP(
   C439,
   FILTER(Vendors_Pricing!A:E, Vendors_Pricing!H:H=""Yes""),
   5,
   FALSE
 ),
 """"
)
"),"")</f>
        <v/>
      </c>
      <c r="F439" s="5">
        <f>D439 * E439</f>
        <v/>
      </c>
    </row>
    <row r="440" ht="15.75" customHeight="1" s="14">
      <c r="B440" s="5" t="n"/>
      <c r="C440" s="5" t="n"/>
      <c r="E440" s="5">
        <f>IFERROR(__xludf.DUMMYFUNCTION("IFERROR(
 VLOOKUP(
   C440,
   FILTER(Vendors_Pricing!A:E, Vendors_Pricing!H:H=""Yes""),
   5,
   FALSE
 ),
 """"
)
"),"")</f>
        <v/>
      </c>
      <c r="F440" s="5">
        <f>D440 * E440</f>
        <v/>
      </c>
    </row>
    <row r="441" ht="15.75" customHeight="1" s="14">
      <c r="B441" s="5" t="n"/>
      <c r="C441" s="5" t="n"/>
      <c r="E441" s="5">
        <f>IFERROR(__xludf.DUMMYFUNCTION("IFERROR(
 VLOOKUP(
   C441,
   FILTER(Vendors_Pricing!A:E, Vendors_Pricing!H:H=""Yes""),
   5,
   FALSE
 ),
 """"
)
"),"")</f>
        <v/>
      </c>
      <c r="F441" s="5">
        <f>D441 * E441</f>
        <v/>
      </c>
    </row>
    <row r="442" ht="15.75" customHeight="1" s="14">
      <c r="B442" s="5" t="n"/>
      <c r="C442" s="5" t="n"/>
      <c r="E442" s="5">
        <f>IFERROR(__xludf.DUMMYFUNCTION("IFERROR(
 VLOOKUP(
   C442,
   FILTER(Vendors_Pricing!A:E, Vendors_Pricing!H:H=""Yes""),
   5,
   FALSE
 ),
 """"
)
"),"")</f>
        <v/>
      </c>
      <c r="F442" s="5">
        <f>D442 * E442</f>
        <v/>
      </c>
    </row>
    <row r="443" ht="15.75" customHeight="1" s="14">
      <c r="B443" s="5" t="n"/>
      <c r="C443" s="5" t="n"/>
      <c r="E443" s="5">
        <f>IFERROR(__xludf.DUMMYFUNCTION("IFERROR(
 VLOOKUP(
   C443,
   FILTER(Vendors_Pricing!A:E, Vendors_Pricing!H:H=""Yes""),
   5,
   FALSE
 ),
 """"
)
"),"")</f>
        <v/>
      </c>
      <c r="F443" s="5">
        <f>D443 * E443</f>
        <v/>
      </c>
    </row>
    <row r="444" ht="15.75" customHeight="1" s="14">
      <c r="B444" s="5" t="n"/>
      <c r="C444" s="5" t="n"/>
      <c r="E444" s="5">
        <f>IFERROR(__xludf.DUMMYFUNCTION("IFERROR(
 VLOOKUP(
   C444,
   FILTER(Vendors_Pricing!A:E, Vendors_Pricing!H:H=""Yes""),
   5,
   FALSE
 ),
 """"
)
"),"")</f>
        <v/>
      </c>
      <c r="F444" s="5">
        <f>D444 * E444</f>
        <v/>
      </c>
    </row>
    <row r="445" ht="15.75" customHeight="1" s="14">
      <c r="B445" s="5" t="n"/>
      <c r="C445" s="5" t="n"/>
      <c r="E445" s="5">
        <f>IFERROR(__xludf.DUMMYFUNCTION("IFERROR(
 VLOOKUP(
   C445,
   FILTER(Vendors_Pricing!A:E, Vendors_Pricing!H:H=""Yes""),
   5,
   FALSE
 ),
 """"
)
"),"")</f>
        <v/>
      </c>
      <c r="F445" s="5">
        <f>D445 * E445</f>
        <v/>
      </c>
    </row>
    <row r="446" ht="15.75" customHeight="1" s="14">
      <c r="B446" s="5" t="n"/>
      <c r="C446" s="5" t="n"/>
      <c r="E446" s="5">
        <f>IFERROR(__xludf.DUMMYFUNCTION("IFERROR(
 VLOOKUP(
   C446,
   FILTER(Vendors_Pricing!A:E, Vendors_Pricing!H:H=""Yes""),
   5,
   FALSE
 ),
 """"
)
"),"")</f>
        <v/>
      </c>
      <c r="F446" s="5">
        <f>D446 * E446</f>
        <v/>
      </c>
    </row>
    <row r="447" ht="15.75" customHeight="1" s="14">
      <c r="B447" s="5" t="n"/>
      <c r="C447" s="5" t="n"/>
      <c r="E447" s="5">
        <f>IFERROR(__xludf.DUMMYFUNCTION("IFERROR(
 VLOOKUP(
   C447,
   FILTER(Vendors_Pricing!A:E, Vendors_Pricing!H:H=""Yes""),
   5,
   FALSE
 ),
 """"
)
"),"")</f>
        <v/>
      </c>
      <c r="F447" s="5">
        <f>D447 * E447</f>
        <v/>
      </c>
    </row>
    <row r="448" ht="15.75" customHeight="1" s="14">
      <c r="B448" s="5" t="n"/>
      <c r="C448" s="5" t="n"/>
      <c r="E448" s="5">
        <f>IFERROR(__xludf.DUMMYFUNCTION("IFERROR(
 VLOOKUP(
   C448,
   FILTER(Vendors_Pricing!A:E, Vendors_Pricing!H:H=""Yes""),
   5,
   FALSE
 ),
 """"
)
"),"")</f>
        <v/>
      </c>
      <c r="F448" s="5">
        <f>D448 * E448</f>
        <v/>
      </c>
    </row>
    <row r="449" ht="15.75" customHeight="1" s="14">
      <c r="B449" s="5" t="n"/>
      <c r="C449" s="5" t="n"/>
      <c r="E449" s="5">
        <f>IFERROR(__xludf.DUMMYFUNCTION("IFERROR(
 VLOOKUP(
   C449,
   FILTER(Vendors_Pricing!A:E, Vendors_Pricing!H:H=""Yes""),
   5,
   FALSE
 ),
 """"
)
"),"")</f>
        <v/>
      </c>
      <c r="F449" s="5">
        <f>D449 * E449</f>
        <v/>
      </c>
    </row>
    <row r="450" ht="15.75" customHeight="1" s="14">
      <c r="B450" s="5" t="n"/>
      <c r="C450" s="5" t="n"/>
      <c r="E450" s="5">
        <f>IFERROR(__xludf.DUMMYFUNCTION("IFERROR(
 VLOOKUP(
   C450,
   FILTER(Vendors_Pricing!A:E, Vendors_Pricing!H:H=""Yes""),
   5,
   FALSE
 ),
 """"
)
"),"")</f>
        <v/>
      </c>
      <c r="F450" s="5">
        <f>D450 * E450</f>
        <v/>
      </c>
    </row>
    <row r="451" ht="15.75" customHeight="1" s="14">
      <c r="B451" s="5" t="n"/>
      <c r="C451" s="5" t="n"/>
      <c r="E451" s="5">
        <f>IFERROR(__xludf.DUMMYFUNCTION("IFERROR(
 VLOOKUP(
   C451,
   FILTER(Vendors_Pricing!A:E, Vendors_Pricing!H:H=""Yes""),
   5,
   FALSE
 ),
 """"
)
"),"")</f>
        <v/>
      </c>
      <c r="F451" s="5">
        <f>D451 * E451</f>
        <v/>
      </c>
    </row>
    <row r="452" ht="15.75" customHeight="1" s="14">
      <c r="B452" s="5" t="n"/>
      <c r="C452" s="5" t="n"/>
      <c r="E452" s="5">
        <f>IFERROR(__xludf.DUMMYFUNCTION("IFERROR(
 VLOOKUP(
   C452,
   FILTER(Vendors_Pricing!A:E, Vendors_Pricing!H:H=""Yes""),
   5,
   FALSE
 ),
 """"
)
"),"")</f>
        <v/>
      </c>
      <c r="F452" s="5">
        <f>D452 * E452</f>
        <v/>
      </c>
    </row>
    <row r="453" ht="15.75" customHeight="1" s="14">
      <c r="B453" s="5" t="n"/>
      <c r="C453" s="5" t="n"/>
      <c r="E453" s="5">
        <f>IFERROR(__xludf.DUMMYFUNCTION("IFERROR(
 VLOOKUP(
   C453,
   FILTER(Vendors_Pricing!A:E, Vendors_Pricing!H:H=""Yes""),
   5,
   FALSE
 ),
 """"
)
"),"")</f>
        <v/>
      </c>
      <c r="F453" s="5">
        <f>D453 * E453</f>
        <v/>
      </c>
    </row>
    <row r="454" ht="15.75" customHeight="1" s="14">
      <c r="B454" s="5" t="n"/>
      <c r="C454" s="5" t="n"/>
      <c r="E454" s="5">
        <f>IFERROR(__xludf.DUMMYFUNCTION("IFERROR(
 VLOOKUP(
   C454,
   FILTER(Vendors_Pricing!A:E, Vendors_Pricing!H:H=""Yes""),
   5,
   FALSE
 ),
 """"
)
"),"")</f>
        <v/>
      </c>
      <c r="F454" s="5">
        <f>D454 * E454</f>
        <v/>
      </c>
    </row>
    <row r="455" ht="15.75" customHeight="1" s="14">
      <c r="B455" s="5" t="n"/>
      <c r="C455" s="5" t="n"/>
      <c r="E455" s="5">
        <f>IFERROR(__xludf.DUMMYFUNCTION("IFERROR(
 VLOOKUP(
   C455,
   FILTER(Vendors_Pricing!A:E, Vendors_Pricing!H:H=""Yes""),
   5,
   FALSE
 ),
 """"
)
"),"")</f>
        <v/>
      </c>
      <c r="F455" s="5">
        <f>D455 * E455</f>
        <v/>
      </c>
    </row>
    <row r="456" ht="15.75" customHeight="1" s="14">
      <c r="B456" s="5" t="n"/>
      <c r="C456" s="5" t="n"/>
      <c r="E456" s="5">
        <f>IFERROR(__xludf.DUMMYFUNCTION("IFERROR(
 VLOOKUP(
   C456,
   FILTER(Vendors_Pricing!A:E, Vendors_Pricing!H:H=""Yes""),
   5,
   FALSE
 ),
 """"
)
"),"")</f>
        <v/>
      </c>
      <c r="F456" s="5">
        <f>D456 * E456</f>
        <v/>
      </c>
    </row>
    <row r="457" ht="15.75" customHeight="1" s="14">
      <c r="B457" s="5" t="n"/>
      <c r="C457" s="5" t="n"/>
      <c r="E457" s="5">
        <f>IFERROR(__xludf.DUMMYFUNCTION("IFERROR(
 VLOOKUP(
   C457,
   FILTER(Vendors_Pricing!A:E, Vendors_Pricing!H:H=""Yes""),
   5,
   FALSE
 ),
 """"
)
"),"")</f>
        <v/>
      </c>
      <c r="F457" s="5">
        <f>D457 * E457</f>
        <v/>
      </c>
    </row>
    <row r="458" ht="15.75" customHeight="1" s="14">
      <c r="B458" s="5" t="n"/>
      <c r="C458" s="5" t="n"/>
      <c r="E458" s="5">
        <f>IFERROR(__xludf.DUMMYFUNCTION("IFERROR(
 VLOOKUP(
   C458,
   FILTER(Vendors_Pricing!A:E, Vendors_Pricing!H:H=""Yes""),
   5,
   FALSE
 ),
 """"
)
"),"")</f>
        <v/>
      </c>
      <c r="F458" s="5">
        <f>D458 * E458</f>
        <v/>
      </c>
    </row>
    <row r="459" ht="15.75" customHeight="1" s="14">
      <c r="B459" s="5" t="n"/>
      <c r="C459" s="5" t="n"/>
      <c r="E459" s="5">
        <f>IFERROR(__xludf.DUMMYFUNCTION("IFERROR(
 VLOOKUP(
   C459,
   FILTER(Vendors_Pricing!A:E, Vendors_Pricing!H:H=""Yes""),
   5,
   FALSE
 ),
 """"
)
"),"")</f>
        <v/>
      </c>
      <c r="F459" s="5">
        <f>D459 * E459</f>
        <v/>
      </c>
    </row>
    <row r="460" ht="15.75" customHeight="1" s="14">
      <c r="B460" s="5" t="n"/>
      <c r="C460" s="5" t="n"/>
      <c r="E460" s="5">
        <f>IFERROR(__xludf.DUMMYFUNCTION("IFERROR(
 VLOOKUP(
   C460,
   FILTER(Vendors_Pricing!A:E, Vendors_Pricing!H:H=""Yes""),
   5,
   FALSE
 ),
 """"
)
"),"")</f>
        <v/>
      </c>
      <c r="F460" s="5">
        <f>D460 * E460</f>
        <v/>
      </c>
    </row>
    <row r="461" ht="15.75" customHeight="1" s="14">
      <c r="B461" s="5" t="n"/>
      <c r="C461" s="5" t="n"/>
      <c r="E461" s="5">
        <f>IFERROR(__xludf.DUMMYFUNCTION("IFERROR(
 VLOOKUP(
   C461,
   FILTER(Vendors_Pricing!A:E, Vendors_Pricing!H:H=""Yes""),
   5,
   FALSE
 ),
 """"
)
"),"")</f>
        <v/>
      </c>
      <c r="F461" s="5">
        <f>D461 * E461</f>
        <v/>
      </c>
    </row>
    <row r="462" ht="15.75" customHeight="1" s="14">
      <c r="B462" s="5" t="n"/>
      <c r="C462" s="5" t="n"/>
      <c r="E462" s="5">
        <f>IFERROR(__xludf.DUMMYFUNCTION("IFERROR(
 VLOOKUP(
   C462,
   FILTER(Vendors_Pricing!A:E, Vendors_Pricing!H:H=""Yes""),
   5,
   FALSE
 ),
 """"
)
"),"")</f>
        <v/>
      </c>
      <c r="F462" s="5">
        <f>D462 * E462</f>
        <v/>
      </c>
    </row>
    <row r="463" ht="15.75" customHeight="1" s="14">
      <c r="B463" s="5" t="n"/>
      <c r="C463" s="5" t="n"/>
      <c r="E463" s="5">
        <f>IFERROR(__xludf.DUMMYFUNCTION("IFERROR(
 VLOOKUP(
   C463,
   FILTER(Vendors_Pricing!A:E, Vendors_Pricing!H:H=""Yes""),
   5,
   FALSE
 ),
 """"
)
"),"")</f>
        <v/>
      </c>
      <c r="F463" s="5">
        <f>D463 * E463</f>
        <v/>
      </c>
    </row>
    <row r="464" ht="15.75" customHeight="1" s="14">
      <c r="B464" s="5" t="n"/>
      <c r="C464" s="5" t="n"/>
      <c r="E464" s="5">
        <f>IFERROR(__xludf.DUMMYFUNCTION("IFERROR(
 VLOOKUP(
   C464,
   FILTER(Vendors_Pricing!A:E, Vendors_Pricing!H:H=""Yes""),
   5,
   FALSE
 ),
 """"
)
"),"")</f>
        <v/>
      </c>
      <c r="F464" s="5">
        <f>D464 * E464</f>
        <v/>
      </c>
    </row>
    <row r="465" ht="15.75" customHeight="1" s="14">
      <c r="B465" s="5" t="n"/>
      <c r="C465" s="5" t="n"/>
      <c r="E465" s="5">
        <f>IFERROR(__xludf.DUMMYFUNCTION("IFERROR(
 VLOOKUP(
   C465,
   FILTER(Vendors_Pricing!A:E, Vendors_Pricing!H:H=""Yes""),
   5,
   FALSE
 ),
 """"
)
"),"")</f>
        <v/>
      </c>
      <c r="F465" s="5">
        <f>D465 * E465</f>
        <v/>
      </c>
    </row>
    <row r="466" ht="15.75" customHeight="1" s="14">
      <c r="B466" s="5" t="n"/>
      <c r="C466" s="5" t="n"/>
      <c r="E466" s="5">
        <f>IFERROR(__xludf.DUMMYFUNCTION("IFERROR(
 VLOOKUP(
   C466,
   FILTER(Vendors_Pricing!A:E, Vendors_Pricing!H:H=""Yes""),
   5,
   FALSE
 ),
 """"
)
"),"")</f>
        <v/>
      </c>
      <c r="F466" s="5">
        <f>D466 * E466</f>
        <v/>
      </c>
    </row>
    <row r="467" ht="15.75" customHeight="1" s="14">
      <c r="B467" s="5" t="n"/>
      <c r="C467" s="5" t="n"/>
      <c r="E467" s="5">
        <f>IFERROR(__xludf.DUMMYFUNCTION("IFERROR(
 VLOOKUP(
   C467,
   FILTER(Vendors_Pricing!A:E, Vendors_Pricing!H:H=""Yes""),
   5,
   FALSE
 ),
 """"
)
"),"")</f>
        <v/>
      </c>
      <c r="F467" s="5">
        <f>D467 * E467</f>
        <v/>
      </c>
    </row>
    <row r="468" ht="15.75" customHeight="1" s="14">
      <c r="B468" s="5" t="n"/>
      <c r="C468" s="5" t="n"/>
      <c r="E468" s="5">
        <f>IFERROR(__xludf.DUMMYFUNCTION("IFERROR(
 VLOOKUP(
   C468,
   FILTER(Vendors_Pricing!A:E, Vendors_Pricing!H:H=""Yes""),
   5,
   FALSE
 ),
 """"
)
"),"")</f>
        <v/>
      </c>
      <c r="F468" s="5">
        <f>D468 * E468</f>
        <v/>
      </c>
    </row>
    <row r="469" ht="15.75" customHeight="1" s="14">
      <c r="B469" s="5" t="n"/>
      <c r="C469" s="5" t="n"/>
      <c r="E469" s="5">
        <f>IFERROR(__xludf.DUMMYFUNCTION("IFERROR(
 VLOOKUP(
   C469,
   FILTER(Vendors_Pricing!A:E, Vendors_Pricing!H:H=""Yes""),
   5,
   FALSE
 ),
 """"
)
"),"")</f>
        <v/>
      </c>
      <c r="F469" s="5">
        <f>D469 * E469</f>
        <v/>
      </c>
    </row>
    <row r="470" ht="15.75" customHeight="1" s="14">
      <c r="B470" s="5" t="n"/>
      <c r="C470" s="5" t="n"/>
      <c r="E470" s="5">
        <f>IFERROR(__xludf.DUMMYFUNCTION("IFERROR(
 VLOOKUP(
   C470,
   FILTER(Vendors_Pricing!A:E, Vendors_Pricing!H:H=""Yes""),
   5,
   FALSE
 ),
 """"
)
"),"")</f>
        <v/>
      </c>
      <c r="F470" s="5">
        <f>D470 * E470</f>
        <v/>
      </c>
    </row>
    <row r="471" ht="15.75" customHeight="1" s="14">
      <c r="B471" s="5" t="n"/>
      <c r="C471" s="5" t="n"/>
      <c r="E471" s="5">
        <f>IFERROR(__xludf.DUMMYFUNCTION("IFERROR(
 VLOOKUP(
   C471,
   FILTER(Vendors_Pricing!A:E, Vendors_Pricing!H:H=""Yes""),
   5,
   FALSE
 ),
 """"
)
"),"")</f>
        <v/>
      </c>
      <c r="F471" s="5">
        <f>D471 * E471</f>
        <v/>
      </c>
    </row>
    <row r="472" ht="15.75" customHeight="1" s="14">
      <c r="B472" s="5" t="n"/>
      <c r="C472" s="5" t="n"/>
      <c r="E472" s="5">
        <f>IFERROR(__xludf.DUMMYFUNCTION("IFERROR(
 VLOOKUP(
   C472,
   FILTER(Vendors_Pricing!A:E, Vendors_Pricing!H:H=""Yes""),
   5,
   FALSE
 ),
 """"
)
"),"")</f>
        <v/>
      </c>
      <c r="F472" s="5">
        <f>D472 * E472</f>
        <v/>
      </c>
    </row>
    <row r="473" ht="15.75" customHeight="1" s="14">
      <c r="B473" s="5" t="n"/>
      <c r="C473" s="5" t="n"/>
      <c r="E473" s="5">
        <f>IFERROR(__xludf.DUMMYFUNCTION("IFERROR(
 VLOOKUP(
   C473,
   FILTER(Vendors_Pricing!A:E, Vendors_Pricing!H:H=""Yes""),
   5,
   FALSE
 ),
 """"
)
"),"")</f>
        <v/>
      </c>
      <c r="F473" s="5">
        <f>D473 * E473</f>
        <v/>
      </c>
    </row>
    <row r="474" ht="15.75" customHeight="1" s="14">
      <c r="B474" s="5" t="n"/>
      <c r="C474" s="5" t="n"/>
      <c r="E474" s="5">
        <f>IFERROR(__xludf.DUMMYFUNCTION("IFERROR(
 VLOOKUP(
   C474,
   FILTER(Vendors_Pricing!A:E, Vendors_Pricing!H:H=""Yes""),
   5,
   FALSE
 ),
 """"
)
"),"")</f>
        <v/>
      </c>
      <c r="F474" s="5">
        <f>D474 * E474</f>
        <v/>
      </c>
    </row>
    <row r="475" ht="15.75" customHeight="1" s="14">
      <c r="B475" s="5" t="n"/>
      <c r="C475" s="5" t="n"/>
      <c r="E475" s="5">
        <f>IFERROR(__xludf.DUMMYFUNCTION("IFERROR(
 VLOOKUP(
   C475,
   FILTER(Vendors_Pricing!A:E, Vendors_Pricing!H:H=""Yes""),
   5,
   FALSE
 ),
 """"
)
"),"")</f>
        <v/>
      </c>
      <c r="F475" s="5">
        <f>D475 * E475</f>
        <v/>
      </c>
    </row>
    <row r="476" ht="15.75" customHeight="1" s="14">
      <c r="B476" s="5" t="n"/>
      <c r="C476" s="5" t="n"/>
      <c r="E476" s="5">
        <f>IFERROR(__xludf.DUMMYFUNCTION("IFERROR(
 VLOOKUP(
   C476,
   FILTER(Vendors_Pricing!A:E, Vendors_Pricing!H:H=""Yes""),
   5,
   FALSE
 ),
 """"
)
"),"")</f>
        <v/>
      </c>
      <c r="F476" s="5">
        <f>D476 * E476</f>
        <v/>
      </c>
    </row>
    <row r="477" ht="15.75" customHeight="1" s="14">
      <c r="B477" s="5" t="n"/>
      <c r="C477" s="5" t="n"/>
      <c r="E477" s="5">
        <f>IFERROR(__xludf.DUMMYFUNCTION("IFERROR(
 VLOOKUP(
   C477,
   FILTER(Vendors_Pricing!A:E, Vendors_Pricing!H:H=""Yes""),
   5,
   FALSE
 ),
 """"
)
"),"")</f>
        <v/>
      </c>
      <c r="F477" s="5">
        <f>D477 * E477</f>
        <v/>
      </c>
    </row>
    <row r="478" ht="15.75" customHeight="1" s="14">
      <c r="B478" s="5" t="n"/>
      <c r="C478" s="5" t="n"/>
      <c r="E478" s="5">
        <f>IFERROR(__xludf.DUMMYFUNCTION("IFERROR(
 VLOOKUP(
   C478,
   FILTER(Vendors_Pricing!A:E, Vendors_Pricing!H:H=""Yes""),
   5,
   FALSE
 ),
 """"
)
"),"")</f>
        <v/>
      </c>
      <c r="F478" s="5">
        <f>D478 * E478</f>
        <v/>
      </c>
    </row>
    <row r="479" ht="15.75" customHeight="1" s="14">
      <c r="B479" s="5" t="n"/>
      <c r="C479" s="5" t="n"/>
      <c r="E479" s="5">
        <f>IFERROR(__xludf.DUMMYFUNCTION("IFERROR(
 VLOOKUP(
   C479,
   FILTER(Vendors_Pricing!A:E, Vendors_Pricing!H:H=""Yes""),
   5,
   FALSE
 ),
 """"
)
"),"")</f>
        <v/>
      </c>
      <c r="F479" s="5">
        <f>D479 * E479</f>
        <v/>
      </c>
    </row>
    <row r="480" ht="15.75" customHeight="1" s="14">
      <c r="B480" s="5" t="n"/>
      <c r="C480" s="5" t="n"/>
      <c r="E480" s="5">
        <f>IFERROR(__xludf.DUMMYFUNCTION("IFERROR(
 VLOOKUP(
   C480,
   FILTER(Vendors_Pricing!A:E, Vendors_Pricing!H:H=""Yes""),
   5,
   FALSE
 ),
 """"
)
"),"")</f>
        <v/>
      </c>
      <c r="F480" s="5">
        <f>D480 * E480</f>
        <v/>
      </c>
    </row>
    <row r="481" ht="15.75" customHeight="1" s="14">
      <c r="B481" s="5" t="n"/>
      <c r="C481" s="5" t="n"/>
      <c r="E481" s="5">
        <f>IFERROR(__xludf.DUMMYFUNCTION("IFERROR(
 VLOOKUP(
   C481,
   FILTER(Vendors_Pricing!A:E, Vendors_Pricing!H:H=""Yes""),
   5,
   FALSE
 ),
 """"
)
"),"")</f>
        <v/>
      </c>
      <c r="F481" s="5">
        <f>D481 * E481</f>
        <v/>
      </c>
    </row>
    <row r="482" ht="15.75" customHeight="1" s="14">
      <c r="B482" s="5" t="n"/>
      <c r="C482" s="5" t="n"/>
      <c r="E482" s="5">
        <f>IFERROR(__xludf.DUMMYFUNCTION("IFERROR(
 VLOOKUP(
   C482,
   FILTER(Vendors_Pricing!A:E, Vendors_Pricing!H:H=""Yes""),
   5,
   FALSE
 ),
 """"
)
"),"")</f>
        <v/>
      </c>
      <c r="F482" s="5">
        <f>D482 * E482</f>
        <v/>
      </c>
    </row>
    <row r="483" ht="15.75" customHeight="1" s="14">
      <c r="B483" s="5" t="n"/>
      <c r="C483" s="5" t="n"/>
      <c r="E483" s="5">
        <f>IFERROR(__xludf.DUMMYFUNCTION("IFERROR(
 VLOOKUP(
   C483,
   FILTER(Vendors_Pricing!A:E, Vendors_Pricing!H:H=""Yes""),
   5,
   FALSE
 ),
 """"
)
"),"")</f>
        <v/>
      </c>
      <c r="F483" s="5">
        <f>D483 * E483</f>
        <v/>
      </c>
    </row>
    <row r="484" ht="15.75" customHeight="1" s="14">
      <c r="B484" s="5" t="n"/>
      <c r="C484" s="5" t="n"/>
      <c r="E484" s="5">
        <f>IFERROR(__xludf.DUMMYFUNCTION("IFERROR(
 VLOOKUP(
   C484,
   FILTER(Vendors_Pricing!A:E, Vendors_Pricing!H:H=""Yes""),
   5,
   FALSE
 ),
 """"
)
"),"")</f>
        <v/>
      </c>
      <c r="F484" s="5">
        <f>D484 * E484</f>
        <v/>
      </c>
    </row>
    <row r="485" ht="15.75" customHeight="1" s="14">
      <c r="B485" s="5" t="n"/>
      <c r="C485" s="5" t="n"/>
      <c r="E485" s="5">
        <f>IFERROR(__xludf.DUMMYFUNCTION("IFERROR(
 VLOOKUP(
   C485,
   FILTER(Vendors_Pricing!A:E, Vendors_Pricing!H:H=""Yes""),
   5,
   FALSE
 ),
 """"
)
"),"")</f>
        <v/>
      </c>
      <c r="F485" s="5">
        <f>D485 * E485</f>
        <v/>
      </c>
    </row>
    <row r="486" ht="15.75" customHeight="1" s="14">
      <c r="B486" s="5" t="n"/>
      <c r="C486" s="5" t="n"/>
      <c r="E486" s="5">
        <f>IFERROR(__xludf.DUMMYFUNCTION("IFERROR(
 VLOOKUP(
   C486,
   FILTER(Vendors_Pricing!A:E, Vendors_Pricing!H:H=""Yes""),
   5,
   FALSE
 ),
 """"
)
"),"")</f>
        <v/>
      </c>
      <c r="F486" s="5">
        <f>D486 * E486</f>
        <v/>
      </c>
    </row>
    <row r="487" ht="15.75" customHeight="1" s="14">
      <c r="B487" s="5" t="n"/>
      <c r="C487" s="5" t="n"/>
      <c r="E487" s="5">
        <f>IFERROR(__xludf.DUMMYFUNCTION("IFERROR(
 VLOOKUP(
   C487,
   FILTER(Vendors_Pricing!A:E, Vendors_Pricing!H:H=""Yes""),
   5,
   FALSE
 ),
 """"
)
"),"")</f>
        <v/>
      </c>
      <c r="F487" s="5">
        <f>D487 * E487</f>
        <v/>
      </c>
    </row>
    <row r="488" ht="15.75" customHeight="1" s="14">
      <c r="B488" s="5" t="n"/>
      <c r="C488" s="5" t="n"/>
      <c r="E488" s="5">
        <f>IFERROR(__xludf.DUMMYFUNCTION("IFERROR(
 VLOOKUP(
   C488,
   FILTER(Vendors_Pricing!A:E, Vendors_Pricing!H:H=""Yes""),
   5,
   FALSE
 ),
 """"
)
"),"")</f>
        <v/>
      </c>
      <c r="F488" s="5">
        <f>D488 * E488</f>
        <v/>
      </c>
    </row>
    <row r="489" ht="15.75" customHeight="1" s="14">
      <c r="B489" s="5" t="n"/>
      <c r="C489" s="5" t="n"/>
      <c r="E489" s="5">
        <f>IFERROR(__xludf.DUMMYFUNCTION("IFERROR(
 VLOOKUP(
   C489,
   FILTER(Vendors_Pricing!A:E, Vendors_Pricing!H:H=""Yes""),
   5,
   FALSE
 ),
 """"
)
"),"")</f>
        <v/>
      </c>
      <c r="F489" s="5">
        <f>D489 * E489</f>
        <v/>
      </c>
    </row>
    <row r="490" ht="15.75" customHeight="1" s="14">
      <c r="B490" s="5" t="n"/>
      <c r="C490" s="5" t="n"/>
      <c r="E490" s="5">
        <f>IFERROR(__xludf.DUMMYFUNCTION("IFERROR(
 VLOOKUP(
   C490,
   FILTER(Vendors_Pricing!A:E, Vendors_Pricing!H:H=""Yes""),
   5,
   FALSE
 ),
 """"
)
"),"")</f>
        <v/>
      </c>
      <c r="F490" s="5">
        <f>D490 * E490</f>
        <v/>
      </c>
    </row>
    <row r="491" ht="15.75" customHeight="1" s="14">
      <c r="B491" s="5" t="n"/>
      <c r="C491" s="5" t="n"/>
      <c r="E491" s="5">
        <f>IFERROR(__xludf.DUMMYFUNCTION("IFERROR(
 VLOOKUP(
   C491,
   FILTER(Vendors_Pricing!A:E, Vendors_Pricing!H:H=""Yes""),
   5,
   FALSE
 ),
 """"
)
"),"")</f>
        <v/>
      </c>
      <c r="F491" s="5">
        <f>D491 * E491</f>
        <v/>
      </c>
    </row>
    <row r="492" ht="15.75" customHeight="1" s="14">
      <c r="B492" s="5" t="n"/>
      <c r="C492" s="5" t="n"/>
      <c r="E492" s="5">
        <f>IFERROR(__xludf.DUMMYFUNCTION("IFERROR(
 VLOOKUP(
   C492,
   FILTER(Vendors_Pricing!A:E, Vendors_Pricing!H:H=""Yes""),
   5,
   FALSE
 ),
 """"
)
"),"")</f>
        <v/>
      </c>
      <c r="F492" s="5">
        <f>D492 * E492</f>
        <v/>
      </c>
    </row>
    <row r="493" ht="15.75" customHeight="1" s="14">
      <c r="B493" s="5" t="n"/>
      <c r="C493" s="5" t="n"/>
      <c r="E493" s="5">
        <f>IFERROR(__xludf.DUMMYFUNCTION("IFERROR(
 VLOOKUP(
   C493,
   FILTER(Vendors_Pricing!A:E, Vendors_Pricing!H:H=""Yes""),
   5,
   FALSE
 ),
 """"
)
"),"")</f>
        <v/>
      </c>
      <c r="F493" s="5">
        <f>D493 * E493</f>
        <v/>
      </c>
    </row>
    <row r="494" ht="15.75" customHeight="1" s="14">
      <c r="B494" s="5" t="n"/>
      <c r="C494" s="5" t="n"/>
      <c r="E494" s="5">
        <f>IFERROR(__xludf.DUMMYFUNCTION("IFERROR(
 VLOOKUP(
   C494,
   FILTER(Vendors_Pricing!A:E, Vendors_Pricing!H:H=""Yes""),
   5,
   FALSE
 ),
 """"
)
"),"")</f>
        <v/>
      </c>
      <c r="F494" s="5">
        <f>D494 * E494</f>
        <v/>
      </c>
    </row>
    <row r="495" ht="15.75" customHeight="1" s="14">
      <c r="B495" s="5" t="n"/>
      <c r="C495" s="5" t="n"/>
      <c r="E495" s="5">
        <f>IFERROR(__xludf.DUMMYFUNCTION("IFERROR(
 VLOOKUP(
   C495,
   FILTER(Vendors_Pricing!A:E, Vendors_Pricing!H:H=""Yes""),
   5,
   FALSE
 ),
 """"
)
"),"")</f>
        <v/>
      </c>
      <c r="F495" s="5">
        <f>D495 * E495</f>
        <v/>
      </c>
    </row>
    <row r="496" ht="15.75" customHeight="1" s="14">
      <c r="B496" s="5" t="n"/>
      <c r="C496" s="5" t="n"/>
      <c r="E496" s="5">
        <f>IFERROR(__xludf.DUMMYFUNCTION("IFERROR(
 VLOOKUP(
   C496,
   FILTER(Vendors_Pricing!A:E, Vendors_Pricing!H:H=""Yes""),
   5,
   FALSE
 ),
 """"
)
"),"")</f>
        <v/>
      </c>
      <c r="F496" s="5">
        <f>D496 * E496</f>
        <v/>
      </c>
    </row>
    <row r="497" ht="15.75" customHeight="1" s="14">
      <c r="B497" s="5" t="n"/>
      <c r="C497" s="5" t="n"/>
      <c r="E497" s="5">
        <f>IFERROR(__xludf.DUMMYFUNCTION("IFERROR(
 VLOOKUP(
   C497,
   FILTER(Vendors_Pricing!A:E, Vendors_Pricing!H:H=""Yes""),
   5,
   FALSE
 ),
 """"
)
"),"")</f>
        <v/>
      </c>
      <c r="F497" s="5">
        <f>D497 * E497</f>
        <v/>
      </c>
    </row>
    <row r="498" ht="15.75" customHeight="1" s="14">
      <c r="B498" s="5" t="n"/>
      <c r="C498" s="5" t="n"/>
      <c r="E498" s="5">
        <f>IFERROR(__xludf.DUMMYFUNCTION("IFERROR(
 VLOOKUP(
   C498,
   FILTER(Vendors_Pricing!A:E, Vendors_Pricing!H:H=""Yes""),
   5,
   FALSE
 ),
 """"
)
"),"")</f>
        <v/>
      </c>
      <c r="F498" s="5">
        <f>D498 * E498</f>
        <v/>
      </c>
    </row>
    <row r="499" ht="15.75" customHeight="1" s="14">
      <c r="B499" s="5" t="n"/>
      <c r="C499" s="5" t="n"/>
      <c r="E499" s="5">
        <f>IFERROR(__xludf.DUMMYFUNCTION("IFERROR(
 VLOOKUP(
   C499,
   FILTER(Vendors_Pricing!A:E, Vendors_Pricing!H:H=""Yes""),
   5,
   FALSE
 ),
 """"
)
"),"")</f>
        <v/>
      </c>
      <c r="F499" s="5">
        <f>D499 * E499</f>
        <v/>
      </c>
    </row>
    <row r="500" ht="15.75" customHeight="1" s="14">
      <c r="B500" s="5" t="n"/>
      <c r="C500" s="5" t="n"/>
      <c r="E500" s="5">
        <f>IFERROR(__xludf.DUMMYFUNCTION("IFERROR(
 VLOOKUP(
   C500,
   FILTER(Vendors_Pricing!A:E, Vendors_Pricing!H:H=""Yes""),
   5,
   FALSE
 ),
 """"
)
"),"")</f>
        <v/>
      </c>
      <c r="F500" s="5">
        <f>D500 * E500</f>
        <v/>
      </c>
    </row>
    <row r="501" ht="15.75" customHeight="1" s="14">
      <c r="B501" s="5" t="n"/>
      <c r="C501" s="5" t="n"/>
      <c r="E501" s="5">
        <f>IFERROR(__xludf.DUMMYFUNCTION("IFERROR(
 VLOOKUP(
   C501,
   FILTER(Vendors_Pricing!A:E, Vendors_Pricing!H:H=""Yes""),
   5,
   FALSE
 ),
 """"
)
"),"")</f>
        <v/>
      </c>
      <c r="F501" s="5">
        <f>D501 * E501</f>
        <v/>
      </c>
    </row>
    <row r="502" ht="15.75" customHeight="1" s="14">
      <c r="B502" s="5" t="n"/>
      <c r="C502" s="5" t="n"/>
      <c r="E502" s="5">
        <f>IFERROR(__xludf.DUMMYFUNCTION("IFERROR(
 VLOOKUP(
   C502,
   FILTER(Vendors_Pricing!A:E, Vendors_Pricing!H:H=""Yes""),
   5,
   FALSE
 ),
 """"
)
"),"")</f>
        <v/>
      </c>
      <c r="F502" s="5">
        <f>D502 * E502</f>
        <v/>
      </c>
    </row>
    <row r="503" ht="15.75" customHeight="1" s="14">
      <c r="B503" s="5" t="n"/>
      <c r="C503" s="5" t="n"/>
      <c r="E503" s="5">
        <f>IFERROR(__xludf.DUMMYFUNCTION("IFERROR(
 VLOOKUP(
   C503,
   FILTER(Vendors_Pricing!A:E, Vendors_Pricing!H:H=""Yes""),
   5,
   FALSE
 ),
 """"
)
"),"")</f>
        <v/>
      </c>
      <c r="F503" s="5">
        <f>D503 * E503</f>
        <v/>
      </c>
    </row>
    <row r="504" ht="15.75" customHeight="1" s="14">
      <c r="B504" s="5" t="n"/>
      <c r="C504" s="5" t="n"/>
      <c r="E504" s="5">
        <f>IFERROR(__xludf.DUMMYFUNCTION("IFERROR(
 VLOOKUP(
   C504,
   FILTER(Vendors_Pricing!A:E, Vendors_Pricing!H:H=""Yes""),
   5,
   FALSE
 ),
 """"
)
"),"")</f>
        <v/>
      </c>
      <c r="F504" s="5">
        <f>D504 * E504</f>
        <v/>
      </c>
    </row>
    <row r="505" ht="15.75" customHeight="1" s="14">
      <c r="B505" s="5" t="n"/>
      <c r="C505" s="5" t="n"/>
      <c r="E505" s="5">
        <f>IFERROR(__xludf.DUMMYFUNCTION("IFERROR(
 VLOOKUP(
   C505,
   FILTER(Vendors_Pricing!A:E, Vendors_Pricing!H:H=""Yes""),
   5,
   FALSE
 ),
 """"
)
"),"")</f>
        <v/>
      </c>
      <c r="F505" s="5">
        <f>D505 * E505</f>
        <v/>
      </c>
    </row>
    <row r="506" ht="15.75" customHeight="1" s="14">
      <c r="B506" s="5" t="n"/>
      <c r="C506" s="5" t="n"/>
      <c r="E506" s="5">
        <f>IFERROR(__xludf.DUMMYFUNCTION("IFERROR(
 VLOOKUP(
   C506,
   FILTER(Vendors_Pricing!A:E, Vendors_Pricing!H:H=""Yes""),
   5,
   FALSE
 ),
 """"
)
"),"")</f>
        <v/>
      </c>
      <c r="F506" s="5">
        <f>D506 * E506</f>
        <v/>
      </c>
    </row>
    <row r="507" ht="15.75" customHeight="1" s="14">
      <c r="B507" s="5" t="n"/>
      <c r="C507" s="5" t="n"/>
      <c r="E507" s="5">
        <f>IFERROR(__xludf.DUMMYFUNCTION("IFERROR(
 VLOOKUP(
   C507,
   FILTER(Vendors_Pricing!A:E, Vendors_Pricing!H:H=""Yes""),
   5,
   FALSE
 ),
 """"
)
"),"")</f>
        <v/>
      </c>
      <c r="F507" s="5">
        <f>D507 * E507</f>
        <v/>
      </c>
    </row>
    <row r="508" ht="15.75" customHeight="1" s="14">
      <c r="B508" s="5" t="n"/>
      <c r="C508" s="5" t="n"/>
      <c r="E508" s="5">
        <f>IFERROR(__xludf.DUMMYFUNCTION("IFERROR(
 VLOOKUP(
   C508,
   FILTER(Vendors_Pricing!A:E, Vendors_Pricing!H:H=""Yes""),
   5,
   FALSE
 ),
 """"
)
"),"")</f>
        <v/>
      </c>
      <c r="F508" s="5">
        <f>D508 * E508</f>
        <v/>
      </c>
    </row>
    <row r="509" ht="15.75" customHeight="1" s="14">
      <c r="B509" s="5" t="n"/>
      <c r="C509" s="5" t="n"/>
      <c r="E509" s="5">
        <f>IFERROR(__xludf.DUMMYFUNCTION("IFERROR(
 VLOOKUP(
   C509,
   FILTER(Vendors_Pricing!A:E, Vendors_Pricing!H:H=""Yes""),
   5,
   FALSE
 ),
 """"
)
"),"")</f>
        <v/>
      </c>
      <c r="F509" s="5">
        <f>D509 * E509</f>
        <v/>
      </c>
    </row>
    <row r="510" ht="15.75" customHeight="1" s="14">
      <c r="B510" s="5" t="n"/>
      <c r="C510" s="5" t="n"/>
      <c r="E510" s="5">
        <f>IFERROR(__xludf.DUMMYFUNCTION("IFERROR(
 VLOOKUP(
   C510,
   FILTER(Vendors_Pricing!A:E, Vendors_Pricing!H:H=""Yes""),
   5,
   FALSE
 ),
 """"
)
"),"")</f>
        <v/>
      </c>
      <c r="F510" s="5">
        <f>D510 * E510</f>
        <v/>
      </c>
    </row>
    <row r="511" ht="15.75" customHeight="1" s="14">
      <c r="B511" s="5" t="n"/>
      <c r="C511" s="5" t="n"/>
      <c r="E511" s="5">
        <f>IFERROR(__xludf.DUMMYFUNCTION("IFERROR(
 VLOOKUP(
   C511,
   FILTER(Vendors_Pricing!A:E, Vendors_Pricing!H:H=""Yes""),
   5,
   FALSE
 ),
 """"
)
"),"")</f>
        <v/>
      </c>
      <c r="F511" s="5">
        <f>D511 * E511</f>
        <v/>
      </c>
    </row>
    <row r="512" ht="15.75" customHeight="1" s="14">
      <c r="B512" s="5" t="n"/>
      <c r="C512" s="5" t="n"/>
      <c r="E512" s="5">
        <f>IFERROR(__xludf.DUMMYFUNCTION("IFERROR(
 VLOOKUP(
   C512,
   FILTER(Vendors_Pricing!A:E, Vendors_Pricing!H:H=""Yes""),
   5,
   FALSE
 ),
 """"
)
"),"")</f>
        <v/>
      </c>
      <c r="F512" s="5">
        <f>D512 * E512</f>
        <v/>
      </c>
    </row>
    <row r="513" ht="15.75" customHeight="1" s="14">
      <c r="B513" s="5" t="n"/>
      <c r="C513" s="5" t="n"/>
      <c r="E513" s="5">
        <f>IFERROR(__xludf.DUMMYFUNCTION("IFERROR(
 VLOOKUP(
   C513,
   FILTER(Vendors_Pricing!A:E, Vendors_Pricing!H:H=""Yes""),
   5,
   FALSE
 ),
 """"
)
"),"")</f>
        <v/>
      </c>
      <c r="F513" s="5">
        <f>D513 * E513</f>
        <v/>
      </c>
    </row>
    <row r="514" ht="15.75" customHeight="1" s="14">
      <c r="B514" s="5" t="n"/>
      <c r="C514" s="5" t="n"/>
      <c r="E514" s="5">
        <f>IFERROR(__xludf.DUMMYFUNCTION("IFERROR(
 VLOOKUP(
   C514,
   FILTER(Vendors_Pricing!A:E, Vendors_Pricing!H:H=""Yes""),
   5,
   FALSE
 ),
 """"
)
"),"")</f>
        <v/>
      </c>
      <c r="F514" s="5">
        <f>D514 * E514</f>
        <v/>
      </c>
    </row>
    <row r="515" ht="15.75" customHeight="1" s="14">
      <c r="B515" s="5" t="n"/>
      <c r="C515" s="5" t="n"/>
      <c r="E515" s="5">
        <f>IFERROR(__xludf.DUMMYFUNCTION("IFERROR(
 VLOOKUP(
   C515,
   FILTER(Vendors_Pricing!A:E, Vendors_Pricing!H:H=""Yes""),
   5,
   FALSE
 ),
 """"
)
"),"")</f>
        <v/>
      </c>
      <c r="F515" s="5">
        <f>D515 * E515</f>
        <v/>
      </c>
    </row>
    <row r="516" ht="15.75" customHeight="1" s="14">
      <c r="B516" s="5" t="n"/>
      <c r="C516" s="5" t="n"/>
      <c r="E516" s="5">
        <f>IFERROR(__xludf.DUMMYFUNCTION("IFERROR(
 VLOOKUP(
   C516,
   FILTER(Vendors_Pricing!A:E, Vendors_Pricing!H:H=""Yes""),
   5,
   FALSE
 ),
 """"
)
"),"")</f>
        <v/>
      </c>
      <c r="F516" s="5">
        <f>D516 * E516</f>
        <v/>
      </c>
    </row>
    <row r="517" ht="15.75" customHeight="1" s="14">
      <c r="B517" s="5" t="n"/>
      <c r="C517" s="5" t="n"/>
      <c r="E517" s="5">
        <f>IFERROR(__xludf.DUMMYFUNCTION("IFERROR(
 VLOOKUP(
   C517,
   FILTER(Vendors_Pricing!A:E, Vendors_Pricing!H:H=""Yes""),
   5,
   FALSE
 ),
 """"
)
"),"")</f>
        <v/>
      </c>
      <c r="F517" s="5">
        <f>D517 * E517</f>
        <v/>
      </c>
    </row>
    <row r="518" ht="15.75" customHeight="1" s="14">
      <c r="B518" s="5" t="n"/>
      <c r="C518" s="5" t="n"/>
      <c r="E518" s="5">
        <f>IFERROR(__xludf.DUMMYFUNCTION("IFERROR(
 VLOOKUP(
   C518,
   FILTER(Vendors_Pricing!A:E, Vendors_Pricing!H:H=""Yes""),
   5,
   FALSE
 ),
 """"
)
"),"")</f>
        <v/>
      </c>
      <c r="F518" s="5">
        <f>D518 * E518</f>
        <v/>
      </c>
    </row>
    <row r="519" ht="15.75" customHeight="1" s="14">
      <c r="B519" s="5" t="n"/>
      <c r="C519" s="5" t="n"/>
      <c r="E519" s="5">
        <f>IFERROR(__xludf.DUMMYFUNCTION("IFERROR(
 VLOOKUP(
   C519,
   FILTER(Vendors_Pricing!A:E, Vendors_Pricing!H:H=""Yes""),
   5,
   FALSE
 ),
 """"
)
"),"")</f>
        <v/>
      </c>
      <c r="F519" s="5">
        <f>D519 * E519</f>
        <v/>
      </c>
    </row>
    <row r="520" ht="15.75" customHeight="1" s="14">
      <c r="B520" s="5" t="n"/>
      <c r="C520" s="5" t="n"/>
      <c r="E520" s="5">
        <f>IFERROR(__xludf.DUMMYFUNCTION("IFERROR(
 VLOOKUP(
   C520,
   FILTER(Vendors_Pricing!A:E, Vendors_Pricing!H:H=""Yes""),
   5,
   FALSE
 ),
 """"
)
"),"")</f>
        <v/>
      </c>
      <c r="F520" s="5">
        <f>D520 * E520</f>
        <v/>
      </c>
    </row>
    <row r="521" ht="15.75" customHeight="1" s="14">
      <c r="B521" s="5" t="n"/>
      <c r="C521" s="5" t="n"/>
      <c r="E521" s="5">
        <f>IFERROR(__xludf.DUMMYFUNCTION("IFERROR(
 VLOOKUP(
   C521,
   FILTER(Vendors_Pricing!A:E, Vendors_Pricing!H:H=""Yes""),
   5,
   FALSE
 ),
 """"
)
"),"")</f>
        <v/>
      </c>
      <c r="F521" s="5">
        <f>D521 * E521</f>
        <v/>
      </c>
    </row>
    <row r="522" ht="15.75" customHeight="1" s="14">
      <c r="B522" s="5" t="n"/>
      <c r="C522" s="5" t="n"/>
      <c r="E522" s="5">
        <f>IFERROR(__xludf.DUMMYFUNCTION("IFERROR(
 VLOOKUP(
   C522,
   FILTER(Vendors_Pricing!A:E, Vendors_Pricing!H:H=""Yes""),
   5,
   FALSE
 ),
 """"
)
"),"")</f>
        <v/>
      </c>
      <c r="F522" s="5">
        <f>D522 * E522</f>
        <v/>
      </c>
    </row>
    <row r="523" ht="15.75" customHeight="1" s="14">
      <c r="B523" s="5" t="n"/>
      <c r="C523" s="5" t="n"/>
      <c r="E523" s="5">
        <f>IFERROR(__xludf.DUMMYFUNCTION("IFERROR(
 VLOOKUP(
   C523,
   FILTER(Vendors_Pricing!A:E, Vendors_Pricing!H:H=""Yes""),
   5,
   FALSE
 ),
 """"
)
"),"")</f>
        <v/>
      </c>
      <c r="F523" s="5">
        <f>D523 * E523</f>
        <v/>
      </c>
    </row>
    <row r="524" ht="15.75" customHeight="1" s="14">
      <c r="B524" s="5" t="n"/>
      <c r="C524" s="5" t="n"/>
      <c r="E524" s="5">
        <f>IFERROR(__xludf.DUMMYFUNCTION("IFERROR(
 VLOOKUP(
   C524,
   FILTER(Vendors_Pricing!A:E, Vendors_Pricing!H:H=""Yes""),
   5,
   FALSE
 ),
 """"
)
"),"")</f>
        <v/>
      </c>
      <c r="F524" s="5">
        <f>D524 * E524</f>
        <v/>
      </c>
    </row>
    <row r="525" ht="15.75" customHeight="1" s="14">
      <c r="B525" s="5" t="n"/>
      <c r="C525" s="5" t="n"/>
      <c r="E525" s="5">
        <f>IFERROR(__xludf.DUMMYFUNCTION("IFERROR(
 VLOOKUP(
   C525,
   FILTER(Vendors_Pricing!A:E, Vendors_Pricing!H:H=""Yes""),
   5,
   FALSE
 ),
 """"
)
"),"")</f>
        <v/>
      </c>
      <c r="F525" s="5">
        <f>D525 * E525</f>
        <v/>
      </c>
    </row>
    <row r="526" ht="15.75" customHeight="1" s="14">
      <c r="B526" s="5" t="n"/>
      <c r="C526" s="5" t="n"/>
      <c r="E526" s="5">
        <f>IFERROR(__xludf.DUMMYFUNCTION("IFERROR(
 VLOOKUP(
   C526,
   FILTER(Vendors_Pricing!A:E, Vendors_Pricing!H:H=""Yes""),
   5,
   FALSE
 ),
 """"
)
"),"")</f>
        <v/>
      </c>
      <c r="F526" s="5">
        <f>D526 * E526</f>
        <v/>
      </c>
    </row>
    <row r="527" ht="15.75" customHeight="1" s="14">
      <c r="B527" s="5" t="n"/>
      <c r="C527" s="5" t="n"/>
      <c r="E527" s="5">
        <f>IFERROR(__xludf.DUMMYFUNCTION("IFERROR(
 VLOOKUP(
   C527,
   FILTER(Vendors_Pricing!A:E, Vendors_Pricing!H:H=""Yes""),
   5,
   FALSE
 ),
 """"
)
"),"")</f>
        <v/>
      </c>
      <c r="F527" s="5">
        <f>D527 * E527</f>
        <v/>
      </c>
    </row>
    <row r="528" ht="15.75" customHeight="1" s="14">
      <c r="B528" s="5" t="n"/>
      <c r="C528" s="5" t="n"/>
      <c r="E528" s="5">
        <f>IFERROR(__xludf.DUMMYFUNCTION("IFERROR(
 VLOOKUP(
   C528,
   FILTER(Vendors_Pricing!A:E, Vendors_Pricing!H:H=""Yes""),
   5,
   FALSE
 ),
 """"
)
"),"")</f>
        <v/>
      </c>
      <c r="F528" s="5">
        <f>D528 * E528</f>
        <v/>
      </c>
    </row>
    <row r="529" ht="15.75" customHeight="1" s="14">
      <c r="B529" s="5" t="n"/>
      <c r="C529" s="5" t="n"/>
      <c r="E529" s="5">
        <f>IFERROR(__xludf.DUMMYFUNCTION("IFERROR(
 VLOOKUP(
   C529,
   FILTER(Vendors_Pricing!A:E, Vendors_Pricing!H:H=""Yes""),
   5,
   FALSE
 ),
 """"
)
"),"")</f>
        <v/>
      </c>
      <c r="F529" s="5">
        <f>D529 * E529</f>
        <v/>
      </c>
    </row>
    <row r="530" ht="15.75" customHeight="1" s="14">
      <c r="B530" s="5" t="n"/>
      <c r="C530" s="5" t="n"/>
      <c r="E530" s="5">
        <f>IFERROR(__xludf.DUMMYFUNCTION("IFERROR(
 VLOOKUP(
   C530,
   FILTER(Vendors_Pricing!A:E, Vendors_Pricing!H:H=""Yes""),
   5,
   FALSE
 ),
 """"
)
"),"")</f>
        <v/>
      </c>
      <c r="F530" s="5">
        <f>D530 * E530</f>
        <v/>
      </c>
    </row>
    <row r="531" ht="15.75" customHeight="1" s="14">
      <c r="B531" s="5" t="n"/>
      <c r="C531" s="5" t="n"/>
      <c r="E531" s="5">
        <f>IFERROR(__xludf.DUMMYFUNCTION("IFERROR(
 VLOOKUP(
   C531,
   FILTER(Vendors_Pricing!A:E, Vendors_Pricing!H:H=""Yes""),
   5,
   FALSE
 ),
 """"
)
"),"")</f>
        <v/>
      </c>
      <c r="F531" s="5">
        <f>D531 * E531</f>
        <v/>
      </c>
    </row>
    <row r="532" ht="15.75" customHeight="1" s="14">
      <c r="B532" s="5" t="n"/>
      <c r="C532" s="5" t="n"/>
      <c r="E532" s="5">
        <f>IFERROR(__xludf.DUMMYFUNCTION("IFERROR(
 VLOOKUP(
   C532,
   FILTER(Vendors_Pricing!A:E, Vendors_Pricing!H:H=""Yes""),
   5,
   FALSE
 ),
 """"
)
"),"")</f>
        <v/>
      </c>
      <c r="F532" s="5">
        <f>D532 * E532</f>
        <v/>
      </c>
    </row>
    <row r="533" ht="15.75" customHeight="1" s="14">
      <c r="B533" s="5" t="n"/>
      <c r="C533" s="5" t="n"/>
      <c r="E533" s="5">
        <f>IFERROR(__xludf.DUMMYFUNCTION("IFERROR(
 VLOOKUP(
   C533,
   FILTER(Vendors_Pricing!A:E, Vendors_Pricing!H:H=""Yes""),
   5,
   FALSE
 ),
 """"
)
"),"")</f>
        <v/>
      </c>
      <c r="F533" s="5">
        <f>D533 * E533</f>
        <v/>
      </c>
    </row>
    <row r="534" ht="15.75" customHeight="1" s="14">
      <c r="B534" s="5" t="n"/>
      <c r="C534" s="5" t="n"/>
      <c r="E534" s="5">
        <f>IFERROR(__xludf.DUMMYFUNCTION("IFERROR(
 VLOOKUP(
   C534,
   FILTER(Vendors_Pricing!A:E, Vendors_Pricing!H:H=""Yes""),
   5,
   FALSE
 ),
 """"
)
"),"")</f>
        <v/>
      </c>
      <c r="F534" s="5">
        <f>D534 * E534</f>
        <v/>
      </c>
    </row>
    <row r="535" ht="15.75" customHeight="1" s="14">
      <c r="B535" s="5" t="n"/>
      <c r="C535" s="5" t="n"/>
      <c r="E535" s="5">
        <f>IFERROR(__xludf.DUMMYFUNCTION("IFERROR(
 VLOOKUP(
   C535,
   FILTER(Vendors_Pricing!A:E, Vendors_Pricing!H:H=""Yes""),
   5,
   FALSE
 ),
 """"
)
"),"")</f>
        <v/>
      </c>
      <c r="F535" s="5">
        <f>D535 * E535</f>
        <v/>
      </c>
    </row>
    <row r="536" ht="15.75" customHeight="1" s="14">
      <c r="B536" s="5" t="n"/>
      <c r="C536" s="5" t="n"/>
      <c r="E536" s="5">
        <f>IFERROR(__xludf.DUMMYFUNCTION("IFERROR(
 VLOOKUP(
   C536,
   FILTER(Vendors_Pricing!A:E, Vendors_Pricing!H:H=""Yes""),
   5,
   FALSE
 ),
 """"
)
"),"")</f>
        <v/>
      </c>
      <c r="F536" s="5">
        <f>D536 * E536</f>
        <v/>
      </c>
    </row>
    <row r="537" ht="15.75" customHeight="1" s="14">
      <c r="B537" s="5" t="n"/>
      <c r="C537" s="5" t="n"/>
      <c r="E537" s="5">
        <f>IFERROR(__xludf.DUMMYFUNCTION("IFERROR(
 VLOOKUP(
   C537,
   FILTER(Vendors_Pricing!A:E, Vendors_Pricing!H:H=""Yes""),
   5,
   FALSE
 ),
 """"
)
"),"")</f>
        <v/>
      </c>
    </row>
    <row r="538" ht="15.75" customHeight="1" s="14">
      <c r="B538" s="5" t="n"/>
      <c r="C538" s="5" t="n"/>
      <c r="E538" s="5">
        <f>IFERROR(__xludf.DUMMYFUNCTION("IFERROR(
 VLOOKUP(
   C538,
   FILTER(Vendors_Pricing!A:E, Vendors_Pricing!H:H=""Yes""),
   5,
   FALSE
 ),
 """"
)
"),"")</f>
        <v/>
      </c>
    </row>
    <row r="539" ht="15.75" customHeight="1" s="14">
      <c r="B539" s="5" t="n"/>
      <c r="C539" s="5" t="n"/>
      <c r="E539" s="5">
        <f>IFERROR(__xludf.DUMMYFUNCTION("IFERROR(
 VLOOKUP(
   C539,
   FILTER(Vendors_Pricing!A:E, Vendors_Pricing!H:H=""Yes""),
   5,
   FALSE
 ),
 """"
)
"),"")</f>
        <v/>
      </c>
    </row>
    <row r="540" ht="15.75" customHeight="1" s="14">
      <c r="B540" s="5" t="n"/>
      <c r="C540" s="5" t="n"/>
      <c r="E540" s="5">
        <f>IFERROR(__xludf.DUMMYFUNCTION("IFERROR(
 VLOOKUP(
   C540,
   FILTER(Vendors_Pricing!A:E, Vendors_Pricing!H:H=""Yes""),
   5,
   FALSE
 ),
 """"
)
"),"")</f>
        <v/>
      </c>
    </row>
    <row r="541" ht="15.75" customHeight="1" s="14">
      <c r="B541" s="5" t="n"/>
      <c r="C541" s="5" t="n"/>
      <c r="E541" s="5">
        <f>IFERROR(__xludf.DUMMYFUNCTION("IFERROR(
 VLOOKUP(
   C541,
   FILTER(Vendors_Pricing!A:E, Vendors_Pricing!H:H=""Yes""),
   5,
   FALSE
 ),
 """"
)
"),"")</f>
        <v/>
      </c>
    </row>
    <row r="542" ht="15.75" customHeight="1" s="14">
      <c r="B542" s="5" t="n"/>
      <c r="C542" s="5" t="n"/>
      <c r="E542" s="5">
        <f>IFERROR(__xludf.DUMMYFUNCTION("IFERROR(
 VLOOKUP(
   C542,
   FILTER(Vendors_Pricing!A:E, Vendors_Pricing!H:H=""Yes""),
   5,
   FALSE
 ),
 """"
)
"),"")</f>
        <v/>
      </c>
    </row>
    <row r="543" ht="15.75" customHeight="1" s="14">
      <c r="B543" s="5" t="n"/>
      <c r="C543" s="5" t="n"/>
      <c r="E543" s="5">
        <f>IFERROR(__xludf.DUMMYFUNCTION("IFERROR(
 VLOOKUP(
   C543,
   FILTER(Vendors_Pricing!A:E, Vendors_Pricing!H:H=""Yes""),
   5,
   FALSE
 ),
 """"
)
"),"")</f>
        <v/>
      </c>
    </row>
    <row r="544" ht="15.75" customHeight="1" s="14">
      <c r="B544" s="5" t="n"/>
      <c r="C544" s="5" t="n"/>
      <c r="E544" s="5">
        <f>IFERROR(__xludf.DUMMYFUNCTION("IFERROR(
 VLOOKUP(
   C544,
   FILTER(Vendors_Pricing!A:E, Vendors_Pricing!H:H=""Yes""),
   5,
   FALSE
 ),
 """"
)
"),"")</f>
        <v/>
      </c>
    </row>
    <row r="545" ht="15.75" customHeight="1" s="14">
      <c r="B545" s="5" t="n"/>
      <c r="C545" s="5" t="n"/>
      <c r="E545" s="5">
        <f>IFERROR(__xludf.DUMMYFUNCTION("IFERROR(
 VLOOKUP(
   C545,
   FILTER(Vendors_Pricing!A:E, Vendors_Pricing!H:H=""Yes""),
   5,
   FALSE
 ),
 """"
)
"),"")</f>
        <v/>
      </c>
    </row>
    <row r="546" ht="15.75" customHeight="1" s="14">
      <c r="B546" s="5" t="n"/>
      <c r="C546" s="5" t="n"/>
      <c r="E546" s="5">
        <f>IFERROR(__xludf.DUMMYFUNCTION("IFERROR(
 VLOOKUP(
   C546,
   FILTER(Vendors_Pricing!A:E, Vendors_Pricing!H:H=""Yes""),
   5,
   FALSE
 ),
 """"
)
"),"")</f>
        <v/>
      </c>
    </row>
    <row r="547" ht="15.75" customHeight="1" s="14">
      <c r="B547" s="5" t="n"/>
      <c r="C547" s="5" t="n"/>
      <c r="E547" s="5">
        <f>IFERROR(__xludf.DUMMYFUNCTION("IFERROR(
 VLOOKUP(
   C547,
   FILTER(Vendors_Pricing!A:E, Vendors_Pricing!H:H=""Yes""),
   5,
   FALSE
 ),
 """"
)
"),"")</f>
        <v/>
      </c>
    </row>
    <row r="548" ht="15.75" customHeight="1" s="14">
      <c r="B548" s="5" t="n"/>
      <c r="C548" s="5" t="n"/>
      <c r="E548" s="5">
        <f>IFERROR(__xludf.DUMMYFUNCTION("IFERROR(
 VLOOKUP(
   C548,
   FILTER(Vendors_Pricing!A:E, Vendors_Pricing!H:H=""Yes""),
   5,
   FALSE
 ),
 """"
)
"),"")</f>
        <v/>
      </c>
    </row>
    <row r="549" ht="15.75" customHeight="1" s="14">
      <c r="B549" s="5" t="n"/>
      <c r="C549" s="5" t="n"/>
      <c r="E549" s="5">
        <f>IFERROR(__xludf.DUMMYFUNCTION("IFERROR(
 VLOOKUP(
   C549,
   FILTER(Vendors_Pricing!A:E, Vendors_Pricing!H:H=""Yes""),
   5,
   FALSE
 ),
 """"
)
"),"")</f>
        <v/>
      </c>
    </row>
    <row r="550" ht="15.75" customHeight="1" s="14">
      <c r="B550" s="5" t="n"/>
      <c r="C550" s="5" t="n"/>
      <c r="E550" s="5">
        <f>IFERROR(__xludf.DUMMYFUNCTION("IFERROR(
 VLOOKUP(
   C550,
   FILTER(Vendors_Pricing!A:E, Vendors_Pricing!H:H=""Yes""),
   5,
   FALSE
 ),
 """"
)
"),"")</f>
        <v/>
      </c>
    </row>
    <row r="551" ht="15.75" customHeight="1" s="14">
      <c r="B551" s="5" t="n"/>
      <c r="C551" s="5" t="n"/>
      <c r="E551" s="5">
        <f>IFERROR(__xludf.DUMMYFUNCTION("IFERROR(
 VLOOKUP(
   C551,
   FILTER(Vendors_Pricing!A:E, Vendors_Pricing!H:H=""Yes""),
   5,
   FALSE
 ),
 """"
)
"),"")</f>
        <v/>
      </c>
    </row>
    <row r="552" ht="15.75" customHeight="1" s="14">
      <c r="B552" s="5" t="n"/>
      <c r="C552" s="5" t="n"/>
      <c r="E552" s="5">
        <f>IFERROR(__xludf.DUMMYFUNCTION("IFERROR(
 VLOOKUP(
   C552,
   FILTER(Vendors_Pricing!A:E, Vendors_Pricing!H:H=""Yes""),
   5,
   FALSE
 ),
 """"
)
"),"")</f>
        <v/>
      </c>
    </row>
    <row r="553" ht="15.75" customHeight="1" s="14">
      <c r="B553" s="5" t="n"/>
      <c r="C553" s="5" t="n"/>
      <c r="E553" s="5">
        <f>IFERROR(__xludf.DUMMYFUNCTION("IFERROR(
 VLOOKUP(
   C553,
   FILTER(Vendors_Pricing!A:E, Vendors_Pricing!H:H=""Yes""),
   5,
   FALSE
 ),
 """"
)
"),"")</f>
        <v/>
      </c>
    </row>
    <row r="554" ht="15.75" customHeight="1" s="14">
      <c r="B554" s="5" t="n"/>
      <c r="C554" s="5" t="n"/>
      <c r="E554" s="5">
        <f>IFERROR(__xludf.DUMMYFUNCTION("IFERROR(
 VLOOKUP(
   C554,
   FILTER(Vendors_Pricing!A:E, Vendors_Pricing!H:H=""Yes""),
   5,
   FALSE
 ),
 """"
)
"),"")</f>
        <v/>
      </c>
    </row>
    <row r="555" ht="15.75" customHeight="1" s="14">
      <c r="B555" s="5" t="n"/>
      <c r="C555" s="5" t="n"/>
      <c r="E555" s="5">
        <f>IFERROR(__xludf.DUMMYFUNCTION("IFERROR(
 VLOOKUP(
   C555,
   FILTER(Vendors_Pricing!A:E, Vendors_Pricing!H:H=""Yes""),
   5,
   FALSE
 ),
 """"
)
"),"")</f>
        <v/>
      </c>
    </row>
    <row r="556" ht="15.75" customHeight="1" s="14">
      <c r="B556" s="5" t="n"/>
      <c r="C556" s="5" t="n"/>
    </row>
    <row r="557" ht="15.75" customHeight="1" s="14">
      <c r="B557" s="5" t="n"/>
      <c r="C557" s="5" t="n"/>
    </row>
    <row r="558" ht="15.75" customHeight="1" s="14">
      <c r="B558" s="5" t="n"/>
      <c r="C558" s="5" t="n"/>
    </row>
    <row r="559" ht="15.75" customHeight="1" s="14">
      <c r="B559" s="5" t="n"/>
      <c r="C559" s="5" t="n"/>
    </row>
    <row r="560" ht="15.75" customHeight="1" s="14">
      <c r="B560" s="5" t="n"/>
      <c r="C560" s="5" t="n"/>
    </row>
    <row r="561" ht="15.75" customHeight="1" s="14">
      <c r="B561" s="5" t="n"/>
      <c r="C561" s="5" t="n"/>
    </row>
    <row r="562" ht="15.75" customHeight="1" s="14">
      <c r="B562" s="5" t="n"/>
      <c r="C562" s="5" t="n"/>
    </row>
    <row r="563" ht="15.75" customHeight="1" s="14">
      <c r="B563" s="5" t="n"/>
      <c r="C563" s="5" t="n"/>
    </row>
    <row r="564" ht="15.75" customHeight="1" s="14">
      <c r="B564" s="5" t="n"/>
      <c r="C564" s="5" t="n"/>
    </row>
    <row r="565" ht="15.75" customHeight="1" s="14">
      <c r="B565" s="5" t="n"/>
      <c r="C565" s="5" t="n"/>
    </row>
    <row r="566" ht="15.75" customHeight="1" s="14">
      <c r="B566" s="5" t="n"/>
      <c r="C566" s="5" t="n"/>
    </row>
    <row r="567" ht="15.75" customHeight="1" s="14">
      <c r="B567" s="5" t="n"/>
      <c r="C567" s="5" t="n"/>
    </row>
    <row r="568" ht="15.75" customHeight="1" s="14">
      <c r="B568" s="5" t="n"/>
      <c r="C568" s="5" t="n"/>
    </row>
    <row r="569" ht="15.75" customHeight="1" s="14">
      <c r="B569" s="5" t="n"/>
      <c r="C569" s="5" t="n"/>
    </row>
    <row r="570" ht="15.75" customHeight="1" s="14">
      <c r="B570" s="5" t="n"/>
      <c r="C570" s="5" t="n"/>
    </row>
    <row r="571" ht="15.75" customHeight="1" s="14">
      <c r="B571" s="5" t="n"/>
      <c r="C571" s="5" t="n"/>
    </row>
    <row r="572" ht="15.75" customHeight="1" s="14">
      <c r="B572" s="5" t="n"/>
      <c r="C572" s="5" t="n"/>
    </row>
    <row r="573" ht="15.75" customHeight="1" s="14">
      <c r="B573" s="5" t="n"/>
      <c r="C573" s="5" t="n"/>
    </row>
    <row r="574" ht="15.75" customHeight="1" s="14">
      <c r="B574" s="5" t="n"/>
      <c r="C574" s="5" t="n"/>
    </row>
    <row r="575" ht="15.75" customHeight="1" s="14">
      <c r="B575" s="5" t="n"/>
      <c r="C575" s="5" t="n"/>
    </row>
    <row r="576" ht="15.75" customHeight="1" s="14">
      <c r="B576" s="5" t="n"/>
      <c r="C576" s="5" t="n"/>
    </row>
    <row r="577" ht="15.75" customHeight="1" s="14">
      <c r="B577" s="5" t="n"/>
      <c r="C577" s="5" t="n"/>
    </row>
    <row r="578" ht="15.75" customHeight="1" s="14">
      <c r="B578" s="5" t="n"/>
      <c r="C578" s="5" t="n"/>
    </row>
    <row r="579" ht="15.75" customHeight="1" s="14">
      <c r="B579" s="5" t="n"/>
      <c r="C579" s="5" t="n"/>
    </row>
    <row r="580" ht="15.75" customHeight="1" s="14">
      <c r="B580" s="5" t="n"/>
      <c r="C580" s="5" t="n"/>
    </row>
    <row r="581" ht="15.75" customHeight="1" s="14">
      <c r="B581" s="5" t="n"/>
      <c r="C581" s="5" t="n"/>
    </row>
    <row r="582" ht="15.75" customHeight="1" s="14">
      <c r="B582" s="5" t="n"/>
      <c r="C582" s="5" t="n"/>
    </row>
    <row r="583" ht="15.75" customHeight="1" s="14">
      <c r="B583" s="5" t="n"/>
      <c r="C583" s="5" t="n"/>
    </row>
    <row r="584" ht="15.75" customHeight="1" s="14">
      <c r="B584" s="5" t="n"/>
      <c r="C584" s="5" t="n"/>
    </row>
    <row r="585" ht="15.75" customHeight="1" s="14">
      <c r="B585" s="5" t="n"/>
      <c r="C585" s="5" t="n"/>
    </row>
    <row r="586" ht="15.75" customHeight="1" s="14">
      <c r="B586" s="5" t="n"/>
      <c r="C586" s="5" t="n"/>
    </row>
    <row r="587" ht="15.75" customHeight="1" s="14">
      <c r="B587" s="5" t="n"/>
      <c r="C587" s="5" t="n"/>
    </row>
    <row r="588" ht="15.75" customHeight="1" s="14">
      <c r="B588" s="5" t="n"/>
      <c r="C588" s="5" t="n"/>
    </row>
    <row r="589" ht="15.75" customHeight="1" s="14">
      <c r="B589" s="5" t="n"/>
      <c r="C589" s="5" t="n"/>
    </row>
    <row r="590" ht="15.75" customHeight="1" s="14">
      <c r="B590" s="5" t="n"/>
      <c r="C590" s="5" t="n"/>
    </row>
    <row r="591" ht="15.75" customHeight="1" s="14">
      <c r="B591" s="5" t="n"/>
      <c r="C591" s="5" t="n"/>
    </row>
    <row r="592" ht="15.75" customHeight="1" s="14">
      <c r="B592" s="5" t="n"/>
      <c r="C592" s="5" t="n"/>
    </row>
    <row r="593" ht="15.75" customHeight="1" s="14">
      <c r="B593" s="5" t="n"/>
      <c r="C593" s="5" t="n"/>
    </row>
    <row r="594" ht="15.75" customHeight="1" s="14">
      <c r="B594" s="5" t="n"/>
      <c r="C594" s="5" t="n"/>
    </row>
    <row r="595" ht="15.75" customHeight="1" s="14">
      <c r="B595" s="5" t="n"/>
      <c r="C595" s="5" t="n"/>
    </row>
    <row r="596" ht="15.75" customHeight="1" s="14">
      <c r="B596" s="5" t="n"/>
      <c r="C596" s="5" t="n"/>
    </row>
    <row r="597" ht="15.75" customHeight="1" s="14">
      <c r="B597" s="5" t="n"/>
      <c r="C597" s="5" t="n"/>
    </row>
    <row r="598" ht="15.75" customHeight="1" s="14">
      <c r="B598" s="5" t="n"/>
      <c r="C598" s="5" t="n"/>
    </row>
    <row r="599" ht="15.75" customHeight="1" s="14">
      <c r="B599" s="5" t="n"/>
      <c r="C599" s="5" t="n"/>
    </row>
    <row r="600" ht="15.75" customHeight="1" s="14">
      <c r="B600" s="5" t="n"/>
      <c r="C600" s="5" t="n"/>
    </row>
    <row r="601" ht="15.75" customHeight="1" s="14">
      <c r="B601" s="5" t="n"/>
      <c r="C601" s="5" t="n"/>
    </row>
    <row r="602" ht="15.75" customHeight="1" s="14">
      <c r="B602" s="5" t="n"/>
      <c r="C602" s="5" t="n"/>
    </row>
    <row r="603" ht="15.75" customHeight="1" s="14">
      <c r="B603" s="5" t="n"/>
      <c r="C603" s="5" t="n"/>
    </row>
    <row r="604" ht="15.75" customHeight="1" s="14">
      <c r="B604" s="5" t="n"/>
      <c r="C604" s="5" t="n"/>
    </row>
    <row r="605" ht="15.75" customHeight="1" s="14">
      <c r="B605" s="5" t="n"/>
      <c r="C605" s="5" t="n"/>
    </row>
    <row r="606" ht="15.75" customHeight="1" s="14">
      <c r="B606" s="5" t="n"/>
      <c r="C606" s="5" t="n"/>
    </row>
    <row r="607" ht="15.75" customHeight="1" s="14">
      <c r="B607" s="5" t="n"/>
      <c r="C607" s="5" t="n"/>
    </row>
    <row r="608" ht="15.75" customHeight="1" s="14">
      <c r="B608" s="5" t="n"/>
      <c r="C608" s="5" t="n"/>
    </row>
    <row r="609" ht="15.75" customHeight="1" s="14">
      <c r="B609" s="5" t="n"/>
      <c r="C609" s="5" t="n"/>
    </row>
    <row r="610" ht="15.75" customHeight="1" s="14">
      <c r="B610" s="5" t="n"/>
      <c r="C610" s="5" t="n"/>
    </row>
    <row r="611" ht="15.75" customHeight="1" s="14">
      <c r="B611" s="5" t="n"/>
      <c r="C611" s="5" t="n"/>
    </row>
    <row r="612" ht="15.75" customHeight="1" s="14">
      <c r="B612" s="5" t="n"/>
      <c r="C612" s="5" t="n"/>
    </row>
    <row r="613" ht="15.75" customHeight="1" s="14">
      <c r="B613" s="5" t="n"/>
      <c r="C613" s="5" t="n"/>
    </row>
    <row r="614" ht="15.75" customHeight="1" s="14">
      <c r="B614" s="5" t="n"/>
      <c r="C614" s="5" t="n"/>
    </row>
    <row r="615" ht="15.75" customHeight="1" s="14">
      <c r="B615" s="5" t="n"/>
      <c r="C615" s="5" t="n"/>
    </row>
    <row r="616" ht="15.75" customHeight="1" s="14">
      <c r="B616" s="5" t="n"/>
      <c r="C616" s="5" t="n"/>
    </row>
    <row r="617" ht="15.75" customHeight="1" s="14">
      <c r="B617" s="5" t="n"/>
      <c r="C617" s="5" t="n"/>
    </row>
    <row r="618" ht="15.75" customHeight="1" s="14">
      <c r="B618" s="5" t="n"/>
      <c r="C618" s="5" t="n"/>
    </row>
    <row r="619" ht="15.75" customHeight="1" s="14">
      <c r="B619" s="5" t="n"/>
      <c r="C619" s="5" t="n"/>
    </row>
    <row r="620" ht="15.75" customHeight="1" s="14">
      <c r="B620" s="5" t="n"/>
      <c r="C620" s="5" t="n"/>
    </row>
    <row r="621" ht="15.75" customHeight="1" s="14">
      <c r="B621" s="5" t="n"/>
      <c r="C621" s="5" t="n"/>
    </row>
    <row r="622" ht="15.75" customHeight="1" s="14">
      <c r="B622" s="5" t="n"/>
      <c r="C622" s="5" t="n"/>
    </row>
    <row r="623" ht="15.75" customHeight="1" s="14">
      <c r="B623" s="5" t="n"/>
      <c r="C623" s="5" t="n"/>
    </row>
    <row r="624" ht="15.75" customHeight="1" s="14">
      <c r="B624" s="5" t="n"/>
      <c r="C624" s="5" t="n"/>
    </row>
    <row r="625" ht="15.75" customHeight="1" s="14">
      <c r="B625" s="5" t="n"/>
      <c r="C625" s="5" t="n"/>
    </row>
    <row r="626" ht="15.75" customHeight="1" s="14">
      <c r="B626" s="5" t="n"/>
      <c r="C626" s="5" t="n"/>
    </row>
    <row r="627" ht="15.75" customHeight="1" s="14">
      <c r="B627" s="5" t="n"/>
      <c r="C627" s="5" t="n"/>
    </row>
    <row r="628" ht="15.75" customHeight="1" s="14">
      <c r="B628" s="5" t="n"/>
      <c r="C628" s="5" t="n"/>
    </row>
    <row r="629" ht="15.75" customHeight="1" s="14">
      <c r="B629" s="5" t="n"/>
      <c r="C629" s="5" t="n"/>
    </row>
    <row r="630" ht="15.75" customHeight="1" s="14">
      <c r="B630" s="5" t="n"/>
      <c r="C630" s="5" t="n"/>
    </row>
    <row r="631" ht="15.75" customHeight="1" s="14">
      <c r="B631" s="5" t="n"/>
      <c r="C631" s="5" t="n"/>
    </row>
    <row r="632" ht="15.75" customHeight="1" s="14">
      <c r="B632" s="5" t="n"/>
      <c r="C632" s="5" t="n"/>
    </row>
    <row r="633" ht="15.75" customHeight="1" s="14">
      <c r="B633" s="5" t="n"/>
      <c r="C633" s="5" t="n"/>
    </row>
    <row r="634" ht="15.75" customHeight="1" s="14">
      <c r="B634" s="5" t="n"/>
      <c r="C634" s="5" t="n"/>
    </row>
    <row r="635" ht="15.75" customHeight="1" s="14">
      <c r="B635" s="5" t="n"/>
      <c r="C635" s="5" t="n"/>
    </row>
    <row r="636" ht="15.75" customHeight="1" s="14">
      <c r="B636" s="5" t="n"/>
      <c r="C636" s="5" t="n"/>
    </row>
    <row r="637" ht="15.75" customHeight="1" s="14">
      <c r="B637" s="5" t="n"/>
      <c r="C637" s="5" t="n"/>
    </row>
    <row r="638" ht="15.75" customHeight="1" s="14">
      <c r="B638" s="5" t="n"/>
      <c r="C638" s="5" t="n"/>
    </row>
    <row r="639" ht="15.75" customHeight="1" s="14">
      <c r="B639" s="5" t="n"/>
      <c r="C639" s="5" t="n"/>
    </row>
    <row r="640" ht="15.75" customHeight="1" s="14">
      <c r="B640" s="5" t="n"/>
      <c r="C640" s="5" t="n"/>
    </row>
    <row r="641" ht="15.75" customHeight="1" s="14">
      <c r="B641" s="5" t="n"/>
      <c r="C641" s="5" t="n"/>
    </row>
    <row r="642" ht="15.75" customHeight="1" s="14">
      <c r="B642" s="5" t="n"/>
      <c r="C642" s="5" t="n"/>
    </row>
    <row r="643" ht="15.75" customHeight="1" s="14">
      <c r="B643" s="5" t="n"/>
      <c r="C643" s="5" t="n"/>
    </row>
    <row r="644" ht="15.75" customHeight="1" s="14">
      <c r="B644" s="5" t="n"/>
      <c r="C644" s="5" t="n"/>
    </row>
    <row r="645" ht="15.75" customHeight="1" s="14">
      <c r="B645" s="5" t="n"/>
      <c r="C645" s="5" t="n"/>
    </row>
    <row r="646" ht="15.75" customHeight="1" s="14">
      <c r="B646" s="5" t="n"/>
      <c r="C646" s="5" t="n"/>
    </row>
    <row r="647" ht="15.75" customHeight="1" s="14">
      <c r="B647" s="5" t="n"/>
      <c r="C647" s="5" t="n"/>
    </row>
    <row r="648" ht="15.75" customHeight="1" s="14">
      <c r="B648" s="5" t="n"/>
      <c r="C648" s="5" t="n"/>
    </row>
    <row r="649" ht="15.75" customHeight="1" s="14">
      <c r="B649" s="5" t="n"/>
      <c r="C649" s="5" t="n"/>
    </row>
    <row r="650" ht="15.75" customHeight="1" s="14">
      <c r="B650" s="5" t="n"/>
      <c r="C650" s="5" t="n"/>
    </row>
    <row r="651" ht="15.75" customHeight="1" s="14">
      <c r="B651" s="5" t="n"/>
      <c r="C651" s="5" t="n"/>
    </row>
    <row r="652" ht="15.75" customHeight="1" s="14">
      <c r="B652" s="5" t="n"/>
      <c r="C652" s="5" t="n"/>
    </row>
    <row r="653" ht="15.75" customHeight="1" s="14">
      <c r="B653" s="5" t="n"/>
      <c r="C653" s="5" t="n"/>
    </row>
    <row r="654" ht="15.75" customHeight="1" s="14">
      <c r="B654" s="5" t="n"/>
      <c r="C654" s="5" t="n"/>
    </row>
    <row r="655" ht="15.75" customHeight="1" s="14">
      <c r="B655" s="5" t="n"/>
      <c r="C655" s="5" t="n"/>
    </row>
    <row r="656" ht="15.75" customHeight="1" s="14">
      <c r="B656" s="5" t="n"/>
      <c r="C656" s="5" t="n"/>
    </row>
    <row r="657" ht="15.75" customHeight="1" s="14">
      <c r="B657" s="5" t="n"/>
      <c r="C657" s="5" t="n"/>
    </row>
    <row r="658" ht="15.75" customHeight="1" s="14">
      <c r="B658" s="5" t="n"/>
      <c r="C658" s="5" t="n"/>
    </row>
    <row r="659" ht="15.75" customHeight="1" s="14">
      <c r="B659" s="5" t="n"/>
      <c r="C659" s="5" t="n"/>
    </row>
    <row r="660" ht="15.75" customHeight="1" s="14">
      <c r="B660" s="5" t="n"/>
      <c r="C660" s="5" t="n"/>
    </row>
    <row r="661" ht="15.75" customHeight="1" s="14">
      <c r="B661" s="5" t="n"/>
      <c r="C661" s="5" t="n"/>
    </row>
    <row r="662" ht="15.75" customHeight="1" s="14">
      <c r="B662" s="5" t="n"/>
      <c r="C662" s="5" t="n"/>
    </row>
    <row r="663" ht="15.75" customHeight="1" s="14">
      <c r="B663" s="5" t="n"/>
      <c r="C663" s="5" t="n"/>
    </row>
    <row r="664" ht="15.75" customHeight="1" s="14">
      <c r="B664" s="5" t="n"/>
      <c r="C664" s="5" t="n"/>
    </row>
    <row r="665" ht="15.75" customHeight="1" s="14">
      <c r="B665" s="5" t="n"/>
      <c r="C665" s="5" t="n"/>
    </row>
    <row r="666" ht="15.75" customHeight="1" s="14">
      <c r="B666" s="5" t="n"/>
      <c r="C666" s="5" t="n"/>
    </row>
    <row r="667" ht="15.75" customHeight="1" s="14">
      <c r="B667" s="5" t="n"/>
      <c r="C667" s="5" t="n"/>
    </row>
    <row r="668" ht="15.75" customHeight="1" s="14">
      <c r="B668" s="5" t="n"/>
      <c r="C668" s="5" t="n"/>
    </row>
    <row r="669" ht="15.75" customHeight="1" s="14">
      <c r="B669" s="5" t="n"/>
      <c r="C669" s="5" t="n"/>
    </row>
    <row r="670" ht="15.75" customHeight="1" s="14">
      <c r="B670" s="5" t="n"/>
      <c r="C670" s="5" t="n"/>
    </row>
    <row r="671" ht="15.75" customHeight="1" s="14">
      <c r="B671" s="5" t="n"/>
      <c r="C671" s="5" t="n"/>
    </row>
    <row r="672" ht="15.75" customHeight="1" s="14">
      <c r="B672" s="5" t="n"/>
      <c r="C672" s="5" t="n"/>
    </row>
    <row r="673" ht="15.75" customHeight="1" s="14">
      <c r="B673" s="5" t="n"/>
      <c r="C673" s="5" t="n"/>
    </row>
    <row r="674" ht="15.75" customHeight="1" s="14">
      <c r="B674" s="5" t="n"/>
      <c r="C674" s="5" t="n"/>
    </row>
    <row r="675" ht="15.75" customHeight="1" s="14">
      <c r="B675" s="5" t="n"/>
      <c r="C675" s="5" t="n"/>
    </row>
    <row r="676" ht="15.75" customHeight="1" s="14">
      <c r="B676" s="5" t="n"/>
      <c r="C676" s="5" t="n"/>
    </row>
    <row r="677" ht="15.75" customHeight="1" s="14">
      <c r="B677" s="5" t="n"/>
      <c r="C677" s="5" t="n"/>
    </row>
    <row r="678" ht="15.75" customHeight="1" s="14">
      <c r="B678" s="5" t="n"/>
      <c r="C678" s="5" t="n"/>
    </row>
    <row r="679" ht="15.75" customHeight="1" s="14">
      <c r="B679" s="5" t="n"/>
      <c r="C679" s="5" t="n"/>
    </row>
    <row r="680" ht="15.75" customHeight="1" s="14">
      <c r="B680" s="5" t="n"/>
      <c r="C680" s="5" t="n"/>
    </row>
    <row r="681" ht="15.75" customHeight="1" s="14">
      <c r="B681" s="5" t="n"/>
      <c r="C681" s="5" t="n"/>
    </row>
    <row r="682" ht="15.75" customHeight="1" s="14">
      <c r="B682" s="5" t="n"/>
      <c r="C682" s="5" t="n"/>
    </row>
    <row r="683" ht="15.75" customHeight="1" s="14">
      <c r="B683" s="5" t="n"/>
      <c r="C683" s="5" t="n"/>
    </row>
    <row r="684" ht="15.75" customHeight="1" s="14">
      <c r="B684" s="5" t="n"/>
      <c r="C684" s="5" t="n"/>
    </row>
    <row r="685" ht="15.75" customHeight="1" s="14">
      <c r="B685" s="5" t="n"/>
      <c r="C685" s="5" t="n"/>
    </row>
    <row r="686" ht="15.75" customHeight="1" s="14">
      <c r="B686" s="5" t="n"/>
      <c r="C686" s="5" t="n"/>
    </row>
    <row r="687" ht="15.75" customHeight="1" s="14">
      <c r="B687" s="5" t="n"/>
      <c r="C687" s="5" t="n"/>
    </row>
    <row r="688" ht="15.75" customHeight="1" s="14">
      <c r="B688" s="5" t="n"/>
      <c r="C688" s="5" t="n"/>
    </row>
    <row r="689" ht="15.75" customHeight="1" s="14">
      <c r="B689" s="5" t="n"/>
      <c r="C689" s="5" t="n"/>
    </row>
    <row r="690" ht="15.75" customHeight="1" s="14">
      <c r="B690" s="5" t="n"/>
      <c r="C690" s="5" t="n"/>
    </row>
    <row r="691" ht="15.75" customHeight="1" s="14">
      <c r="B691" s="5" t="n"/>
      <c r="C691" s="5" t="n"/>
    </row>
    <row r="692" ht="15.75" customHeight="1" s="14">
      <c r="B692" s="5" t="n"/>
      <c r="C692" s="5" t="n"/>
    </row>
    <row r="693" ht="15.75" customHeight="1" s="14">
      <c r="B693" s="5" t="n"/>
      <c r="C693" s="5" t="n"/>
    </row>
    <row r="694" ht="15.75" customHeight="1" s="14">
      <c r="B694" s="5" t="n"/>
      <c r="C694" s="5" t="n"/>
    </row>
    <row r="695" ht="15.75" customHeight="1" s="14">
      <c r="B695" s="5" t="n"/>
      <c r="C695" s="5" t="n"/>
    </row>
    <row r="696" ht="15.75" customHeight="1" s="14">
      <c r="B696" s="5" t="n"/>
      <c r="C696" s="5" t="n"/>
    </row>
    <row r="697" ht="15.75" customHeight="1" s="14">
      <c r="B697" s="5" t="n"/>
      <c r="C697" s="5" t="n"/>
    </row>
    <row r="698" ht="15.75" customHeight="1" s="14">
      <c r="B698" s="5" t="n"/>
      <c r="C698" s="5" t="n"/>
    </row>
    <row r="699" ht="15.75" customHeight="1" s="14">
      <c r="B699" s="5" t="n"/>
      <c r="C699" s="5" t="n"/>
    </row>
    <row r="700" ht="15.75" customHeight="1" s="14">
      <c r="B700" s="5" t="n"/>
      <c r="C700" s="5" t="n"/>
    </row>
    <row r="701" ht="15.75" customHeight="1" s="14">
      <c r="B701" s="5" t="n"/>
      <c r="C701" s="5" t="n"/>
    </row>
    <row r="702" ht="15.75" customHeight="1" s="14">
      <c r="B702" s="5" t="n"/>
      <c r="C702" s="5" t="n"/>
    </row>
    <row r="703" ht="15.75" customHeight="1" s="14">
      <c r="B703" s="5" t="n"/>
      <c r="C703" s="5" t="n"/>
    </row>
    <row r="704" ht="15.75" customHeight="1" s="14">
      <c r="B704" s="5" t="n"/>
      <c r="C704" s="5" t="n"/>
    </row>
    <row r="705" ht="15.75" customHeight="1" s="14">
      <c r="B705" s="5" t="n"/>
      <c r="C705" s="5" t="n"/>
    </row>
    <row r="706" ht="15.75" customHeight="1" s="14">
      <c r="B706" s="5" t="n"/>
      <c r="C706" s="5" t="n"/>
    </row>
    <row r="707" ht="15.75" customHeight="1" s="14">
      <c r="B707" s="5" t="n"/>
      <c r="C707" s="5" t="n"/>
    </row>
    <row r="708" ht="15.75" customHeight="1" s="14">
      <c r="B708" s="5" t="n"/>
      <c r="C708" s="5" t="n"/>
    </row>
    <row r="709" ht="15.75" customHeight="1" s="14">
      <c r="B709" s="5" t="n"/>
      <c r="C709" s="5" t="n"/>
    </row>
    <row r="710" ht="15.75" customHeight="1" s="14">
      <c r="B710" s="5" t="n"/>
      <c r="C710" s="5" t="n"/>
    </row>
    <row r="711" ht="15.75" customHeight="1" s="14">
      <c r="B711" s="5" t="n"/>
      <c r="C711" s="5" t="n"/>
    </row>
    <row r="712" ht="15.75" customHeight="1" s="14">
      <c r="B712" s="5" t="n"/>
      <c r="C712" s="5" t="n"/>
    </row>
    <row r="713" ht="15.75" customHeight="1" s="14">
      <c r="B713" s="5" t="n"/>
      <c r="C713" s="5" t="n"/>
    </row>
    <row r="714" ht="15.75" customHeight="1" s="14">
      <c r="B714" s="5" t="n"/>
      <c r="C714" s="5" t="n"/>
    </row>
    <row r="715" ht="15.75" customHeight="1" s="14">
      <c r="B715" s="5" t="n"/>
      <c r="C715" s="5" t="n"/>
    </row>
    <row r="716" ht="15.75" customHeight="1" s="14">
      <c r="B716" s="5" t="n"/>
      <c r="C716" s="5" t="n"/>
    </row>
    <row r="717" ht="15.75" customHeight="1" s="14">
      <c r="B717" s="5" t="n"/>
      <c r="C717" s="5" t="n"/>
    </row>
    <row r="718" ht="15.75" customHeight="1" s="14">
      <c r="B718" s="5" t="n"/>
      <c r="C718" s="5" t="n"/>
    </row>
    <row r="719" ht="15.75" customHeight="1" s="14">
      <c r="B719" s="5" t="n"/>
      <c r="C719" s="5" t="n"/>
    </row>
    <row r="720" ht="15.75" customHeight="1" s="14">
      <c r="B720" s="5" t="n"/>
      <c r="C720" s="5" t="n"/>
    </row>
    <row r="721" ht="15.75" customHeight="1" s="14">
      <c r="B721" s="5" t="n"/>
      <c r="C721" s="5" t="n"/>
    </row>
    <row r="722" ht="15.75" customHeight="1" s="14">
      <c r="B722" s="5" t="n"/>
      <c r="C722" s="5" t="n"/>
    </row>
    <row r="723" ht="15.75" customHeight="1" s="14">
      <c r="B723" s="5" t="n"/>
      <c r="C723" s="5" t="n"/>
    </row>
    <row r="724" ht="15.75" customHeight="1" s="14">
      <c r="B724" s="5" t="n"/>
      <c r="C724" s="5" t="n"/>
    </row>
    <row r="725" ht="15.75" customHeight="1" s="14">
      <c r="B725" s="5" t="n"/>
      <c r="C725" s="5" t="n"/>
    </row>
    <row r="726" ht="15.75" customHeight="1" s="14">
      <c r="B726" s="5" t="n"/>
      <c r="C726" s="5" t="n"/>
    </row>
    <row r="727" ht="15.75" customHeight="1" s="14">
      <c r="B727" s="5" t="n"/>
      <c r="C727" s="5" t="n"/>
    </row>
    <row r="728" ht="15.75" customHeight="1" s="14">
      <c r="B728" s="5" t="n"/>
      <c r="C728" s="5" t="n"/>
    </row>
    <row r="729" ht="15.75" customHeight="1" s="14">
      <c r="B729" s="5" t="n"/>
      <c r="C729" s="5" t="n"/>
    </row>
    <row r="730" ht="15.75" customHeight="1" s="14">
      <c r="B730" s="5" t="n"/>
      <c r="C730" s="5" t="n"/>
    </row>
    <row r="731" ht="15.75" customHeight="1" s="14">
      <c r="B731" s="5" t="n"/>
      <c r="C731" s="5" t="n"/>
    </row>
    <row r="732" ht="15.75" customHeight="1" s="14">
      <c r="B732" s="5" t="n"/>
      <c r="C732" s="5" t="n"/>
    </row>
    <row r="733" ht="15.75" customHeight="1" s="14">
      <c r="B733" s="5" t="n"/>
      <c r="C733" s="5" t="n"/>
    </row>
    <row r="734" ht="15.75" customHeight="1" s="14">
      <c r="B734" s="5" t="n"/>
      <c r="C734" s="5" t="n"/>
    </row>
    <row r="735" ht="15.75" customHeight="1" s="14">
      <c r="B735" s="5" t="n"/>
      <c r="C735" s="5" t="n"/>
    </row>
    <row r="736" ht="15.75" customHeight="1" s="14">
      <c r="B736" s="5" t="n"/>
      <c r="C736" s="5" t="n"/>
    </row>
    <row r="737" ht="15.75" customHeight="1" s="14">
      <c r="B737" s="5" t="n"/>
      <c r="C737" s="5" t="n"/>
    </row>
    <row r="738" ht="15.75" customHeight="1" s="14">
      <c r="B738" s="5" t="n"/>
      <c r="C738" s="5" t="n"/>
    </row>
    <row r="739" ht="15.75" customHeight="1" s="14">
      <c r="B739" s="5" t="n"/>
      <c r="C739" s="5" t="n"/>
    </row>
    <row r="740" ht="15.75" customHeight="1" s="14">
      <c r="B740" s="5" t="n"/>
      <c r="C740" s="5" t="n"/>
    </row>
    <row r="741" ht="15.75" customHeight="1" s="14">
      <c r="B741" s="5" t="n"/>
      <c r="C741" s="5" t="n"/>
    </row>
    <row r="742" ht="15.75" customHeight="1" s="14">
      <c r="B742" s="5" t="n"/>
      <c r="C742" s="5" t="n"/>
    </row>
    <row r="743" ht="15.75" customHeight="1" s="14">
      <c r="B743" s="5" t="n"/>
      <c r="C743" s="5" t="n"/>
    </row>
    <row r="744" ht="15.75" customHeight="1" s="14">
      <c r="B744" s="5" t="n"/>
      <c r="C744" s="5" t="n"/>
    </row>
    <row r="745" ht="15.75" customHeight="1" s="14">
      <c r="B745" s="5" t="n"/>
      <c r="C745" s="5" t="n"/>
    </row>
    <row r="746" ht="15.75" customHeight="1" s="14">
      <c r="B746" s="5" t="n"/>
      <c r="C746" s="5" t="n"/>
    </row>
    <row r="747" ht="15.75" customHeight="1" s="14">
      <c r="B747" s="5" t="n"/>
      <c r="C747" s="5" t="n"/>
    </row>
    <row r="748" ht="15.75" customHeight="1" s="14">
      <c r="B748" s="5" t="n"/>
      <c r="C748" s="5" t="n"/>
    </row>
    <row r="749" ht="15.75" customHeight="1" s="14">
      <c r="B749" s="5" t="n"/>
      <c r="C749" s="5" t="n"/>
    </row>
    <row r="750" ht="15.75" customHeight="1" s="14">
      <c r="B750" s="5" t="n"/>
      <c r="C750" s="5" t="n"/>
    </row>
    <row r="751" ht="15.75" customHeight="1" s="14">
      <c r="B751" s="5" t="n"/>
      <c r="C751" s="5" t="n"/>
    </row>
    <row r="752" ht="15.75" customHeight="1" s="14">
      <c r="B752" s="5" t="n"/>
      <c r="C752" s="5" t="n"/>
    </row>
    <row r="753" ht="15.75" customHeight="1" s="14">
      <c r="B753" s="5" t="n"/>
      <c r="C753" s="5" t="n"/>
    </row>
    <row r="754" ht="15.75" customHeight="1" s="14">
      <c r="B754" s="5" t="n"/>
      <c r="C754" s="5" t="n"/>
    </row>
    <row r="755" ht="15.75" customHeight="1" s="14">
      <c r="B755" s="5" t="n"/>
      <c r="C755" s="5" t="n"/>
    </row>
    <row r="756" ht="15.75" customHeight="1" s="14">
      <c r="B756" s="9" t="n"/>
      <c r="C756" s="9" t="n"/>
    </row>
    <row r="757" ht="15.75" customHeight="1" s="14">
      <c r="B757" s="9" t="n"/>
      <c r="C757" s="9" t="n"/>
    </row>
    <row r="758" ht="15.75" customHeight="1" s="14">
      <c r="B758" s="9" t="n"/>
      <c r="C758" s="9" t="n"/>
    </row>
    <row r="759" ht="15.75" customHeight="1" s="14">
      <c r="B759" s="9" t="n"/>
      <c r="C759" s="9" t="n"/>
    </row>
    <row r="760" ht="15.75" customHeight="1" s="14">
      <c r="B760" s="9" t="n"/>
      <c r="C760" s="9" t="n"/>
    </row>
    <row r="761" ht="15.75" customHeight="1" s="14">
      <c r="B761" s="9" t="n"/>
      <c r="C761" s="9" t="n"/>
    </row>
    <row r="762" ht="15.75" customHeight="1" s="14">
      <c r="B762" s="9" t="n"/>
      <c r="C762" s="9" t="n"/>
    </row>
    <row r="763" ht="15.75" customHeight="1" s="14">
      <c r="B763" s="9" t="n"/>
      <c r="C763" s="9" t="n"/>
    </row>
    <row r="764" ht="15.75" customHeight="1" s="14">
      <c r="B764" s="9" t="n"/>
      <c r="C764" s="9" t="n"/>
    </row>
    <row r="765" ht="15.75" customHeight="1" s="14">
      <c r="B765" s="9" t="n"/>
      <c r="C765" s="9" t="n"/>
    </row>
    <row r="766" ht="15.75" customHeight="1" s="14">
      <c r="B766" s="9" t="n"/>
      <c r="C766" s="9" t="n"/>
    </row>
    <row r="767" ht="15.75" customHeight="1" s="14">
      <c r="B767" s="9" t="n"/>
      <c r="C767" s="9" t="n"/>
    </row>
    <row r="768" ht="15.75" customHeight="1" s="14">
      <c r="B768" s="9" t="n"/>
      <c r="C768" s="9" t="n"/>
    </row>
    <row r="769" ht="15.75" customHeight="1" s="14">
      <c r="B769" s="9" t="n"/>
      <c r="C769" s="9" t="n"/>
    </row>
    <row r="770" ht="15.75" customHeight="1" s="14">
      <c r="B770" s="9" t="n"/>
      <c r="C770" s="9" t="n"/>
    </row>
    <row r="771" ht="15.75" customHeight="1" s="14">
      <c r="B771" s="9" t="n"/>
      <c r="C771" s="9" t="n"/>
    </row>
    <row r="772" ht="15.75" customHeight="1" s="14">
      <c r="B772" s="9" t="n"/>
      <c r="C772" s="9" t="n"/>
    </row>
    <row r="773" ht="15.75" customHeight="1" s="14">
      <c r="B773" s="9" t="n"/>
      <c r="C773" s="9" t="n"/>
    </row>
    <row r="774" ht="15.75" customHeight="1" s="14">
      <c r="B774" s="9" t="n"/>
      <c r="C774" s="9" t="n"/>
    </row>
    <row r="775" ht="15.75" customHeight="1" s="14">
      <c r="B775" s="9" t="n"/>
      <c r="C775" s="9" t="n"/>
    </row>
    <row r="776" ht="15.75" customHeight="1" s="14">
      <c r="B776" s="9" t="n"/>
      <c r="C776" s="9" t="n"/>
    </row>
    <row r="777" ht="15.75" customHeight="1" s="14">
      <c r="B777" s="9" t="n"/>
      <c r="C777" s="9" t="n"/>
    </row>
    <row r="778" ht="15.75" customHeight="1" s="14">
      <c r="B778" s="9" t="n"/>
      <c r="C778" s="9" t="n"/>
    </row>
    <row r="779" ht="15.75" customHeight="1" s="14">
      <c r="B779" s="9" t="n"/>
      <c r="C779" s="9" t="n"/>
    </row>
    <row r="780" ht="15.75" customHeight="1" s="14">
      <c r="B780" s="9" t="n"/>
      <c r="C780" s="9" t="n"/>
    </row>
    <row r="781" ht="15.75" customHeight="1" s="14">
      <c r="B781" s="9" t="n"/>
      <c r="C781" s="9" t="n"/>
    </row>
    <row r="782" ht="15.75" customHeight="1" s="14">
      <c r="B782" s="9" t="n"/>
      <c r="C782" s="9" t="n"/>
    </row>
    <row r="783" ht="15.75" customHeight="1" s="14">
      <c r="B783" s="9" t="n"/>
      <c r="C783" s="9" t="n"/>
    </row>
    <row r="784" ht="15.75" customHeight="1" s="14">
      <c r="B784" s="9" t="n"/>
      <c r="C784" s="9" t="n"/>
    </row>
    <row r="785" ht="15.75" customHeight="1" s="14">
      <c r="B785" s="9" t="n"/>
      <c r="C785" s="9" t="n"/>
    </row>
    <row r="786" ht="15.75" customHeight="1" s="14">
      <c r="B786" s="9" t="n"/>
      <c r="C786" s="9" t="n"/>
    </row>
    <row r="787" ht="15.75" customHeight="1" s="14">
      <c r="B787" s="9" t="n"/>
      <c r="C787" s="9" t="n"/>
    </row>
    <row r="788" ht="15.75" customHeight="1" s="14">
      <c r="B788" s="9" t="n"/>
      <c r="C788" s="9" t="n"/>
    </row>
    <row r="789" ht="15.75" customHeight="1" s="14">
      <c r="B789" s="9" t="n"/>
      <c r="C789" s="9" t="n"/>
    </row>
    <row r="790" ht="15.75" customHeight="1" s="14">
      <c r="B790" s="9" t="n"/>
      <c r="C790" s="9" t="n"/>
    </row>
    <row r="791" ht="15.75" customHeight="1" s="14">
      <c r="B791" s="9" t="n"/>
      <c r="C791" s="9" t="n"/>
    </row>
    <row r="792" ht="15.75" customHeight="1" s="14">
      <c r="B792" s="9" t="n"/>
      <c r="C792" s="9" t="n"/>
    </row>
    <row r="793" ht="15.75" customHeight="1" s="14">
      <c r="B793" s="9" t="n"/>
      <c r="C793" s="9" t="n"/>
    </row>
    <row r="794" ht="15.75" customHeight="1" s="14">
      <c r="B794" s="9" t="n"/>
      <c r="C794" s="9" t="n"/>
    </row>
    <row r="795" ht="15.75" customHeight="1" s="14">
      <c r="B795" s="9" t="n"/>
      <c r="C795" s="9" t="n"/>
    </row>
    <row r="796" ht="15.75" customHeight="1" s="14">
      <c r="B796" s="9" t="n"/>
      <c r="C796" s="9" t="n"/>
    </row>
    <row r="797" ht="15.75" customHeight="1" s="14">
      <c r="B797" s="9" t="n"/>
      <c r="C797" s="9" t="n"/>
    </row>
    <row r="798" ht="15.75" customHeight="1" s="14">
      <c r="B798" s="9" t="n"/>
      <c r="C798" s="9" t="n"/>
    </row>
    <row r="799" ht="15.75" customHeight="1" s="14">
      <c r="B799" s="9" t="n"/>
      <c r="C799" s="9" t="n"/>
    </row>
    <row r="800" ht="15.75" customHeight="1" s="14">
      <c r="B800" s="9" t="n"/>
      <c r="C800" s="9" t="n"/>
    </row>
    <row r="801" ht="15.75" customHeight="1" s="14">
      <c r="B801" s="9" t="n"/>
      <c r="C801" s="9" t="n"/>
    </row>
    <row r="802" ht="15.75" customHeight="1" s="14">
      <c r="B802" s="9" t="n"/>
      <c r="C802" s="9" t="n"/>
    </row>
    <row r="803" ht="15.75" customHeight="1" s="14">
      <c r="B803" s="9" t="n"/>
      <c r="C803" s="9" t="n"/>
    </row>
    <row r="804" ht="15.75" customHeight="1" s="14">
      <c r="B804" s="9" t="n"/>
      <c r="C804" s="9" t="n"/>
    </row>
    <row r="805" ht="15.75" customHeight="1" s="14">
      <c r="B805" s="9" t="n"/>
      <c r="C805" s="9" t="n"/>
    </row>
    <row r="806" ht="15.75" customHeight="1" s="14">
      <c r="B806" s="9" t="n"/>
      <c r="C806" s="9" t="n"/>
    </row>
    <row r="807" ht="15.75" customHeight="1" s="14">
      <c r="B807" s="9" t="n"/>
      <c r="C807" s="9" t="n"/>
    </row>
    <row r="808" ht="15.75" customHeight="1" s="14">
      <c r="B808" s="9" t="n"/>
      <c r="C808" s="9" t="n"/>
    </row>
    <row r="809" ht="15.75" customHeight="1" s="14">
      <c r="B809" s="9" t="n"/>
      <c r="C809" s="9" t="n"/>
    </row>
    <row r="810" ht="15.75" customHeight="1" s="14">
      <c r="B810" s="9" t="n"/>
      <c r="C810" s="9" t="n"/>
    </row>
    <row r="811" ht="15.75" customHeight="1" s="14">
      <c r="B811" s="9" t="n"/>
      <c r="C811" s="9" t="n"/>
    </row>
    <row r="812" ht="15.75" customHeight="1" s="14">
      <c r="B812" s="9" t="n"/>
      <c r="C812" s="9" t="n"/>
    </row>
    <row r="813" ht="15.75" customHeight="1" s="14">
      <c r="B813" s="9" t="n"/>
      <c r="C813" s="9" t="n"/>
    </row>
    <row r="814" ht="15.75" customHeight="1" s="14">
      <c r="B814" s="9" t="n"/>
      <c r="C814" s="9" t="n"/>
    </row>
    <row r="815" ht="15.75" customHeight="1" s="14">
      <c r="B815" s="9" t="n"/>
      <c r="C815" s="9" t="n"/>
    </row>
    <row r="816" ht="15.75" customHeight="1" s="14">
      <c r="B816" s="9" t="n"/>
      <c r="C816" s="9" t="n"/>
    </row>
    <row r="817" ht="15.75" customHeight="1" s="14">
      <c r="B817" s="9" t="n"/>
      <c r="C817" s="9" t="n"/>
    </row>
    <row r="818" ht="15.75" customHeight="1" s="14">
      <c r="B818" s="9" t="n"/>
      <c r="C818" s="9" t="n"/>
    </row>
    <row r="819" ht="15.75" customHeight="1" s="14">
      <c r="B819" s="9" t="n"/>
      <c r="C819" s="9" t="n"/>
    </row>
    <row r="820" ht="15.75" customHeight="1" s="14">
      <c r="B820" s="9" t="n"/>
      <c r="C820" s="9" t="n"/>
    </row>
    <row r="821" ht="15.75" customHeight="1" s="14">
      <c r="B821" s="9" t="n"/>
      <c r="C821" s="9" t="n"/>
    </row>
    <row r="822" ht="15.75" customHeight="1" s="14">
      <c r="B822" s="9" t="n"/>
      <c r="C822" s="9" t="n"/>
    </row>
    <row r="823" ht="15.75" customHeight="1" s="14">
      <c r="B823" s="9" t="n"/>
      <c r="C823" s="9" t="n"/>
    </row>
    <row r="824" ht="15.75" customHeight="1" s="14">
      <c r="B824" s="9" t="n"/>
      <c r="C824" s="9" t="n"/>
    </row>
    <row r="825" ht="15.75" customHeight="1" s="14">
      <c r="B825" s="9" t="n"/>
      <c r="C825" s="9" t="n"/>
    </row>
    <row r="826" ht="15.75" customHeight="1" s="14">
      <c r="B826" s="9" t="n"/>
      <c r="C826" s="9" t="n"/>
    </row>
    <row r="827" ht="15.75" customHeight="1" s="14">
      <c r="B827" s="9" t="n"/>
      <c r="C827" s="9" t="n"/>
    </row>
    <row r="828" ht="15.75" customHeight="1" s="14">
      <c r="B828" s="9" t="n"/>
      <c r="C828" s="9" t="n"/>
    </row>
    <row r="829" ht="15.75" customHeight="1" s="14">
      <c r="B829" s="9" t="n"/>
      <c r="C829" s="9" t="n"/>
    </row>
    <row r="830" ht="15.75" customHeight="1" s="14">
      <c r="B830" s="9" t="n"/>
      <c r="C830" s="9" t="n"/>
    </row>
    <row r="831" ht="15.75" customHeight="1" s="14">
      <c r="B831" s="9" t="n"/>
      <c r="C831" s="9" t="n"/>
    </row>
    <row r="832" ht="15.75" customHeight="1" s="14">
      <c r="B832" s="9" t="n"/>
      <c r="C832" s="9" t="n"/>
    </row>
    <row r="833" ht="15.75" customHeight="1" s="14">
      <c r="B833" s="9" t="n"/>
      <c r="C833" s="9" t="n"/>
    </row>
    <row r="834" ht="15.75" customHeight="1" s="14">
      <c r="B834" s="9" t="n"/>
      <c r="C834" s="9" t="n"/>
    </row>
    <row r="835" ht="15.75" customHeight="1" s="14">
      <c r="B835" s="9" t="n"/>
      <c r="C835" s="9" t="n"/>
    </row>
    <row r="836" ht="15.75" customHeight="1" s="14">
      <c r="B836" s="9" t="n"/>
      <c r="C836" s="9" t="n"/>
    </row>
    <row r="837" ht="15.75" customHeight="1" s="14">
      <c r="B837" s="9" t="n"/>
      <c r="C837" s="9" t="n"/>
    </row>
    <row r="838" ht="15.75" customHeight="1" s="14">
      <c r="B838" s="9" t="n"/>
      <c r="C838" s="9" t="n"/>
    </row>
    <row r="839" ht="15.75" customHeight="1" s="14">
      <c r="B839" s="9" t="n"/>
      <c r="C839" s="9" t="n"/>
    </row>
    <row r="840" ht="15.75" customHeight="1" s="14">
      <c r="B840" s="9" t="n"/>
      <c r="C840" s="9" t="n"/>
    </row>
    <row r="841" ht="15.75" customHeight="1" s="14">
      <c r="B841" s="9" t="n"/>
      <c r="C841" s="9" t="n"/>
    </row>
    <row r="842" ht="15.75" customHeight="1" s="14">
      <c r="B842" s="9" t="n"/>
      <c r="C842" s="9" t="n"/>
    </row>
    <row r="843" ht="15.75" customHeight="1" s="14">
      <c r="B843" s="9" t="n"/>
      <c r="C843" s="9" t="n"/>
    </row>
    <row r="844" ht="15.75" customHeight="1" s="14">
      <c r="B844" s="9" t="n"/>
      <c r="C844" s="9" t="n"/>
    </row>
    <row r="845" ht="15.75" customHeight="1" s="14">
      <c r="B845" s="9" t="n"/>
      <c r="C845" s="9" t="n"/>
    </row>
    <row r="846" ht="15.75" customHeight="1" s="14">
      <c r="B846" s="9" t="n"/>
      <c r="C846" s="9" t="n"/>
    </row>
    <row r="847" ht="15.75" customHeight="1" s="14">
      <c r="B847" s="9" t="n"/>
      <c r="C847" s="9" t="n"/>
    </row>
    <row r="848" ht="15.75" customHeight="1" s="14">
      <c r="B848" s="9" t="n"/>
      <c r="C848" s="9" t="n"/>
    </row>
    <row r="849" ht="15.75" customHeight="1" s="14">
      <c r="B849" s="9" t="n"/>
      <c r="C849" s="9" t="n"/>
    </row>
    <row r="850" ht="15.75" customHeight="1" s="14">
      <c r="B850" s="9" t="n"/>
      <c r="C850" s="9" t="n"/>
    </row>
    <row r="851" ht="15.75" customHeight="1" s="14">
      <c r="B851" s="9" t="n"/>
      <c r="C851" s="9" t="n"/>
    </row>
    <row r="852" ht="15.75" customHeight="1" s="14">
      <c r="B852" s="9" t="n"/>
      <c r="C852" s="9" t="n"/>
    </row>
    <row r="853" ht="15.75" customHeight="1" s="14">
      <c r="B853" s="9" t="n"/>
      <c r="C853" s="9" t="n"/>
    </row>
    <row r="854" ht="15.75" customHeight="1" s="14">
      <c r="B854" s="9" t="n"/>
      <c r="C854" s="9" t="n"/>
    </row>
    <row r="855" ht="15.75" customHeight="1" s="14">
      <c r="B855" s="9" t="n"/>
      <c r="C855" s="9" t="n"/>
    </row>
    <row r="856" ht="15.75" customHeight="1" s="14">
      <c r="B856" s="9" t="n"/>
      <c r="C856" s="9" t="n"/>
    </row>
    <row r="857" ht="15.75" customHeight="1" s="14">
      <c r="B857" s="9" t="n"/>
      <c r="C857" s="9" t="n"/>
    </row>
    <row r="858" ht="15.75" customHeight="1" s="14">
      <c r="B858" s="9" t="n"/>
      <c r="C858" s="9" t="n"/>
    </row>
    <row r="859" ht="15.75" customHeight="1" s="14">
      <c r="B859" s="9" t="n"/>
      <c r="C859" s="9" t="n"/>
    </row>
    <row r="860" ht="15.75" customHeight="1" s="14">
      <c r="B860" s="9" t="n"/>
      <c r="C860" s="9" t="n"/>
    </row>
    <row r="861" ht="15.75" customHeight="1" s="14">
      <c r="B861" s="9" t="n"/>
      <c r="C861" s="9" t="n"/>
    </row>
    <row r="862" ht="15.75" customHeight="1" s="14">
      <c r="B862" s="9" t="n"/>
      <c r="C862" s="9" t="n"/>
    </row>
    <row r="863" ht="15.75" customHeight="1" s="14">
      <c r="B863" s="9" t="n"/>
      <c r="C863" s="9" t="n"/>
    </row>
    <row r="864" ht="15.75" customHeight="1" s="14">
      <c r="B864" s="9" t="n"/>
      <c r="C864" s="9" t="n"/>
    </row>
    <row r="865" ht="15.75" customHeight="1" s="14">
      <c r="B865" s="9" t="n"/>
      <c r="C865" s="9" t="n"/>
    </row>
    <row r="866" ht="15.75" customHeight="1" s="14">
      <c r="B866" s="9" t="n"/>
      <c r="C866" s="9" t="n"/>
    </row>
    <row r="867" ht="15.75" customHeight="1" s="14">
      <c r="B867" s="9" t="n"/>
      <c r="C867" s="9" t="n"/>
    </row>
    <row r="868" ht="15.75" customHeight="1" s="14">
      <c r="B868" s="9" t="n"/>
      <c r="C868" s="9" t="n"/>
    </row>
    <row r="869" ht="15.75" customHeight="1" s="14">
      <c r="B869" s="9" t="n"/>
      <c r="C869" s="9" t="n"/>
    </row>
    <row r="870" ht="15.75" customHeight="1" s="14">
      <c r="B870" s="9" t="n"/>
      <c r="C870" s="9" t="n"/>
    </row>
    <row r="871" ht="15.75" customHeight="1" s="14">
      <c r="B871" s="9" t="n"/>
      <c r="C871" s="9" t="n"/>
    </row>
    <row r="872" ht="15.75" customHeight="1" s="14">
      <c r="B872" s="9" t="n"/>
      <c r="C872" s="9" t="n"/>
    </row>
    <row r="873" ht="15.75" customHeight="1" s="14">
      <c r="B873" s="9" t="n"/>
      <c r="C873" s="9" t="n"/>
    </row>
    <row r="874" ht="15.75" customHeight="1" s="14">
      <c r="B874" s="9" t="n"/>
      <c r="C874" s="9" t="n"/>
    </row>
    <row r="875" ht="15.75" customHeight="1" s="14">
      <c r="B875" s="9" t="n"/>
      <c r="C875" s="9" t="n"/>
    </row>
    <row r="876" ht="15.75" customHeight="1" s="14">
      <c r="B876" s="9" t="n"/>
      <c r="C876" s="9" t="n"/>
    </row>
    <row r="877" ht="15.75" customHeight="1" s="14">
      <c r="B877" s="9" t="n"/>
      <c r="C877" s="9" t="n"/>
    </row>
    <row r="878" ht="15.75" customHeight="1" s="14">
      <c r="B878" s="9" t="n"/>
      <c r="C878" s="9" t="n"/>
    </row>
    <row r="879" ht="15.75" customHeight="1" s="14">
      <c r="B879" s="9" t="n"/>
      <c r="C879" s="9" t="n"/>
    </row>
    <row r="880" ht="15.75" customHeight="1" s="14">
      <c r="B880" s="9" t="n"/>
      <c r="C880" s="9" t="n"/>
    </row>
    <row r="881" ht="15.75" customHeight="1" s="14">
      <c r="B881" s="9" t="n"/>
      <c r="C881" s="9" t="n"/>
    </row>
    <row r="882" ht="15.75" customHeight="1" s="14">
      <c r="B882" s="9" t="n"/>
      <c r="C882" s="9" t="n"/>
    </row>
    <row r="883" ht="15.75" customHeight="1" s="14">
      <c r="B883" s="9" t="n"/>
      <c r="C883" s="9" t="n"/>
    </row>
    <row r="884" ht="15.75" customHeight="1" s="14">
      <c r="B884" s="9" t="n"/>
      <c r="C884" s="9" t="n"/>
    </row>
    <row r="885" ht="15.75" customHeight="1" s="14">
      <c r="B885" s="9" t="n"/>
      <c r="C885" s="9" t="n"/>
    </row>
    <row r="886" ht="15.75" customHeight="1" s="14">
      <c r="B886" s="9" t="n"/>
      <c r="C886" s="9" t="n"/>
    </row>
    <row r="887" ht="15.75" customHeight="1" s="14">
      <c r="B887" s="9" t="n"/>
      <c r="C887" s="9" t="n"/>
    </row>
    <row r="888" ht="15.75" customHeight="1" s="14">
      <c r="B888" s="9" t="n"/>
      <c r="C888" s="9" t="n"/>
    </row>
    <row r="889" ht="15.75" customHeight="1" s="14">
      <c r="B889" s="9" t="n"/>
      <c r="C889" s="9" t="n"/>
    </row>
    <row r="890" ht="15.75" customHeight="1" s="14">
      <c r="B890" s="9" t="n"/>
      <c r="C890" s="9" t="n"/>
    </row>
    <row r="891" ht="15.75" customHeight="1" s="14">
      <c r="B891" s="9" t="n"/>
      <c r="C891" s="9" t="n"/>
    </row>
    <row r="892" ht="15.75" customHeight="1" s="14">
      <c r="B892" s="9" t="n"/>
      <c r="C892" s="9" t="n"/>
    </row>
    <row r="893" ht="15.75" customHeight="1" s="14">
      <c r="B893" s="9" t="n"/>
      <c r="C893" s="9" t="n"/>
    </row>
    <row r="894" ht="15.75" customHeight="1" s="14">
      <c r="B894" s="9" t="n"/>
      <c r="C894" s="9" t="n"/>
    </row>
    <row r="895" ht="15.75" customHeight="1" s="14">
      <c r="B895" s="9" t="n"/>
      <c r="C895" s="9" t="n"/>
    </row>
    <row r="896" ht="15.75" customHeight="1" s="14">
      <c r="B896" s="9" t="n"/>
      <c r="C896" s="9" t="n"/>
    </row>
    <row r="897" ht="15.75" customHeight="1" s="14">
      <c r="B897" s="9" t="n"/>
      <c r="C897" s="9" t="n"/>
    </row>
    <row r="898" ht="15.75" customHeight="1" s="14">
      <c r="B898" s="9" t="n"/>
      <c r="C898" s="9" t="n"/>
    </row>
    <row r="899" ht="15.75" customHeight="1" s="14">
      <c r="B899" s="9" t="n"/>
      <c r="C899" s="9" t="n"/>
    </row>
    <row r="900" ht="15.75" customHeight="1" s="14">
      <c r="B900" s="9" t="n"/>
      <c r="C900" s="9" t="n"/>
    </row>
    <row r="901" ht="15.75" customHeight="1" s="14">
      <c r="B901" s="9" t="n"/>
      <c r="C901" s="9" t="n"/>
    </row>
    <row r="902" ht="15.75" customHeight="1" s="14">
      <c r="B902" s="9" t="n"/>
      <c r="C902" s="9" t="n"/>
    </row>
    <row r="903" ht="15.75" customHeight="1" s="14">
      <c r="B903" s="9" t="n"/>
      <c r="C903" s="9" t="n"/>
    </row>
    <row r="904" ht="15.75" customHeight="1" s="14">
      <c r="B904" s="9" t="n"/>
      <c r="C904" s="9" t="n"/>
    </row>
    <row r="905" ht="15.75" customHeight="1" s="14">
      <c r="B905" s="9" t="n"/>
      <c r="C905" s="9" t="n"/>
    </row>
    <row r="906" ht="15.75" customHeight="1" s="14">
      <c r="B906" s="9" t="n"/>
      <c r="C906" s="9" t="n"/>
    </row>
    <row r="907" ht="15.75" customHeight="1" s="14">
      <c r="B907" s="9" t="n"/>
      <c r="C907" s="9" t="n"/>
    </row>
    <row r="908" ht="15.75" customHeight="1" s="14">
      <c r="B908" s="9" t="n"/>
      <c r="C908" s="9" t="n"/>
    </row>
    <row r="909" ht="15.75" customHeight="1" s="14">
      <c r="B909" s="9" t="n"/>
      <c r="C909" s="9" t="n"/>
    </row>
    <row r="910" ht="15.75" customHeight="1" s="14">
      <c r="B910" s="9" t="n"/>
      <c r="C910" s="9" t="n"/>
    </row>
    <row r="911" ht="15.75" customHeight="1" s="14">
      <c r="B911" s="9" t="n"/>
      <c r="C911" s="9" t="n"/>
    </row>
    <row r="912" ht="15.75" customHeight="1" s="14">
      <c r="B912" s="9" t="n"/>
      <c r="C912" s="9" t="n"/>
    </row>
    <row r="913" ht="15.75" customHeight="1" s="14">
      <c r="B913" s="9" t="n"/>
      <c r="C913" s="9" t="n"/>
    </row>
    <row r="914" ht="15.75" customHeight="1" s="14">
      <c r="B914" s="9" t="n"/>
      <c r="C914" s="9" t="n"/>
    </row>
    <row r="915" ht="15.75" customHeight="1" s="14">
      <c r="B915" s="9" t="n"/>
      <c r="C915" s="9" t="n"/>
    </row>
    <row r="916" ht="15.75" customHeight="1" s="14">
      <c r="B916" s="9" t="n"/>
      <c r="C916" s="9" t="n"/>
    </row>
    <row r="917" ht="15.75" customHeight="1" s="14">
      <c r="B917" s="9" t="n"/>
      <c r="C917" s="9" t="n"/>
    </row>
    <row r="918" ht="15.75" customHeight="1" s="14">
      <c r="B918" s="9" t="n"/>
      <c r="C918" s="9" t="n"/>
    </row>
    <row r="919" ht="15.75" customHeight="1" s="14">
      <c r="B919" s="9" t="n"/>
      <c r="C919" s="9" t="n"/>
    </row>
    <row r="920" ht="15.75" customHeight="1" s="14">
      <c r="B920" s="9" t="n"/>
      <c r="C920" s="9" t="n"/>
    </row>
    <row r="921" ht="15.75" customHeight="1" s="14">
      <c r="B921" s="9" t="n"/>
      <c r="C921" s="9" t="n"/>
    </row>
    <row r="922" ht="15.75" customHeight="1" s="14">
      <c r="B922" s="9" t="n"/>
      <c r="C922" s="9" t="n"/>
    </row>
    <row r="923" ht="15.75" customHeight="1" s="14">
      <c r="B923" s="9" t="n"/>
      <c r="C923" s="9" t="n"/>
    </row>
    <row r="924" ht="15.75" customHeight="1" s="14">
      <c r="B924" s="9" t="n"/>
      <c r="C924" s="9" t="n"/>
    </row>
    <row r="925" ht="15.75" customHeight="1" s="14">
      <c r="B925" s="9" t="n"/>
      <c r="C925" s="9" t="n"/>
    </row>
    <row r="926" ht="15.75" customHeight="1" s="14">
      <c r="B926" s="9" t="n"/>
      <c r="C926" s="9" t="n"/>
    </row>
    <row r="927" ht="15.75" customHeight="1" s="14">
      <c r="B927" s="9" t="n"/>
      <c r="C927" s="9" t="n"/>
    </row>
    <row r="928" ht="15.75" customHeight="1" s="14">
      <c r="B928" s="9" t="n"/>
      <c r="C928" s="9" t="n"/>
    </row>
    <row r="929" ht="15.75" customHeight="1" s="14">
      <c r="B929" s="9" t="n"/>
      <c r="C929" s="9" t="n"/>
    </row>
    <row r="930" ht="15.75" customHeight="1" s="14">
      <c r="B930" s="9" t="n"/>
      <c r="C930" s="9" t="n"/>
    </row>
    <row r="931" ht="15.75" customHeight="1" s="14">
      <c r="B931" s="9" t="n"/>
      <c r="C931" s="9" t="n"/>
    </row>
    <row r="932" ht="15.75" customHeight="1" s="14">
      <c r="B932" s="9" t="n"/>
      <c r="C932" s="9" t="n"/>
    </row>
    <row r="933" ht="15.75" customHeight="1" s="14">
      <c r="B933" s="9" t="n"/>
      <c r="C933" s="9" t="n"/>
    </row>
    <row r="934" ht="15.75" customHeight="1" s="14">
      <c r="B934" s="9" t="n"/>
      <c r="C934" s="9" t="n"/>
    </row>
    <row r="935" ht="15.75" customHeight="1" s="14">
      <c r="B935" s="9" t="n"/>
      <c r="C935" s="9" t="n"/>
    </row>
    <row r="936" ht="15.75" customHeight="1" s="14">
      <c r="B936" s="9" t="n"/>
      <c r="C936" s="9" t="n"/>
    </row>
    <row r="937" ht="15.75" customHeight="1" s="14">
      <c r="B937" s="9" t="n"/>
      <c r="C937" s="9" t="n"/>
    </row>
    <row r="938" ht="15.75" customHeight="1" s="14">
      <c r="B938" s="9" t="n"/>
      <c r="C938" s="9" t="n"/>
    </row>
    <row r="939" ht="15.75" customHeight="1" s="14">
      <c r="B939" s="9" t="n"/>
      <c r="C939" s="9" t="n"/>
    </row>
    <row r="940" ht="15.75" customHeight="1" s="14">
      <c r="B940" s="9" t="n"/>
      <c r="C940" s="9" t="n"/>
    </row>
    <row r="941" ht="15.75" customHeight="1" s="14">
      <c r="B941" s="9" t="n"/>
      <c r="C941" s="9" t="n"/>
    </row>
    <row r="942" ht="15.75" customHeight="1" s="14">
      <c r="B942" s="9" t="n"/>
      <c r="C942" s="9" t="n"/>
    </row>
    <row r="943" ht="15.75" customHeight="1" s="14">
      <c r="B943" s="9" t="n"/>
      <c r="C943" s="9" t="n"/>
    </row>
    <row r="944" ht="15.75" customHeight="1" s="14">
      <c r="B944" s="9" t="n"/>
      <c r="C944" s="9" t="n"/>
    </row>
    <row r="945" ht="15.75" customHeight="1" s="14">
      <c r="B945" s="9" t="n"/>
      <c r="C945" s="9" t="n"/>
    </row>
    <row r="946" ht="15.75" customHeight="1" s="14">
      <c r="B946" s="9" t="n"/>
      <c r="C946" s="9" t="n"/>
    </row>
    <row r="947" ht="15.75" customHeight="1" s="14">
      <c r="B947" s="9" t="n"/>
      <c r="C947" s="9" t="n"/>
    </row>
    <row r="948" ht="15.75" customHeight="1" s="14">
      <c r="B948" s="9" t="n"/>
      <c r="C948" s="9" t="n"/>
    </row>
    <row r="949" ht="15.75" customHeight="1" s="14">
      <c r="B949" s="9" t="n"/>
      <c r="C949" s="9" t="n"/>
    </row>
    <row r="950" ht="15.75" customHeight="1" s="14">
      <c r="B950" s="9" t="n"/>
      <c r="C950" s="9" t="n"/>
    </row>
    <row r="951" ht="15.75" customHeight="1" s="14">
      <c r="B951" s="9" t="n"/>
      <c r="C951" s="9" t="n"/>
    </row>
    <row r="952" ht="15.75" customHeight="1" s="14">
      <c r="B952" s="9" t="n"/>
      <c r="C952" s="9" t="n"/>
    </row>
    <row r="953" ht="15.75" customHeight="1" s="14">
      <c r="B953" s="9" t="n"/>
      <c r="C953" s="9" t="n"/>
    </row>
    <row r="954" ht="15.75" customHeight="1" s="14">
      <c r="B954" s="9" t="n"/>
      <c r="C954" s="9" t="n"/>
    </row>
    <row r="955" ht="15.75" customHeight="1" s="14">
      <c r="B955" s="9" t="n"/>
      <c r="C955" s="9" t="n"/>
    </row>
    <row r="956" ht="15.75" customHeight="1" s="14">
      <c r="B956" s="9" t="n"/>
      <c r="C956" s="9" t="n"/>
    </row>
    <row r="957" ht="15.75" customHeight="1" s="14">
      <c r="B957" s="9" t="n"/>
      <c r="C957" s="9" t="n"/>
    </row>
    <row r="958" ht="15.75" customHeight="1" s="14">
      <c r="B958" s="9" t="n"/>
      <c r="C958" s="9" t="n"/>
    </row>
    <row r="959" ht="15.75" customHeight="1" s="14">
      <c r="B959" s="9" t="n"/>
      <c r="C959" s="9" t="n"/>
    </row>
    <row r="960" ht="15.75" customHeight="1" s="14">
      <c r="B960" s="9" t="n"/>
      <c r="C960" s="9" t="n"/>
    </row>
    <row r="961" ht="15.75" customHeight="1" s="14">
      <c r="B961" s="9" t="n"/>
      <c r="C961" s="9" t="n"/>
    </row>
    <row r="962" ht="15.75" customHeight="1" s="14">
      <c r="B962" s="9" t="n"/>
      <c r="C962" s="9" t="n"/>
    </row>
    <row r="963" ht="15.75" customHeight="1" s="14">
      <c r="B963" s="9" t="n"/>
      <c r="C963" s="9" t="n"/>
    </row>
    <row r="964" ht="15.75" customHeight="1" s="14">
      <c r="B964" s="9" t="n"/>
      <c r="C964" s="9" t="n"/>
    </row>
    <row r="965" ht="15.75" customHeight="1" s="14">
      <c r="B965" s="9" t="n"/>
      <c r="C965" s="9" t="n"/>
    </row>
    <row r="966" ht="15.75" customHeight="1" s="14">
      <c r="B966" s="9" t="n"/>
      <c r="C966" s="9" t="n"/>
    </row>
    <row r="967" ht="15.75" customHeight="1" s="14">
      <c r="B967" s="9" t="n"/>
      <c r="C967" s="9" t="n"/>
    </row>
    <row r="968" ht="15.75" customHeight="1" s="14">
      <c r="B968" s="9" t="n"/>
      <c r="C968" s="9" t="n"/>
    </row>
    <row r="969" ht="15.75" customHeight="1" s="14">
      <c r="B969" s="9" t="n"/>
      <c r="C969" s="9" t="n"/>
    </row>
    <row r="970" ht="15.75" customHeight="1" s="14">
      <c r="B970" s="9" t="n"/>
      <c r="C970" s="9" t="n"/>
    </row>
    <row r="971" ht="15.75" customHeight="1" s="14">
      <c r="B971" s="9" t="n"/>
      <c r="C971" s="9" t="n"/>
    </row>
    <row r="972" ht="15.75" customHeight="1" s="14">
      <c r="B972" s="9" t="n"/>
      <c r="C972" s="9" t="n"/>
    </row>
    <row r="973" ht="15.75" customHeight="1" s="14">
      <c r="B973" s="9" t="n"/>
      <c r="C973" s="9" t="n"/>
    </row>
    <row r="974" ht="15.75" customHeight="1" s="14">
      <c r="B974" s="9" t="n"/>
      <c r="C974" s="9" t="n"/>
    </row>
    <row r="975" ht="15.75" customHeight="1" s="14">
      <c r="B975" s="9" t="n"/>
      <c r="C975" s="9" t="n"/>
    </row>
    <row r="976" ht="15.75" customHeight="1" s="14">
      <c r="B976" s="9" t="n"/>
      <c r="C976" s="9" t="n"/>
    </row>
    <row r="977" ht="15.75" customHeight="1" s="14">
      <c r="B977" s="9" t="n"/>
      <c r="C977" s="9" t="n"/>
    </row>
    <row r="978" ht="15.75" customHeight="1" s="14">
      <c r="B978" s="9" t="n"/>
      <c r="C978" s="9" t="n"/>
    </row>
    <row r="979" ht="15.75" customHeight="1" s="14">
      <c r="B979" s="9" t="n"/>
      <c r="C979" s="9" t="n"/>
    </row>
    <row r="980" ht="15.75" customHeight="1" s="14">
      <c r="B980" s="9" t="n"/>
      <c r="C980" s="9" t="n"/>
    </row>
    <row r="981" ht="15.75" customHeight="1" s="14">
      <c r="B981" s="9" t="n"/>
      <c r="C981" s="9" t="n"/>
    </row>
    <row r="982" ht="15.75" customHeight="1" s="14">
      <c r="B982" s="9" t="n"/>
      <c r="C982" s="9" t="n"/>
    </row>
    <row r="983" ht="15.75" customHeight="1" s="14">
      <c r="B983" s="9" t="n"/>
      <c r="C983" s="9" t="n"/>
    </row>
    <row r="984" ht="15.75" customHeight="1" s="14">
      <c r="B984" s="9" t="n"/>
      <c r="C984" s="9" t="n"/>
    </row>
    <row r="985" ht="15.75" customHeight="1" s="14">
      <c r="B985" s="9" t="n"/>
      <c r="C985" s="9" t="n"/>
    </row>
    <row r="986" ht="15.75" customHeight="1" s="14">
      <c r="B986" s="9" t="n"/>
      <c r="C986" s="9" t="n"/>
    </row>
    <row r="987" ht="15.75" customHeight="1" s="14">
      <c r="B987" s="9" t="n"/>
      <c r="C987" s="9" t="n"/>
    </row>
    <row r="988" ht="15.75" customHeight="1" s="14">
      <c r="B988" s="9" t="n"/>
      <c r="C988" s="9" t="n"/>
    </row>
    <row r="989" ht="15.75" customHeight="1" s="14">
      <c r="B989" s="9" t="n"/>
      <c r="C989" s="9" t="n"/>
    </row>
    <row r="990" ht="15.75" customHeight="1" s="14">
      <c r="B990" s="9" t="n"/>
      <c r="C990" s="9" t="n"/>
    </row>
    <row r="991" ht="15.75" customHeight="1" s="14">
      <c r="B991" s="9" t="n"/>
      <c r="C991" s="9" t="n"/>
    </row>
    <row r="992" ht="15.75" customHeight="1" s="14">
      <c r="B992" s="9" t="n"/>
      <c r="C992" s="9" t="n"/>
    </row>
    <row r="993" ht="15.75" customHeight="1" s="14">
      <c r="B993" s="9" t="n"/>
      <c r="C993" s="9" t="n"/>
    </row>
    <row r="994" ht="15.75" customHeight="1" s="14">
      <c r="B994" s="9" t="n"/>
      <c r="C994" s="9" t="n"/>
    </row>
    <row r="995" ht="15.75" customHeight="1" s="14">
      <c r="B995" s="9" t="n"/>
      <c r="C995" s="9" t="n"/>
    </row>
    <row r="996" ht="15.75" customHeight="1" s="14">
      <c r="B996" s="9" t="n"/>
      <c r="C996" s="9" t="n"/>
    </row>
    <row r="997" ht="15.75" customHeight="1" s="14">
      <c r="B997" s="9" t="n"/>
      <c r="C997" s="9" t="n"/>
    </row>
    <row r="998" ht="15.75" customHeight="1" s="14">
      <c r="B998" s="9" t="n"/>
      <c r="C998" s="9" t="n"/>
    </row>
    <row r="999" ht="15.75" customHeight="1" s="14">
      <c r="B999" s="9" t="n"/>
      <c r="C999" s="9" t="n"/>
    </row>
    <row r="1000" ht="15.75" customHeight="1" s="14">
      <c r="B1000" s="9" t="n"/>
      <c r="C1000" s="9" t="n"/>
    </row>
  </sheetData>
  <dataValidations count="2">
    <dataValidation sqref="B2:B1000" showDropDown="0" showInputMessage="0" showErrorMessage="1" allowBlank="1" type="list">
      <formula1>Vendors!$A$2:$A1000</formula1>
    </dataValidation>
    <dataValidation sqref="C2:C1000" showDropDown="0" showInputMessage="0" showErrorMessage="1" allowBlank="1" type="list">
      <formula1>Master_Items!$C$2:$C1004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7"/>
  <sheetViews>
    <sheetView workbookViewId="0">
      <selection activeCell="A1" sqref="A1"/>
    </sheetView>
  </sheetViews>
  <sheetFormatPr baseColWidth="8" defaultColWidth="12.63" defaultRowHeight="15" customHeight="1"/>
  <cols>
    <col width="14.25" customWidth="1" style="14" min="1" max="1"/>
    <col width="12.63" customWidth="1" style="14" min="2" max="6"/>
  </cols>
  <sheetData>
    <row r="1" ht="15.75" customHeight="1" s="14">
      <c r="A1" s="5" t="inlineStr">
        <is>
          <t>Vendor Name</t>
        </is>
      </c>
    </row>
    <row r="2" ht="15.75" customHeight="1" s="14">
      <c r="A2" s="5" t="inlineStr">
        <is>
          <t>Specs</t>
        </is>
      </c>
    </row>
    <row r="3" ht="15.75" customHeight="1" s="14">
      <c r="A3" s="5" t="inlineStr">
        <is>
          <t>Total Wine</t>
        </is>
      </c>
    </row>
    <row r="4" ht="15.75" customHeight="1" s="14">
      <c r="A4" s="5" t="inlineStr">
        <is>
          <t>Restaurant Depot</t>
        </is>
      </c>
    </row>
    <row r="5" ht="15.75" customHeight="1" s="14">
      <c r="A5" s="5" t="inlineStr">
        <is>
          <t>Costco</t>
        </is>
      </c>
    </row>
    <row r="6" ht="15.75" customHeight="1" s="14">
      <c r="A6" s="5" t="inlineStr">
        <is>
          <t xml:space="preserve">HEB </t>
        </is>
      </c>
    </row>
    <row r="7" ht="15.75" customHeight="1" s="14">
      <c r="A7" s="5" t="inlineStr">
        <is>
          <t>Twin Liquors</t>
        </is>
      </c>
    </row>
    <row r="8" ht="15.75" customHeight="1" s="14"/>
    <row r="9" ht="15.75" customHeight="1" s="14"/>
    <row r="10" ht="15.75" customHeight="1" s="14"/>
    <row r="11" ht="15.75" customHeight="1" s="14"/>
    <row r="12" ht="15.75" customHeight="1" s="14"/>
    <row r="13" ht="15.75" customHeight="1" s="14"/>
    <row r="14" ht="15.75" customHeight="1" s="14"/>
    <row r="15" ht="15.75" customHeight="1" s="14"/>
    <row r="16" ht="15.75" customHeight="1" s="14"/>
    <row r="17" ht="15.75" customHeight="1" s="14"/>
    <row r="18" ht="15.75" customHeight="1" s="14"/>
    <row r="19" ht="15.75" customHeight="1" s="14"/>
    <row r="20" ht="15.75" customHeight="1" s="14"/>
    <row r="21" ht="15.75" customHeight="1" s="14"/>
    <row r="22" ht="15.75" customHeight="1" s="14"/>
    <row r="23" ht="15.75" customHeight="1" s="14"/>
    <row r="24" ht="15.75" customHeight="1" s="14"/>
    <row r="25" ht="15.75" customHeight="1" s="14"/>
    <row r="26" ht="15.75" customHeight="1" s="14"/>
    <row r="27" ht="15.75" customHeight="1" s="14"/>
    <row r="28" ht="15.75" customHeight="1" s="14"/>
    <row r="29" ht="15.75" customHeight="1" s="14"/>
    <row r="30" ht="15.75" customHeight="1" s="14"/>
    <row r="31" ht="15.75" customHeight="1" s="14"/>
    <row r="32" ht="15.75" customHeight="1" s="14"/>
    <row r="33" ht="15.75" customHeight="1" s="14"/>
    <row r="34" ht="15.75" customHeight="1" s="14"/>
    <row r="35" ht="15.75" customHeight="1" s="14"/>
    <row r="36" ht="15.75" customHeight="1" s="14"/>
    <row r="37" ht="15.75" customHeight="1" s="14"/>
    <row r="38" ht="15.75" customHeight="1" s="14"/>
    <row r="39" ht="15.75" customHeight="1" s="14"/>
    <row r="40" ht="15.75" customHeight="1" s="14"/>
    <row r="41" ht="15.75" customHeight="1" s="14"/>
    <row r="42" ht="15.75" customHeight="1" s="14"/>
    <row r="43" ht="15.75" customHeight="1" s="14"/>
    <row r="44" ht="15.75" customHeight="1" s="14"/>
    <row r="45" ht="15.75" customHeight="1" s="14"/>
    <row r="46" ht="15.75" customHeight="1" s="14"/>
    <row r="47" ht="15.75" customHeight="1" s="14"/>
    <row r="48" ht="15.75" customHeight="1" s="14"/>
    <row r="49" ht="15.75" customHeight="1" s="14"/>
    <row r="50" ht="15.75" customHeight="1" s="14"/>
    <row r="51" ht="15.75" customHeight="1" s="14"/>
    <row r="52" ht="15.75" customHeight="1" s="14"/>
    <row r="53" ht="15.75" customHeight="1" s="14"/>
    <row r="54" ht="15.75" customHeight="1" s="14"/>
    <row r="55" ht="15.75" customHeight="1" s="14"/>
    <row r="56" ht="15.75" customHeight="1" s="14"/>
    <row r="57" ht="15.75" customHeight="1" s="14"/>
    <row r="58" ht="15.75" customHeight="1" s="14"/>
    <row r="59" ht="15.75" customHeight="1" s="14"/>
    <row r="60" ht="15.75" customHeight="1" s="14"/>
    <row r="61" ht="15.75" customHeight="1" s="14"/>
    <row r="62" ht="15.75" customHeight="1" s="14"/>
    <row r="63" ht="15.75" customHeight="1" s="14"/>
    <row r="64" ht="15.75" customHeight="1" s="14"/>
    <row r="65" ht="15.75" customHeight="1" s="14"/>
    <row r="66" ht="15.75" customHeight="1" s="14"/>
    <row r="67" ht="15.75" customHeight="1" s="14"/>
    <row r="68" ht="15.75" customHeight="1" s="14"/>
    <row r="69" ht="15.75" customHeight="1" s="14"/>
    <row r="70" ht="15.75" customHeight="1" s="14"/>
    <row r="71" ht="15.75" customHeight="1" s="14"/>
    <row r="72" ht="15.75" customHeight="1" s="14"/>
    <row r="73" ht="15.75" customHeight="1" s="14"/>
    <row r="74" ht="15.75" customHeight="1" s="14"/>
    <row r="75" ht="15.75" customHeight="1" s="14"/>
    <row r="76" ht="15.75" customHeight="1" s="14"/>
    <row r="77" ht="15.75" customHeight="1" s="14"/>
    <row r="78" ht="15.75" customHeight="1" s="14"/>
    <row r="79" ht="15.75" customHeight="1" s="14"/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2026-01-20T23:21:12Z</dcterms:created>
  <dcterms:modified xmlns:dcterms="http://purl.org/dc/terms/" xmlns:xsi="http://www.w3.org/2001/XMLSchema-instance" xsi:type="dcterms:W3CDTF">2026-01-20T23:21:13Z</dcterms:modified>
</cp:coreProperties>
</file>